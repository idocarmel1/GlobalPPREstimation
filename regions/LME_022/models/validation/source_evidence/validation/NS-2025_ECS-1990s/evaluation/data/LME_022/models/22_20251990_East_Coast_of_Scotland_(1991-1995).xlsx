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Taxon-Group Map" sheetId="3" state="visible" r:id="rId3"/>
    <sheet name="SPPR" sheetId="4" state="visible" r:id="rId4"/>
    <sheet name="PPR by method" sheetId="5" state="visible" r:id="rId5"/>
    <sheet name="sppr_inner" sheetId="6" state="visible" r:id="rId6"/>
    <sheet name="PPR inner" sheetId="7" state="visible" r:id="rId7"/>
    <sheet name="sppr_PP" sheetId="8" state="visible" r:id="rId8"/>
    <sheet name="PPR PP" sheetId="9" state="visible" r:id="rId9"/>
    <sheet name="Recycling" sheetId="10" state="visible" r:id="rId10"/>
    <sheet name="PPR by taxon" sheetId="11" state="visible" r:id="rId11"/>
    <sheet name="Model groups" sheetId="12" state="visible" r:id="rId12"/>
    <sheet name="NPP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00"/>
  </numFmts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i val="1"/>
    </font>
    <font>
      <i val="1"/>
      <color rgb="00808080"/>
    </font>
    <font>
      <b val="1"/>
      <color rgb="009C0006"/>
    </font>
    <font>
      <b val="1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49C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0" fillId="0" borderId="0" applyAlignment="1" pivotButton="0" quotePrefix="0" xfId="0">
      <alignment vertical="top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/>
    </xf>
    <xf numFmtId="164" fontId="0" fillId="0" borderId="0" pivotButton="0" quotePrefix="0" xfId="0"/>
    <xf numFmtId="0" fontId="7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20" customWidth="1" min="3" max="3"/>
    <col width="24" customWidth="1" min="4" max="4"/>
    <col width="20" customWidth="1" min="5" max="5"/>
    <col width="24" customWidth="1" min="6" max="6"/>
  </cols>
  <sheetData>
    <row r="1">
      <c r="A1" s="1" t="inlineStr">
        <is>
          <t>LME_022 — North Sea</t>
        </is>
      </c>
    </row>
    <row r="2">
      <c r="A2" s="2" t="inlineStr">
        <is>
          <t>Ecopath model: 22_20251990_East_Coast_of_Scotland_(1991-1995)</t>
        </is>
      </c>
    </row>
    <row r="3">
      <c r="A3" s="3" t="inlineStr">
        <is>
          <t>Partial-area validation: East Coast of Scotland model applied to North Sea catch</t>
        </is>
      </c>
    </row>
    <row r="5">
      <c r="A5" t="inlineStr">
        <is>
          <t>region type</t>
        </is>
      </c>
      <c r="B5" t="inlineStr">
        <is>
          <t>LME</t>
        </is>
      </c>
    </row>
    <row r="6">
      <c r="A6" t="inlineStr">
        <is>
          <t>latitude</t>
        </is>
      </c>
      <c r="B6" t="inlineStr">
        <is>
          <t>57.59745</t>
        </is>
      </c>
    </row>
    <row r="7">
      <c r="A7" t="inlineStr">
        <is>
          <t>longitude</t>
        </is>
      </c>
      <c r="B7" t="inlineStr">
        <is>
          <t>6.32646</t>
        </is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384</v>
      </c>
    </row>
    <row r="10">
      <c r="A10" t="inlineStr">
        <is>
          <t>taxa apportioned across groups</t>
        </is>
      </c>
      <c r="B10" t="n">
        <v>14</v>
      </c>
    </row>
    <row r="11">
      <c r="A11" t="inlineStr">
        <is>
          <t>taxa unresolved</t>
        </is>
      </c>
      <c r="B11" t="n">
        <v>62</v>
      </c>
    </row>
    <row r="12">
      <c r="A12" t="inlineStr">
        <is>
          <t>catch tonnage on a named group, %</t>
        </is>
      </c>
      <c r="B12" t="n">
        <v>99.59999999999999</v>
      </c>
    </row>
    <row r="13">
      <c r="A13" t="inlineStr">
        <is>
          <t>SPPR methods</t>
        </is>
      </c>
      <c r="B13" t="n">
        <v>20</v>
      </c>
    </row>
    <row r="14">
      <c r="A14" t="inlineStr">
        <is>
          <t>methods flagged as unusable</t>
        </is>
      </c>
      <c r="B14" t="n">
        <v>5</v>
      </c>
    </row>
    <row r="15">
      <c r="A15" t="inlineStr">
        <is>
          <t>headline method below</t>
        </is>
      </c>
      <c r="B15" t="inlineStr">
        <is>
          <t>Ulanowicz_TE</t>
        </is>
      </c>
    </row>
    <row r="17">
      <c r="A17" s="4" t="inlineStr">
        <is>
          <t>year</t>
        </is>
      </c>
      <c r="B17" s="4" t="inlineStr">
        <is>
          <t>catch_tonnes</t>
        </is>
      </c>
      <c r="C17" s="4" t="inlineStr">
        <is>
          <t>ppr_simple</t>
        </is>
      </c>
      <c r="D17" s="4" t="inlineStr">
        <is>
          <t>ppr_Ulanowicz_TE</t>
        </is>
      </c>
      <c r="E17" s="4" t="inlineStr">
        <is>
          <t>ppr_simple / NPP %</t>
        </is>
      </c>
      <c r="F17" s="4" t="inlineStr">
        <is>
          <t>ppr_Ulanowicz_TE / NPP %</t>
        </is>
      </c>
    </row>
    <row r="18">
      <c r="A18" t="n">
        <v>1950</v>
      </c>
      <c r="B18" t="n">
        <v>1996407.005</v>
      </c>
      <c r="C18" t="n">
        <v>968833784.474</v>
      </c>
      <c r="D18" t="n">
        <v>189726437.838</v>
      </c>
      <c r="E18" t="n">
        <v>62.5271</v>
      </c>
      <c r="F18" t="n">
        <v>12.2447</v>
      </c>
    </row>
    <row r="19">
      <c r="A19" t="n">
        <v>1951</v>
      </c>
      <c r="B19" t="n">
        <v>2261017.081</v>
      </c>
      <c r="C19" t="n">
        <v>1116696883.715</v>
      </c>
      <c r="D19" t="n">
        <v>221423621.002</v>
      </c>
      <c r="E19" t="n">
        <v>72.0699</v>
      </c>
      <c r="F19" t="n">
        <v>14.2903</v>
      </c>
    </row>
    <row r="20">
      <c r="A20" t="n">
        <v>1952</v>
      </c>
      <c r="B20" t="n">
        <v>2028412.779</v>
      </c>
      <c r="C20" t="n">
        <v>1105472927.697</v>
      </c>
      <c r="D20" t="n">
        <v>208842724.423</v>
      </c>
      <c r="E20" t="n">
        <v>71.3456</v>
      </c>
      <c r="F20" t="n">
        <v>13.4784</v>
      </c>
    </row>
    <row r="21">
      <c r="A21" t="n">
        <v>1953</v>
      </c>
      <c r="B21" t="n">
        <v>2417414.898</v>
      </c>
      <c r="C21" t="n">
        <v>1175682564.867</v>
      </c>
      <c r="D21" t="n">
        <v>228963716.629</v>
      </c>
      <c r="E21" t="n">
        <v>75.8768</v>
      </c>
      <c r="F21" t="n">
        <v>14.777</v>
      </c>
    </row>
    <row r="22">
      <c r="A22" t="n">
        <v>1954</v>
      </c>
      <c r="B22" t="n">
        <v>2466617.11</v>
      </c>
      <c r="C22" t="n">
        <v>1337171481.102</v>
      </c>
      <c r="D22" t="n">
        <v>233901833.929</v>
      </c>
      <c r="E22" t="n">
        <v>86.29900000000001</v>
      </c>
      <c r="F22" t="n">
        <v>15.0957</v>
      </c>
    </row>
    <row r="23">
      <c r="A23" t="n">
        <v>1955</v>
      </c>
      <c r="B23" t="n">
        <v>2191330.125</v>
      </c>
      <c r="C23" t="n">
        <v>1239356788.43</v>
      </c>
      <c r="D23" t="n">
        <v>220586615.085</v>
      </c>
      <c r="E23" t="n">
        <v>79.9862</v>
      </c>
      <c r="F23" t="n">
        <v>14.2363</v>
      </c>
    </row>
    <row r="24">
      <c r="A24" t="n">
        <v>1956</v>
      </c>
      <c r="B24" t="n">
        <v>2331922.887</v>
      </c>
      <c r="C24" t="n">
        <v>1243872576.112</v>
      </c>
      <c r="D24" t="n">
        <v>229502486.505</v>
      </c>
      <c r="E24" t="n">
        <v>80.2777</v>
      </c>
      <c r="F24" t="n">
        <v>14.8117</v>
      </c>
    </row>
    <row r="25">
      <c r="A25" t="n">
        <v>1957</v>
      </c>
      <c r="B25" t="n">
        <v>2518664.043</v>
      </c>
      <c r="C25" t="n">
        <v>1402603315.903</v>
      </c>
      <c r="D25" t="n">
        <v>258822881.396</v>
      </c>
      <c r="E25" t="n">
        <v>90.5219</v>
      </c>
      <c r="F25" t="n">
        <v>16.704</v>
      </c>
    </row>
    <row r="26">
      <c r="A26" t="n">
        <v>1958</v>
      </c>
      <c r="B26" t="n">
        <v>2364800.908</v>
      </c>
      <c r="C26" t="n">
        <v>1323050811.095</v>
      </c>
      <c r="D26" t="n">
        <v>252967738.184</v>
      </c>
      <c r="E26" t="n">
        <v>85.3877</v>
      </c>
      <c r="F26" t="n">
        <v>16.3262</v>
      </c>
    </row>
    <row r="27">
      <c r="A27" t="n">
        <v>1959</v>
      </c>
      <c r="B27" t="n">
        <v>2552606.634</v>
      </c>
      <c r="C27" t="n">
        <v>1387472816.399</v>
      </c>
      <c r="D27" t="n">
        <v>273360034.424</v>
      </c>
      <c r="E27" t="n">
        <v>89.5454</v>
      </c>
      <c r="F27" t="n">
        <v>17.6422</v>
      </c>
    </row>
    <row r="28">
      <c r="A28" t="n">
        <v>1960</v>
      </c>
      <c r="B28" t="n">
        <v>2273193.714</v>
      </c>
      <c r="C28" t="n">
        <v>1175308544.029</v>
      </c>
      <c r="D28" t="n">
        <v>235545276.176</v>
      </c>
      <c r="E28" t="n">
        <v>75.8526</v>
      </c>
      <c r="F28" t="n">
        <v>15.2017</v>
      </c>
    </row>
    <row r="29">
      <c r="A29" t="n">
        <v>1961</v>
      </c>
      <c r="B29" t="n">
        <v>2297647.792</v>
      </c>
      <c r="C29" t="n">
        <v>1364659510.602</v>
      </c>
      <c r="D29" t="n">
        <v>253757248.45</v>
      </c>
      <c r="E29" t="n">
        <v>88.0731</v>
      </c>
      <c r="F29" t="n">
        <v>16.3771</v>
      </c>
    </row>
    <row r="30">
      <c r="A30" t="n">
        <v>1962</v>
      </c>
      <c r="B30" t="n">
        <v>2407667.27</v>
      </c>
      <c r="C30" t="n">
        <v>1208669448.564</v>
      </c>
      <c r="D30" t="n">
        <v>239692593.214</v>
      </c>
      <c r="E30" t="n">
        <v>78.0057</v>
      </c>
      <c r="F30" t="n">
        <v>15.4694</v>
      </c>
    </row>
    <row r="31">
      <c r="A31" t="n">
        <v>1963</v>
      </c>
      <c r="B31" t="n">
        <v>2805937.795</v>
      </c>
      <c r="C31" t="n">
        <v>1447570890.468</v>
      </c>
      <c r="D31" t="n">
        <v>289613271.208</v>
      </c>
      <c r="E31" t="n">
        <v>93.42400000000001</v>
      </c>
      <c r="F31" t="n">
        <v>18.6912</v>
      </c>
    </row>
    <row r="32">
      <c r="A32" t="n">
        <v>1964</v>
      </c>
      <c r="B32" t="n">
        <v>3212869.772</v>
      </c>
      <c r="C32" t="n">
        <v>1750787912.935</v>
      </c>
      <c r="D32" t="n">
        <v>322782746.523</v>
      </c>
      <c r="E32" t="n">
        <v>112.9932</v>
      </c>
      <c r="F32" t="n">
        <v>20.8319</v>
      </c>
    </row>
    <row r="33">
      <c r="A33" t="n">
        <v>1965</v>
      </c>
      <c r="B33" t="n">
        <v>3392526.829</v>
      </c>
      <c r="C33" t="n">
        <v>1969628397.905</v>
      </c>
      <c r="D33" t="n">
        <v>364540004.719</v>
      </c>
      <c r="E33" t="n">
        <v>127.1168</v>
      </c>
      <c r="F33" t="n">
        <v>23.5269</v>
      </c>
    </row>
    <row r="34">
      <c r="A34" t="n">
        <v>1966</v>
      </c>
      <c r="B34" t="n">
        <v>3812733.134</v>
      </c>
      <c r="C34" t="n">
        <v>2495641797.909</v>
      </c>
      <c r="D34" t="n">
        <v>447822698.285</v>
      </c>
      <c r="E34" t="n">
        <v>161.065</v>
      </c>
      <c r="F34" t="n">
        <v>28.9018</v>
      </c>
    </row>
    <row r="35">
      <c r="A35" t="n">
        <v>1967</v>
      </c>
      <c r="B35" t="n">
        <v>3995768.011</v>
      </c>
      <c r="C35" t="n">
        <v>2311760622.944</v>
      </c>
      <c r="D35" t="n">
        <v>482096914.748</v>
      </c>
      <c r="E35" t="n">
        <v>149.1975</v>
      </c>
      <c r="F35" t="n">
        <v>31.1138</v>
      </c>
    </row>
    <row r="36">
      <c r="A36" t="n">
        <v>1968</v>
      </c>
      <c r="B36" t="n">
        <v>4438474.307</v>
      </c>
      <c r="C36" t="n">
        <v>2575944515.787</v>
      </c>
      <c r="D36" t="n">
        <v>511653598.83</v>
      </c>
      <c r="E36" t="n">
        <v>166.2476</v>
      </c>
      <c r="F36" t="n">
        <v>33.0214</v>
      </c>
    </row>
    <row r="37">
      <c r="A37" t="n">
        <v>1969</v>
      </c>
      <c r="B37" t="n">
        <v>4451392.274</v>
      </c>
      <c r="C37" t="n">
        <v>3291841937.37</v>
      </c>
      <c r="D37" t="n">
        <v>554723297.265</v>
      </c>
      <c r="E37" t="n">
        <v>212.4505</v>
      </c>
      <c r="F37" t="n">
        <v>35.801</v>
      </c>
    </row>
    <row r="38">
      <c r="A38" t="n">
        <v>1970</v>
      </c>
      <c r="B38" t="n">
        <v>4510986.312</v>
      </c>
      <c r="C38" t="n">
        <v>3597468628.018</v>
      </c>
      <c r="D38" t="n">
        <v>543793384.637</v>
      </c>
      <c r="E38" t="n">
        <v>232.1752</v>
      </c>
      <c r="F38" t="n">
        <v>35.0956</v>
      </c>
    </row>
    <row r="39">
      <c r="A39" t="n">
        <v>1971</v>
      </c>
      <c r="B39" t="n">
        <v>3913002.248</v>
      </c>
      <c r="C39" t="n">
        <v>2806711294.754</v>
      </c>
      <c r="D39" t="n">
        <v>480041178.022</v>
      </c>
      <c r="E39" t="n">
        <v>181.1409</v>
      </c>
      <c r="F39" t="n">
        <v>30.9811</v>
      </c>
    </row>
    <row r="40">
      <c r="A40" t="n">
        <v>1972</v>
      </c>
      <c r="B40" t="n">
        <v>3860804.939</v>
      </c>
      <c r="C40" t="n">
        <v>2734766466.217</v>
      </c>
      <c r="D40" t="n">
        <v>478858462.069</v>
      </c>
      <c r="E40" t="n">
        <v>176.4977</v>
      </c>
      <c r="F40" t="n">
        <v>30.9048</v>
      </c>
    </row>
    <row r="41">
      <c r="A41" t="n">
        <v>1973</v>
      </c>
      <c r="B41" t="n">
        <v>4120717.822</v>
      </c>
      <c r="C41" t="n">
        <v>2726142032.366</v>
      </c>
      <c r="D41" t="n">
        <v>478734466.745</v>
      </c>
      <c r="E41" t="n">
        <v>175.9411</v>
      </c>
      <c r="F41" t="n">
        <v>30.8968</v>
      </c>
    </row>
    <row r="42">
      <c r="A42" t="n">
        <v>1974</v>
      </c>
      <c r="B42" t="n">
        <v>4550873.47</v>
      </c>
      <c r="C42" t="n">
        <v>2970558978.538</v>
      </c>
      <c r="D42" t="n">
        <v>528699196.099</v>
      </c>
      <c r="E42" t="n">
        <v>191.7154</v>
      </c>
      <c r="F42" t="n">
        <v>34.1214</v>
      </c>
    </row>
    <row r="43">
      <c r="A43" t="n">
        <v>1975</v>
      </c>
      <c r="B43" t="n">
        <v>4365254.67</v>
      </c>
      <c r="C43" t="n">
        <v>2687259011.792</v>
      </c>
      <c r="D43" t="n">
        <v>488871309.847</v>
      </c>
      <c r="E43" t="n">
        <v>173.4316</v>
      </c>
      <c r="F43" t="n">
        <v>31.551</v>
      </c>
    </row>
    <row r="44">
      <c r="A44" t="n">
        <v>1976</v>
      </c>
      <c r="B44" t="n">
        <v>4332136.82</v>
      </c>
      <c r="C44" t="n">
        <v>2907199172.495</v>
      </c>
      <c r="D44" t="n">
        <v>511158982.969</v>
      </c>
      <c r="E44" t="n">
        <v>187.6263</v>
      </c>
      <c r="F44" t="n">
        <v>32.9894</v>
      </c>
    </row>
    <row r="45">
      <c r="A45" t="n">
        <v>1977</v>
      </c>
      <c r="B45" t="n">
        <v>3659875.388</v>
      </c>
      <c r="C45" t="n">
        <v>2208153967.278</v>
      </c>
      <c r="D45" t="n">
        <v>438692397.077</v>
      </c>
      <c r="E45" t="n">
        <v>142.5109</v>
      </c>
      <c r="F45" t="n">
        <v>28.3125</v>
      </c>
    </row>
    <row r="46">
      <c r="A46" t="n">
        <v>1978</v>
      </c>
      <c r="B46" t="n">
        <v>3367591.663</v>
      </c>
      <c r="C46" t="n">
        <v>2148019698.716</v>
      </c>
      <c r="D46" t="n">
        <v>420507399.565</v>
      </c>
      <c r="E46" t="n">
        <v>138.63</v>
      </c>
      <c r="F46" t="n">
        <v>27.1389</v>
      </c>
    </row>
    <row r="47">
      <c r="A47" t="n">
        <v>1979</v>
      </c>
      <c r="B47" t="n">
        <v>3147351.257</v>
      </c>
      <c r="C47" t="n">
        <v>1967185915.043</v>
      </c>
      <c r="D47" t="n">
        <v>379913661.805</v>
      </c>
      <c r="E47" t="n">
        <v>126.9592</v>
      </c>
      <c r="F47" t="n">
        <v>24.5191</v>
      </c>
    </row>
    <row r="48">
      <c r="A48" t="n">
        <v>1980</v>
      </c>
      <c r="B48" t="n">
        <v>3485604.58</v>
      </c>
      <c r="C48" t="n">
        <v>1937206752.937</v>
      </c>
      <c r="D48" t="n">
        <v>383047038.64</v>
      </c>
      <c r="E48" t="n">
        <v>125.0244</v>
      </c>
      <c r="F48" t="n">
        <v>24.7213</v>
      </c>
    </row>
    <row r="49">
      <c r="A49" t="n">
        <v>1981</v>
      </c>
      <c r="B49" t="n">
        <v>3336360.625</v>
      </c>
      <c r="C49" t="n">
        <v>2044062257.958</v>
      </c>
      <c r="D49" t="n">
        <v>391040288.056</v>
      </c>
      <c r="E49" t="n">
        <v>131.9207</v>
      </c>
      <c r="F49" t="n">
        <v>25.2372</v>
      </c>
    </row>
    <row r="50">
      <c r="A50" t="n">
        <v>1982</v>
      </c>
      <c r="B50" t="n">
        <v>3573503.118</v>
      </c>
      <c r="C50" t="n">
        <v>2191552512.477</v>
      </c>
      <c r="D50" t="n">
        <v>407639014.292</v>
      </c>
      <c r="E50" t="n">
        <v>141.4395</v>
      </c>
      <c r="F50" t="n">
        <v>26.3084</v>
      </c>
    </row>
    <row r="51">
      <c r="A51" t="n">
        <v>1983</v>
      </c>
      <c r="B51" t="n">
        <v>3537771.369</v>
      </c>
      <c r="C51" t="n">
        <v>2185643563.868</v>
      </c>
      <c r="D51" t="n">
        <v>401553686.129</v>
      </c>
      <c r="E51" t="n">
        <v>141.0581</v>
      </c>
      <c r="F51" t="n">
        <v>25.9157</v>
      </c>
    </row>
    <row r="52">
      <c r="A52" t="n">
        <v>1984</v>
      </c>
      <c r="B52" t="n">
        <v>3538649.635</v>
      </c>
      <c r="C52" t="n">
        <v>2142822328.849</v>
      </c>
      <c r="D52" t="n">
        <v>411917048.902</v>
      </c>
      <c r="E52" t="n">
        <v>138.2945</v>
      </c>
      <c r="F52" t="n">
        <v>26.5845</v>
      </c>
    </row>
    <row r="53">
      <c r="A53" t="n">
        <v>1985</v>
      </c>
      <c r="B53" t="n">
        <v>3581293.849</v>
      </c>
      <c r="C53" t="n">
        <v>2127867273.545</v>
      </c>
      <c r="D53" t="n">
        <v>406919227.018</v>
      </c>
      <c r="E53" t="n">
        <v>137.3293</v>
      </c>
      <c r="F53" t="n">
        <v>26.262</v>
      </c>
    </row>
    <row r="54">
      <c r="A54" t="n">
        <v>1986</v>
      </c>
      <c r="B54" t="n">
        <v>3625910.132</v>
      </c>
      <c r="C54" t="n">
        <v>1965245799.919</v>
      </c>
      <c r="D54" t="n">
        <v>406967848.132</v>
      </c>
      <c r="E54" t="n">
        <v>126.834</v>
      </c>
      <c r="F54" t="n">
        <v>26.2651</v>
      </c>
    </row>
    <row r="55">
      <c r="A55" t="n">
        <v>1987</v>
      </c>
      <c r="B55" t="n">
        <v>3588653.294</v>
      </c>
      <c r="C55" t="n">
        <v>1894836401.913</v>
      </c>
      <c r="D55" t="n">
        <v>396858333.886</v>
      </c>
      <c r="E55" t="n">
        <v>122.2899</v>
      </c>
      <c r="F55" t="n">
        <v>25.6126</v>
      </c>
    </row>
    <row r="56">
      <c r="A56" t="n">
        <v>1988</v>
      </c>
      <c r="B56" t="n">
        <v>3750701.872</v>
      </c>
      <c r="C56" t="n">
        <v>1879970708.447</v>
      </c>
      <c r="D56" t="n">
        <v>418787329.491</v>
      </c>
      <c r="E56" t="n">
        <v>121.3305</v>
      </c>
      <c r="F56" t="n">
        <v>27.0279</v>
      </c>
    </row>
    <row r="57">
      <c r="A57" t="n">
        <v>1989</v>
      </c>
      <c r="B57" t="n">
        <v>3736276.671</v>
      </c>
      <c r="C57" t="n">
        <v>1605036516.616</v>
      </c>
      <c r="D57" t="n">
        <v>409140441.274</v>
      </c>
      <c r="E57" t="n">
        <v>103.5866</v>
      </c>
      <c r="F57" t="n">
        <v>26.4053</v>
      </c>
    </row>
    <row r="58">
      <c r="A58" t="n">
        <v>1990</v>
      </c>
      <c r="B58" t="n">
        <v>3151470.844</v>
      </c>
      <c r="C58" t="n">
        <v>1498812614.626</v>
      </c>
      <c r="D58" t="n">
        <v>355673408.957</v>
      </c>
      <c r="E58" t="n">
        <v>96.7311</v>
      </c>
      <c r="F58" t="n">
        <v>22.9546</v>
      </c>
    </row>
    <row r="59">
      <c r="A59" t="n">
        <v>1991</v>
      </c>
      <c r="B59" t="n">
        <v>3478072.353</v>
      </c>
      <c r="C59" t="n">
        <v>1645368194.952</v>
      </c>
      <c r="D59" t="n">
        <v>394172041.107</v>
      </c>
      <c r="E59" t="n">
        <v>106.1896</v>
      </c>
      <c r="F59" t="n">
        <v>25.4393</v>
      </c>
    </row>
    <row r="60">
      <c r="A60" t="n">
        <v>1992</v>
      </c>
      <c r="B60" t="n">
        <v>3744505.076</v>
      </c>
      <c r="C60" t="n">
        <v>1659566996.466</v>
      </c>
      <c r="D60" t="n">
        <v>407870218.163</v>
      </c>
      <c r="E60" t="n">
        <v>107.106</v>
      </c>
      <c r="F60" t="n">
        <v>26.3233</v>
      </c>
    </row>
    <row r="61">
      <c r="A61" t="n">
        <v>1993</v>
      </c>
      <c r="B61" t="n">
        <v>3402915.608</v>
      </c>
      <c r="C61" t="n">
        <v>1735271581.964</v>
      </c>
      <c r="D61" t="n">
        <v>380031191.814</v>
      </c>
      <c r="E61" t="n">
        <v>111.9918</v>
      </c>
      <c r="F61" t="n">
        <v>24.5266</v>
      </c>
    </row>
    <row r="62">
      <c r="A62" t="n">
        <v>1994</v>
      </c>
      <c r="B62" t="n">
        <v>3563060.041</v>
      </c>
      <c r="C62" t="n">
        <v>1655334474.358</v>
      </c>
      <c r="D62" t="n">
        <v>388832174.731</v>
      </c>
      <c r="E62" t="n">
        <v>106.8328</v>
      </c>
      <c r="F62" t="n">
        <v>25.0946</v>
      </c>
    </row>
    <row r="63">
      <c r="A63" t="n">
        <v>1995</v>
      </c>
      <c r="B63" t="n">
        <v>3873904.942</v>
      </c>
      <c r="C63" t="n">
        <v>1707434501.767</v>
      </c>
      <c r="D63" t="n">
        <v>397752841.745</v>
      </c>
      <c r="E63" t="n">
        <v>110.1952</v>
      </c>
      <c r="F63" t="n">
        <v>25.6704</v>
      </c>
    </row>
    <row r="64">
      <c r="A64" t="n">
        <v>1996</v>
      </c>
      <c r="B64" t="n">
        <v>2767258.132</v>
      </c>
      <c r="C64" t="n">
        <v>1442811055.468</v>
      </c>
      <c r="D64" t="n">
        <v>318876333.839</v>
      </c>
      <c r="E64" t="n">
        <v>93.1169</v>
      </c>
      <c r="F64" t="n">
        <v>20.5798</v>
      </c>
    </row>
    <row r="65">
      <c r="A65" t="n">
        <v>1997</v>
      </c>
      <c r="B65" t="n">
        <v>3041601.753</v>
      </c>
      <c r="C65" t="n">
        <v>1475314920.57</v>
      </c>
      <c r="D65" t="n">
        <v>348782863.484</v>
      </c>
      <c r="E65" t="n">
        <v>95.2146</v>
      </c>
      <c r="F65" t="n">
        <v>22.5099</v>
      </c>
    </row>
    <row r="66">
      <c r="A66" t="n">
        <v>1998</v>
      </c>
      <c r="B66" t="n">
        <v>2946400.835</v>
      </c>
      <c r="C66" t="n">
        <v>1411866662.291</v>
      </c>
      <c r="D66" t="n">
        <v>315694765.653</v>
      </c>
      <c r="E66" t="n">
        <v>91.11969999999999</v>
      </c>
      <c r="F66" t="n">
        <v>20.3745</v>
      </c>
    </row>
    <row r="67">
      <c r="A67" t="n">
        <v>1999</v>
      </c>
      <c r="B67" t="n">
        <v>2824841.646</v>
      </c>
      <c r="C67" t="n">
        <v>1460196692.552</v>
      </c>
      <c r="D67" t="n">
        <v>309421000.612</v>
      </c>
      <c r="E67" t="n">
        <v>94.2389</v>
      </c>
      <c r="F67" t="n">
        <v>19.9696</v>
      </c>
    </row>
    <row r="68">
      <c r="A68" t="n">
        <v>2000</v>
      </c>
      <c r="B68" t="n">
        <v>2903859.03</v>
      </c>
      <c r="C68" t="n">
        <v>1399581728.772</v>
      </c>
      <c r="D68" t="n">
        <v>310223425.232</v>
      </c>
      <c r="E68" t="n">
        <v>90.32689999999999</v>
      </c>
      <c r="F68" t="n">
        <v>20.0214</v>
      </c>
    </row>
    <row r="69">
      <c r="A69" t="n">
        <v>2001</v>
      </c>
      <c r="B69" t="n">
        <v>2793638.46</v>
      </c>
      <c r="C69" t="n">
        <v>1288983923.853</v>
      </c>
      <c r="D69" t="n">
        <v>306795015.122</v>
      </c>
      <c r="E69" t="n">
        <v>83.1891</v>
      </c>
      <c r="F69" t="n">
        <v>19.8001</v>
      </c>
    </row>
    <row r="70">
      <c r="A70" t="n">
        <v>2002</v>
      </c>
      <c r="B70" t="n">
        <v>2937997.85</v>
      </c>
      <c r="C70" t="n">
        <v>1411818772.963</v>
      </c>
      <c r="D70" t="n">
        <v>324611319.589</v>
      </c>
      <c r="E70" t="n">
        <v>91.11669999999999</v>
      </c>
      <c r="F70" t="n">
        <v>20.9499</v>
      </c>
    </row>
    <row r="71">
      <c r="A71" t="n">
        <v>2003</v>
      </c>
      <c r="B71" t="n">
        <v>2430082.605</v>
      </c>
      <c r="C71" t="n">
        <v>1279750285.327</v>
      </c>
      <c r="D71" t="n">
        <v>258700423.536</v>
      </c>
      <c r="E71" t="n">
        <v>82.5932</v>
      </c>
      <c r="F71" t="n">
        <v>16.6961</v>
      </c>
    </row>
    <row r="72">
      <c r="A72" t="n">
        <v>2004</v>
      </c>
      <c r="B72" t="n">
        <v>2485641.722</v>
      </c>
      <c r="C72" t="n">
        <v>1242241615.866</v>
      </c>
      <c r="D72" t="n">
        <v>254297961.032</v>
      </c>
      <c r="E72" t="n">
        <v>80.1724</v>
      </c>
      <c r="F72" t="n">
        <v>16.412</v>
      </c>
    </row>
    <row r="73">
      <c r="A73" t="n">
        <v>2005</v>
      </c>
      <c r="B73" t="n">
        <v>2221340.541</v>
      </c>
      <c r="C73" t="n">
        <v>1129223201.71</v>
      </c>
      <c r="D73" t="n">
        <v>213768895.392</v>
      </c>
      <c r="E73" t="n">
        <v>72.8784</v>
      </c>
      <c r="F73" t="n">
        <v>13.7963</v>
      </c>
    </row>
    <row r="74">
      <c r="A74" t="n">
        <v>2006</v>
      </c>
      <c r="B74" t="n">
        <v>2136116.593</v>
      </c>
      <c r="C74" t="n">
        <v>1077486288.531</v>
      </c>
      <c r="D74" t="n">
        <v>220223719.073</v>
      </c>
      <c r="E74" t="n">
        <v>69.5393</v>
      </c>
      <c r="F74" t="n">
        <v>14.2129</v>
      </c>
    </row>
    <row r="75">
      <c r="A75" t="n">
        <v>2007</v>
      </c>
      <c r="B75" t="n">
        <v>1746936.814</v>
      </c>
      <c r="C75" t="n">
        <v>930946375.712</v>
      </c>
      <c r="D75" t="n">
        <v>192355085.922</v>
      </c>
      <c r="E75" t="n">
        <v>60.0819</v>
      </c>
      <c r="F75" t="n">
        <v>12.4143</v>
      </c>
    </row>
    <row r="76">
      <c r="A76" t="n">
        <v>2008</v>
      </c>
      <c r="B76" t="n">
        <v>1687376.209</v>
      </c>
      <c r="C76" t="n">
        <v>921214742.012</v>
      </c>
      <c r="D76" t="n">
        <v>196566842.047</v>
      </c>
      <c r="E76" t="n">
        <v>59.4538</v>
      </c>
      <c r="F76" t="n">
        <v>12.6861</v>
      </c>
    </row>
    <row r="77">
      <c r="A77" t="n">
        <v>2009</v>
      </c>
      <c r="B77" t="n">
        <v>1855807.911</v>
      </c>
      <c r="C77" t="n">
        <v>931626037.8</v>
      </c>
      <c r="D77" t="n">
        <v>213458894.33</v>
      </c>
      <c r="E77" t="n">
        <v>60.1257</v>
      </c>
      <c r="F77" t="n">
        <v>13.7763</v>
      </c>
    </row>
    <row r="78">
      <c r="A78" t="n">
        <v>2010</v>
      </c>
      <c r="B78" t="n">
        <v>1876148.394</v>
      </c>
      <c r="C78" t="n">
        <v>864808958.534</v>
      </c>
      <c r="D78" t="n">
        <v>199296264.487</v>
      </c>
      <c r="E78" t="n">
        <v>55.8135</v>
      </c>
      <c r="F78" t="n">
        <v>12.8623</v>
      </c>
    </row>
    <row r="79">
      <c r="A79" t="n">
        <v>2011</v>
      </c>
      <c r="B79" t="n">
        <v>1798382.18</v>
      </c>
      <c r="C79" t="n">
        <v>823500035.188</v>
      </c>
      <c r="D79" t="n">
        <v>209554031.982</v>
      </c>
      <c r="E79" t="n">
        <v>53.1475</v>
      </c>
      <c r="F79" t="n">
        <v>13.5243</v>
      </c>
    </row>
    <row r="80">
      <c r="A80" t="n">
        <v>2012</v>
      </c>
      <c r="B80" t="n">
        <v>1544003.216</v>
      </c>
      <c r="C80" t="n">
        <v>737070173.877</v>
      </c>
      <c r="D80" t="n">
        <v>155325548.482</v>
      </c>
      <c r="E80" t="n">
        <v>47.5694</v>
      </c>
      <c r="F80" t="n">
        <v>10.0245</v>
      </c>
    </row>
    <row r="81">
      <c r="A81" t="n">
        <v>2013</v>
      </c>
      <c r="B81" t="n">
        <v>1952173.889</v>
      </c>
      <c r="C81" t="n">
        <v>857252775.51</v>
      </c>
      <c r="D81" t="n">
        <v>199058836.418</v>
      </c>
      <c r="E81" t="n">
        <v>55.3258</v>
      </c>
      <c r="F81" t="n">
        <v>12.847</v>
      </c>
    </row>
    <row r="82">
      <c r="A82" t="n">
        <v>2014</v>
      </c>
      <c r="B82" t="n">
        <v>2086220.079</v>
      </c>
      <c r="C82" t="n">
        <v>966580495.768</v>
      </c>
      <c r="D82" t="n">
        <v>217287306.927</v>
      </c>
      <c r="E82" t="n">
        <v>62.3816</v>
      </c>
      <c r="F82" t="n">
        <v>14.0234</v>
      </c>
    </row>
    <row r="83">
      <c r="A83" t="n">
        <v>2015</v>
      </c>
      <c r="B83" t="n">
        <v>2143323.805</v>
      </c>
      <c r="C83" t="n">
        <v>968272325.604</v>
      </c>
      <c r="D83" t="n">
        <v>215355635.92</v>
      </c>
      <c r="E83" t="n">
        <v>62.4908</v>
      </c>
      <c r="F83" t="n">
        <v>13.8987</v>
      </c>
    </row>
    <row r="84">
      <c r="A84" t="n">
        <v>2016</v>
      </c>
      <c r="B84" t="n">
        <v>1941906.109</v>
      </c>
      <c r="C84" t="n">
        <v>930050625.716</v>
      </c>
      <c r="D84" t="n">
        <v>188364376.951</v>
      </c>
      <c r="E84" t="n">
        <v>60.0241</v>
      </c>
      <c r="F84" t="n">
        <v>12.1568</v>
      </c>
    </row>
    <row r="85">
      <c r="A85" t="n">
        <v>2017</v>
      </c>
      <c r="B85" t="n">
        <v>2206873.556</v>
      </c>
      <c r="C85" t="n">
        <v>1051994981.736</v>
      </c>
      <c r="D85" t="n">
        <v>246841916.147</v>
      </c>
      <c r="E85" t="n">
        <v>67.8942</v>
      </c>
      <c r="F85" t="n">
        <v>15.9308</v>
      </c>
    </row>
    <row r="86">
      <c r="A86" t="n">
        <v>2018</v>
      </c>
      <c r="B86" t="n">
        <v>2241269.012</v>
      </c>
      <c r="C86" t="n">
        <v>1059040774.838</v>
      </c>
      <c r="D86" t="n">
        <v>233569022.246</v>
      </c>
      <c r="E86" t="n">
        <v>68.3489</v>
      </c>
      <c r="F86" t="n">
        <v>15.0742</v>
      </c>
    </row>
    <row r="87">
      <c r="A87" t="n">
        <v>2019</v>
      </c>
      <c r="B87" t="n">
        <v>2717260.704</v>
      </c>
      <c r="C87" t="n">
        <v>1700184792.549</v>
      </c>
      <c r="D87" t="n">
        <v>304818639.086</v>
      </c>
      <c r="E87" t="n">
        <v>109.7274</v>
      </c>
      <c r="F87" t="n">
        <v>19.6725</v>
      </c>
    </row>
    <row r="88">
      <c r="A88" t="inlineStr">
        <is>
          <t>PPR/NPP converts wet-weight PP to carbon at 9:1; NPP is the fixed 2019 ensemble median.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385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6" customWidth="1" min="2" max="2"/>
    <col width="30" customWidth="1" min="3" max="3"/>
    <col width="2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</cols>
  <sheetData>
    <row r="1">
      <c r="A1" s="4" t="inlineStr">
        <is>
          <t>taxon</t>
        </is>
      </c>
      <c r="B1" s="4" t="inlineStr">
        <is>
          <t>common_name</t>
        </is>
      </c>
      <c r="C1" s="4" t="inlineStr">
        <is>
          <t>functional_group</t>
        </is>
      </c>
      <c r="D1" s="4" t="inlineStr">
        <is>
          <t>commercial_group</t>
        </is>
      </c>
      <c r="E1" s="4" t="n">
        <v>1950</v>
      </c>
      <c r="F1" s="4" t="n">
        <v>1951</v>
      </c>
      <c r="G1" s="4" t="n">
        <v>1952</v>
      </c>
      <c r="H1" s="4" t="n">
        <v>1953</v>
      </c>
      <c r="I1" s="4" t="n">
        <v>1954</v>
      </c>
      <c r="J1" s="4" t="n">
        <v>1955</v>
      </c>
      <c r="K1" s="4" t="n">
        <v>1956</v>
      </c>
      <c r="L1" s="4" t="n">
        <v>1957</v>
      </c>
      <c r="M1" s="4" t="n">
        <v>1958</v>
      </c>
      <c r="N1" s="4" t="n">
        <v>1959</v>
      </c>
      <c r="O1" s="4" t="n">
        <v>1960</v>
      </c>
      <c r="P1" s="4" t="n">
        <v>1961</v>
      </c>
      <c r="Q1" s="4" t="n">
        <v>1962</v>
      </c>
      <c r="R1" s="4" t="n">
        <v>1963</v>
      </c>
      <c r="S1" s="4" t="n">
        <v>1964</v>
      </c>
      <c r="T1" s="4" t="n">
        <v>1965</v>
      </c>
      <c r="U1" s="4" t="n">
        <v>1966</v>
      </c>
      <c r="V1" s="4" t="n">
        <v>1967</v>
      </c>
      <c r="W1" s="4" t="n">
        <v>1968</v>
      </c>
      <c r="X1" s="4" t="n">
        <v>1969</v>
      </c>
      <c r="Y1" s="4" t="n">
        <v>1970</v>
      </c>
      <c r="Z1" s="4" t="n">
        <v>1971</v>
      </c>
      <c r="AA1" s="4" t="n">
        <v>1972</v>
      </c>
      <c r="AB1" s="4" t="n">
        <v>1973</v>
      </c>
      <c r="AC1" s="4" t="n">
        <v>1974</v>
      </c>
      <c r="AD1" s="4" t="n">
        <v>1975</v>
      </c>
      <c r="AE1" s="4" t="n">
        <v>1976</v>
      </c>
      <c r="AF1" s="4" t="n">
        <v>1977</v>
      </c>
      <c r="AG1" s="4" t="n">
        <v>1978</v>
      </c>
      <c r="AH1" s="4" t="n">
        <v>1979</v>
      </c>
      <c r="AI1" s="4" t="n">
        <v>1980</v>
      </c>
      <c r="AJ1" s="4" t="n">
        <v>1981</v>
      </c>
      <c r="AK1" s="4" t="n">
        <v>1982</v>
      </c>
      <c r="AL1" s="4" t="n">
        <v>1983</v>
      </c>
      <c r="AM1" s="4" t="n">
        <v>1984</v>
      </c>
      <c r="AN1" s="4" t="n">
        <v>1985</v>
      </c>
      <c r="AO1" s="4" t="n">
        <v>1986</v>
      </c>
      <c r="AP1" s="4" t="n">
        <v>1987</v>
      </c>
      <c r="AQ1" s="4" t="n">
        <v>1988</v>
      </c>
      <c r="AR1" s="4" t="n">
        <v>1989</v>
      </c>
      <c r="AS1" s="4" t="n">
        <v>1990</v>
      </c>
      <c r="AT1" s="4" t="n">
        <v>1991</v>
      </c>
      <c r="AU1" s="4" t="n">
        <v>1992</v>
      </c>
      <c r="AV1" s="4" t="n">
        <v>1993</v>
      </c>
      <c r="AW1" s="4" t="n">
        <v>1994</v>
      </c>
      <c r="AX1" s="4" t="n">
        <v>1995</v>
      </c>
      <c r="AY1" s="4" t="n">
        <v>1996</v>
      </c>
      <c r="AZ1" s="4" t="n">
        <v>1997</v>
      </c>
      <c r="BA1" s="4" t="n">
        <v>1998</v>
      </c>
      <c r="BB1" s="4" t="n">
        <v>1999</v>
      </c>
      <c r="BC1" s="4" t="n">
        <v>2000</v>
      </c>
      <c r="BD1" s="4" t="n">
        <v>2001</v>
      </c>
      <c r="BE1" s="4" t="n">
        <v>2002</v>
      </c>
      <c r="BF1" s="4" t="n">
        <v>2003</v>
      </c>
      <c r="BG1" s="4" t="n">
        <v>2004</v>
      </c>
      <c r="BH1" s="4" t="n">
        <v>2005</v>
      </c>
      <c r="BI1" s="4" t="n">
        <v>2006</v>
      </c>
      <c r="BJ1" s="4" t="n">
        <v>2007</v>
      </c>
      <c r="BK1" s="4" t="n">
        <v>2008</v>
      </c>
      <c r="BL1" s="4" t="n">
        <v>2009</v>
      </c>
      <c r="BM1" s="4" t="n">
        <v>2010</v>
      </c>
      <c r="BN1" s="4" t="n">
        <v>2011</v>
      </c>
      <c r="BO1" s="4" t="n">
        <v>2012</v>
      </c>
      <c r="BP1" s="4" t="n">
        <v>2013</v>
      </c>
      <c r="BQ1" s="4" t="n">
        <v>2014</v>
      </c>
      <c r="BR1" s="4" t="n">
        <v>2015</v>
      </c>
      <c r="BS1" s="4" t="n">
        <v>2016</v>
      </c>
      <c r="BT1" s="4" t="n">
        <v>2017</v>
      </c>
      <c r="BU1" s="4" t="n">
        <v>2018</v>
      </c>
      <c r="BV1" s="4" t="n">
        <v>2019</v>
      </c>
    </row>
    <row r="2">
      <c r="A2" t="inlineStr">
        <is>
          <t>Clupea harengus</t>
        </is>
      </c>
      <c r="B2" t="inlineStr">
        <is>
          <t>Atlantic herring</t>
        </is>
      </c>
      <c r="C2" t="inlineStr">
        <is>
          <t>Medium pelagics (30 - 89 cm)</t>
        </is>
      </c>
      <c r="D2" t="inlineStr">
        <is>
          <t>Herring-likes</t>
        </is>
      </c>
      <c r="E2" t="n">
        <v>1046940.184</v>
      </c>
      <c r="F2" t="n">
        <v>1180124.759</v>
      </c>
      <c r="G2" t="n">
        <v>921245.177</v>
      </c>
      <c r="H2" t="n">
        <v>1193113.74</v>
      </c>
      <c r="I2" t="n">
        <v>1315371.352</v>
      </c>
      <c r="J2" t="n">
        <v>1005717.696</v>
      </c>
      <c r="K2" t="n">
        <v>1145212.287</v>
      </c>
      <c r="L2" t="n">
        <v>1191916.855</v>
      </c>
      <c r="M2" t="n">
        <v>1059396.641</v>
      </c>
      <c r="N2" t="n">
        <v>1079017.069</v>
      </c>
      <c r="O2" t="n">
        <v>987144.3540000001</v>
      </c>
      <c r="P2" t="n">
        <v>960021.762</v>
      </c>
      <c r="Q2" t="n">
        <v>977086.8959999999</v>
      </c>
      <c r="R2" t="n">
        <v>1133214.397</v>
      </c>
      <c r="S2" t="n">
        <v>1328168.755</v>
      </c>
      <c r="T2" t="n">
        <v>1307888.237</v>
      </c>
      <c r="U2" t="n">
        <v>1065259.642</v>
      </c>
      <c r="V2" t="n">
        <v>974253.7830000001</v>
      </c>
      <c r="W2" t="n">
        <v>1125050.716</v>
      </c>
      <c r="X2" t="n">
        <v>899218.812</v>
      </c>
      <c r="Y2" t="n">
        <v>838397.96</v>
      </c>
      <c r="Z2" t="n">
        <v>770490.7389999999</v>
      </c>
      <c r="AA2" t="n">
        <v>734855.362</v>
      </c>
      <c r="AB2" t="n">
        <v>817737.204</v>
      </c>
      <c r="AC2" t="n">
        <v>482544.634</v>
      </c>
      <c r="AD2" t="n">
        <v>466935.573</v>
      </c>
      <c r="AE2" t="n">
        <v>277118.405</v>
      </c>
      <c r="AF2" t="n">
        <v>178325.671</v>
      </c>
      <c r="AG2" t="n">
        <v>126545.051</v>
      </c>
      <c r="AH2" t="n">
        <v>94890.152</v>
      </c>
      <c r="AI2" t="n">
        <v>111417.611</v>
      </c>
      <c r="AJ2" t="n">
        <v>189427.254</v>
      </c>
      <c r="AK2" t="n">
        <v>206574.717</v>
      </c>
      <c r="AL2" t="n">
        <v>370925.891</v>
      </c>
      <c r="AM2" t="n">
        <v>421053.427</v>
      </c>
      <c r="AN2" t="n">
        <v>617341.594</v>
      </c>
      <c r="AO2" t="n">
        <v>618745.449</v>
      </c>
      <c r="AP2" t="n">
        <v>625188.058</v>
      </c>
      <c r="AQ2" t="n">
        <v>643129.066</v>
      </c>
      <c r="AR2" t="n">
        <v>645037.397</v>
      </c>
      <c r="AS2" t="n">
        <v>581015.673</v>
      </c>
      <c r="AT2" t="n">
        <v>529710.042</v>
      </c>
      <c r="AU2" t="n">
        <v>580151.3959999999</v>
      </c>
      <c r="AV2" t="n">
        <v>613785.51</v>
      </c>
      <c r="AW2" t="n">
        <v>533727.559</v>
      </c>
      <c r="AX2" t="n">
        <v>638083.312</v>
      </c>
      <c r="AY2" t="n">
        <v>313390.612</v>
      </c>
      <c r="AZ2" t="n">
        <v>286207.163</v>
      </c>
      <c r="BA2" t="n">
        <v>341010.328</v>
      </c>
      <c r="BB2" t="n">
        <v>343386.753</v>
      </c>
      <c r="BC2" t="n">
        <v>336822.842</v>
      </c>
      <c r="BD2" t="n">
        <v>334651.849</v>
      </c>
      <c r="BE2" t="n">
        <v>331262.713</v>
      </c>
      <c r="BF2" t="n">
        <v>431310.336</v>
      </c>
      <c r="BG2" t="n">
        <v>466294.02</v>
      </c>
      <c r="BH2" t="n">
        <v>562683.9889999999</v>
      </c>
      <c r="BI2" t="n">
        <v>472206.643</v>
      </c>
      <c r="BJ2" t="n">
        <v>357876.397</v>
      </c>
      <c r="BK2" t="n">
        <v>222561.771</v>
      </c>
      <c r="BL2" t="n">
        <v>206917.277</v>
      </c>
      <c r="BM2" t="n">
        <v>196105.026</v>
      </c>
      <c r="BN2" t="n">
        <v>236062.561</v>
      </c>
      <c r="BO2" t="n">
        <v>435524.694</v>
      </c>
      <c r="BP2" t="n">
        <v>536204.289</v>
      </c>
      <c r="BQ2" t="n">
        <v>508288.152</v>
      </c>
      <c r="BR2" t="n">
        <v>485448.753</v>
      </c>
      <c r="BS2" t="n">
        <v>548946.632</v>
      </c>
      <c r="BT2" t="n">
        <v>515371.077</v>
      </c>
      <c r="BU2" t="n">
        <v>632367.155</v>
      </c>
      <c r="BV2" t="n">
        <v>774528.8149999999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29530.807</v>
      </c>
      <c r="F3" t="n">
        <v>32965.98</v>
      </c>
      <c r="G3" t="n">
        <v>26004.312</v>
      </c>
      <c r="H3" t="n">
        <v>30872.165</v>
      </c>
      <c r="I3" t="n">
        <v>30209.75</v>
      </c>
      <c r="J3" t="n">
        <v>33074.112</v>
      </c>
      <c r="K3" t="n">
        <v>45463.314</v>
      </c>
      <c r="L3" t="n">
        <v>52744.908</v>
      </c>
      <c r="M3" t="n">
        <v>64181.268</v>
      </c>
      <c r="N3" t="n">
        <v>76807.083</v>
      </c>
      <c r="O3" t="n">
        <v>157761.923</v>
      </c>
      <c r="P3" t="n">
        <v>133569.652</v>
      </c>
      <c r="Q3" t="n">
        <v>186591.443</v>
      </c>
      <c r="R3" t="n">
        <v>263743.941</v>
      </c>
      <c r="S3" t="n">
        <v>291564.235</v>
      </c>
      <c r="T3" t="n">
        <v>296923.466</v>
      </c>
      <c r="U3" t="n">
        <v>217229.564</v>
      </c>
      <c r="V3" t="n">
        <v>261468.355</v>
      </c>
      <c r="W3" t="n">
        <v>245316.794</v>
      </c>
      <c r="X3" t="n">
        <v>154992.747</v>
      </c>
      <c r="Y3" t="n">
        <v>278048.358</v>
      </c>
      <c r="Z3" t="n">
        <v>472747.855</v>
      </c>
      <c r="AA3" t="n">
        <v>386149.713</v>
      </c>
      <c r="AB3" t="n">
        <v>331763.6</v>
      </c>
      <c r="AC3" t="n">
        <v>494039.998</v>
      </c>
      <c r="AD3" t="n">
        <v>435101.151</v>
      </c>
      <c r="AE3" t="n">
        <v>522210.049</v>
      </c>
      <c r="AF3" t="n">
        <v>752006.925</v>
      </c>
      <c r="AG3" t="n">
        <v>747288.616</v>
      </c>
      <c r="AH3" t="n">
        <v>549817.823</v>
      </c>
      <c r="AI3" t="n">
        <v>644499.933</v>
      </c>
      <c r="AJ3" t="n">
        <v>624758.265</v>
      </c>
      <c r="AK3" t="n">
        <v>653088.931</v>
      </c>
      <c r="AL3" t="n">
        <v>599759.699</v>
      </c>
      <c r="AM3" t="n">
        <v>710542.218</v>
      </c>
      <c r="AN3" t="n">
        <v>656719.523</v>
      </c>
      <c r="AO3" t="n">
        <v>893568.361</v>
      </c>
      <c r="AP3" t="n">
        <v>659055.052</v>
      </c>
      <c r="AQ3" t="n">
        <v>866827.085</v>
      </c>
      <c r="AR3" t="n">
        <v>1004855.598</v>
      </c>
      <c r="AS3" t="n">
        <v>686907.117</v>
      </c>
      <c r="AT3" t="n">
        <v>892626.8370000001</v>
      </c>
      <c r="AU3" t="n">
        <v>996784.607</v>
      </c>
      <c r="AV3" t="n">
        <v>673404.281</v>
      </c>
      <c r="AW3" t="n">
        <v>877500.047</v>
      </c>
      <c r="AX3" t="n">
        <v>887637.664</v>
      </c>
      <c r="AY3" t="n">
        <v>713210.089</v>
      </c>
      <c r="AZ3" t="n">
        <v>926895.746</v>
      </c>
      <c r="BA3" t="n">
        <v>710946.057</v>
      </c>
      <c r="BB3" t="n">
        <v>578548.1</v>
      </c>
      <c r="BC3" t="n">
        <v>617939.768</v>
      </c>
      <c r="BD3" t="n">
        <v>697992.578</v>
      </c>
      <c r="BE3" t="n">
        <v>702048.013</v>
      </c>
      <c r="BF3" t="n">
        <v>336676.412</v>
      </c>
      <c r="BG3" t="n">
        <v>357884.998</v>
      </c>
      <c r="BH3" t="n">
        <v>201653.22</v>
      </c>
      <c r="BI3" t="n">
        <v>304357.875</v>
      </c>
      <c r="BJ3" t="n">
        <v>216101.121</v>
      </c>
      <c r="BK3" t="n">
        <v>298859.441</v>
      </c>
      <c r="BL3" t="n">
        <v>359970.553</v>
      </c>
      <c r="BM3" t="n">
        <v>330965.8</v>
      </c>
      <c r="BN3" t="n">
        <v>425517.156</v>
      </c>
      <c r="BO3" t="n">
        <v>92930.16099999999</v>
      </c>
      <c r="BP3" t="n">
        <v>299712.17</v>
      </c>
      <c r="BQ3" t="n">
        <v>210442.817</v>
      </c>
      <c r="BR3" t="n">
        <v>257334.035</v>
      </c>
      <c r="BS3" t="n">
        <v>75757.102</v>
      </c>
      <c r="BT3" t="n">
        <v>496900.73</v>
      </c>
      <c r="BU3" t="n">
        <v>273452.487</v>
      </c>
      <c r="BV3" t="n">
        <v>318308.913</v>
      </c>
    </row>
    <row r="4">
      <c r="A4" t="inlineStr">
        <is>
          <t>Scomber scombrus</t>
        </is>
      </c>
      <c r="B4" t="inlineStr">
        <is>
          <t>Atlantic mackerel</t>
        </is>
      </c>
      <c r="C4" t="inlineStr">
        <is>
          <t>Medium pelagics (30 - 89 cm)</t>
        </is>
      </c>
      <c r="D4" t="inlineStr">
        <is>
          <t>Perch-likes</t>
        </is>
      </c>
      <c r="E4" t="n">
        <v>59401.056</v>
      </c>
      <c r="F4" t="n">
        <v>68666.648</v>
      </c>
      <c r="G4" t="n">
        <v>69452.22100000001</v>
      </c>
      <c r="H4" t="n">
        <v>66290.77800000001</v>
      </c>
      <c r="I4" t="n">
        <v>64202.813</v>
      </c>
      <c r="J4" t="n">
        <v>74073.428</v>
      </c>
      <c r="K4" t="n">
        <v>66362.67200000001</v>
      </c>
      <c r="L4" t="n">
        <v>91044.012</v>
      </c>
      <c r="M4" t="n">
        <v>87400.07000000001</v>
      </c>
      <c r="N4" t="n">
        <v>88686.32399999999</v>
      </c>
      <c r="O4" t="n">
        <v>101168.774</v>
      </c>
      <c r="P4" t="n">
        <v>93321.897</v>
      </c>
      <c r="Q4" t="n">
        <v>93490.64200000001</v>
      </c>
      <c r="R4" t="n">
        <v>88642.652</v>
      </c>
      <c r="S4" t="n">
        <v>117073.928</v>
      </c>
      <c r="T4" t="n">
        <v>213949.562</v>
      </c>
      <c r="U4" t="n">
        <v>590841.902</v>
      </c>
      <c r="V4" t="n">
        <v>1030990.47</v>
      </c>
      <c r="W4" t="n">
        <v>916408.008</v>
      </c>
      <c r="X4" t="n">
        <v>825031.598</v>
      </c>
      <c r="Y4" t="n">
        <v>361553.459</v>
      </c>
      <c r="Z4" t="n">
        <v>249815.902</v>
      </c>
      <c r="AA4" t="n">
        <v>194566.412</v>
      </c>
      <c r="AB4" t="n">
        <v>345887.393</v>
      </c>
      <c r="AC4" t="n">
        <v>313200.745</v>
      </c>
      <c r="AD4" t="n">
        <v>284619.297</v>
      </c>
      <c r="AE4" t="n">
        <v>320957.916</v>
      </c>
      <c r="AF4" t="n">
        <v>255037.987</v>
      </c>
      <c r="AG4" t="n">
        <v>163023.863</v>
      </c>
      <c r="AH4" t="n">
        <v>174777.715</v>
      </c>
      <c r="AI4" t="n">
        <v>104692.078</v>
      </c>
      <c r="AJ4" t="n">
        <v>93609.246</v>
      </c>
      <c r="AK4" t="n">
        <v>70803.458</v>
      </c>
      <c r="AL4" t="n">
        <v>79035.22500000001</v>
      </c>
      <c r="AM4" t="n">
        <v>81539.132</v>
      </c>
      <c r="AN4" t="n">
        <v>96246.079</v>
      </c>
      <c r="AO4" t="n">
        <v>120506.456</v>
      </c>
      <c r="AP4" t="n">
        <v>168665.92</v>
      </c>
      <c r="AQ4" t="n">
        <v>134094.942</v>
      </c>
      <c r="AR4" t="n">
        <v>197588.035</v>
      </c>
      <c r="AS4" t="n">
        <v>175880.499</v>
      </c>
      <c r="AT4" t="n">
        <v>254073.784</v>
      </c>
      <c r="AU4" t="n">
        <v>276488.637</v>
      </c>
      <c r="AV4" t="n">
        <v>288482.872</v>
      </c>
      <c r="AW4" t="n">
        <v>263681.441</v>
      </c>
      <c r="AX4" t="n">
        <v>235290.679</v>
      </c>
      <c r="AY4" t="n">
        <v>177712.814</v>
      </c>
      <c r="AZ4" t="n">
        <v>188680.975</v>
      </c>
      <c r="BA4" t="n">
        <v>206971.692</v>
      </c>
      <c r="BB4" t="n">
        <v>234555.13</v>
      </c>
      <c r="BC4" t="n">
        <v>303067.924</v>
      </c>
      <c r="BD4" t="n">
        <v>324929.151</v>
      </c>
      <c r="BE4" t="n">
        <v>365644.913</v>
      </c>
      <c r="BF4" t="n">
        <v>322315.391</v>
      </c>
      <c r="BG4" t="n">
        <v>308666.341</v>
      </c>
      <c r="BH4" t="n">
        <v>212319.646</v>
      </c>
      <c r="BI4" t="n">
        <v>225269.954</v>
      </c>
      <c r="BJ4" t="n">
        <v>273029.614</v>
      </c>
      <c r="BK4" t="n">
        <v>236216.066</v>
      </c>
      <c r="BL4" t="n">
        <v>257290.274</v>
      </c>
      <c r="BM4" t="n">
        <v>264962.905</v>
      </c>
      <c r="BN4" t="n">
        <v>319065.413</v>
      </c>
      <c r="BO4" t="n">
        <v>228165.832</v>
      </c>
      <c r="BP4" t="n">
        <v>277180.546</v>
      </c>
      <c r="BQ4" t="n">
        <v>403470.652</v>
      </c>
      <c r="BR4" t="n">
        <v>317580.939</v>
      </c>
      <c r="BS4" t="n">
        <v>268652.957</v>
      </c>
      <c r="BT4" t="n">
        <v>294849.714</v>
      </c>
      <c r="BU4" t="n">
        <v>355977.584</v>
      </c>
      <c r="BV4" t="n">
        <v>267891.023</v>
      </c>
    </row>
    <row r="5">
      <c r="A5" t="inlineStr">
        <is>
          <t>Gadus morhua</t>
        </is>
      </c>
      <c r="B5" t="inlineStr">
        <is>
          <t>Atlantic cod</t>
        </is>
      </c>
      <c r="C5" t="inlineStr">
        <is>
          <t>Large benthopelagics (&gt;=90 cm)</t>
        </is>
      </c>
      <c r="D5" t="inlineStr">
        <is>
          <t>Cod-likes</t>
        </is>
      </c>
      <c r="E5" t="n">
        <v>144410.336</v>
      </c>
      <c r="F5" t="n">
        <v>137993.821</v>
      </c>
      <c r="G5" t="n">
        <v>175003.103</v>
      </c>
      <c r="H5" t="n">
        <v>194534.129</v>
      </c>
      <c r="I5" t="n">
        <v>247584.252</v>
      </c>
      <c r="J5" t="n">
        <v>139964.798</v>
      </c>
      <c r="K5" t="n">
        <v>132252.658</v>
      </c>
      <c r="L5" t="n">
        <v>154114.463</v>
      </c>
      <c r="M5" t="n">
        <v>170458.81</v>
      </c>
      <c r="N5" t="n">
        <v>165156.311</v>
      </c>
      <c r="O5" t="n">
        <v>163444.283</v>
      </c>
      <c r="P5" t="n">
        <v>163760.581</v>
      </c>
      <c r="Q5" t="n">
        <v>149135.825</v>
      </c>
      <c r="R5" t="n">
        <v>165939.93</v>
      </c>
      <c r="S5" t="n">
        <v>174272.025</v>
      </c>
      <c r="T5" t="n">
        <v>242326.297</v>
      </c>
      <c r="U5" t="n">
        <v>278861.065</v>
      </c>
      <c r="V5" t="n">
        <v>347475.893</v>
      </c>
      <c r="W5" t="n">
        <v>366200.438</v>
      </c>
      <c r="X5" t="n">
        <v>270972.211</v>
      </c>
      <c r="Y5" t="n">
        <v>327545.893</v>
      </c>
      <c r="Z5" t="n">
        <v>406716.44</v>
      </c>
      <c r="AA5" t="n">
        <v>432580.862</v>
      </c>
      <c r="AB5" t="n">
        <v>314680.182</v>
      </c>
      <c r="AC5" t="n">
        <v>293199.584</v>
      </c>
      <c r="AD5" t="n">
        <v>273445.067</v>
      </c>
      <c r="AE5" t="n">
        <v>306621.271</v>
      </c>
      <c r="AF5" t="n">
        <v>278775.5</v>
      </c>
      <c r="AG5" t="n">
        <v>356446.305</v>
      </c>
      <c r="AH5" t="n">
        <v>311016.652</v>
      </c>
      <c r="AI5" t="n">
        <v>337524.005</v>
      </c>
      <c r="AJ5" t="n">
        <v>392790.569</v>
      </c>
      <c r="AK5" t="n">
        <v>354656.108</v>
      </c>
      <c r="AL5" t="n">
        <v>335886.289</v>
      </c>
      <c r="AM5" t="n">
        <v>290803.091</v>
      </c>
      <c r="AN5" t="n">
        <v>283552.017</v>
      </c>
      <c r="AO5" t="n">
        <v>238102.128</v>
      </c>
      <c r="AP5" t="n">
        <v>258230.307</v>
      </c>
      <c r="AQ5" t="n">
        <v>217966.729</v>
      </c>
      <c r="AR5" t="n">
        <v>182600.794</v>
      </c>
      <c r="AS5" t="n">
        <v>163583.11</v>
      </c>
      <c r="AT5" t="n">
        <v>152688.194</v>
      </c>
      <c r="AU5" t="n">
        <v>159887.761</v>
      </c>
      <c r="AV5" t="n">
        <v>161385.342</v>
      </c>
      <c r="AW5" t="n">
        <v>153501.332</v>
      </c>
      <c r="AX5" t="n">
        <v>178185.985</v>
      </c>
      <c r="AY5" t="n">
        <v>177922.071</v>
      </c>
      <c r="AZ5" t="n">
        <v>173798.004</v>
      </c>
      <c r="BA5" t="n">
        <v>187335.192</v>
      </c>
      <c r="BB5" t="n">
        <v>144769.547</v>
      </c>
      <c r="BC5" t="n">
        <v>129219.671</v>
      </c>
      <c r="BD5" t="n">
        <v>91490.07399999999</v>
      </c>
      <c r="BE5" t="n">
        <v>90645.374</v>
      </c>
      <c r="BF5" t="n">
        <v>61242.197</v>
      </c>
      <c r="BG5" t="n">
        <v>55575.309</v>
      </c>
      <c r="BH5" t="n">
        <v>52534.525</v>
      </c>
      <c r="BI5" t="n">
        <v>49574.845</v>
      </c>
      <c r="BJ5" t="n">
        <v>45781.063</v>
      </c>
      <c r="BK5" t="n">
        <v>47979.384</v>
      </c>
      <c r="BL5" t="n">
        <v>52545.142</v>
      </c>
      <c r="BM5" t="n">
        <v>58238.419</v>
      </c>
      <c r="BN5" t="n">
        <v>52558.951</v>
      </c>
      <c r="BO5" t="n">
        <v>54093.768</v>
      </c>
      <c r="BP5" t="n">
        <v>51335.873</v>
      </c>
      <c r="BQ5" t="n">
        <v>55915.284</v>
      </c>
      <c r="BR5" t="n">
        <v>60457.191</v>
      </c>
      <c r="BS5" t="n">
        <v>60615.895</v>
      </c>
      <c r="BT5" t="n">
        <v>63660.084</v>
      </c>
      <c r="BU5" t="n">
        <v>59326.565</v>
      </c>
      <c r="BV5" t="n">
        <v>311310.372</v>
      </c>
    </row>
    <row r="6">
      <c r="A6" t="inlineStr">
        <is>
          <t>Sprattus sprattus</t>
        </is>
      </c>
      <c r="B6" t="inlineStr">
        <is>
          <t>European sprat</t>
        </is>
      </c>
      <c r="C6" t="inlineStr">
        <is>
          <t>Small pelagics (&lt;30 cm)</t>
        </is>
      </c>
      <c r="D6" t="inlineStr">
        <is>
          <t>Herring-likes</t>
        </is>
      </c>
      <c r="E6" t="n">
        <v>22310.402</v>
      </c>
      <c r="F6" t="n">
        <v>21281.023</v>
      </c>
      <c r="G6" t="n">
        <v>30595.787</v>
      </c>
      <c r="H6" t="n">
        <v>41390.089</v>
      </c>
      <c r="I6" t="n">
        <v>63087.599</v>
      </c>
      <c r="J6" t="n">
        <v>67569.336</v>
      </c>
      <c r="K6" t="n">
        <v>49982.426</v>
      </c>
      <c r="L6" t="n">
        <v>36214.564</v>
      </c>
      <c r="M6" t="n">
        <v>34668.633</v>
      </c>
      <c r="N6" t="n">
        <v>48327.782</v>
      </c>
      <c r="O6" t="n">
        <v>32774.097</v>
      </c>
      <c r="P6" t="n">
        <v>39186.897</v>
      </c>
      <c r="Q6" t="n">
        <v>44871.354</v>
      </c>
      <c r="R6" t="n">
        <v>78783.598</v>
      </c>
      <c r="S6" t="n">
        <v>77538.84</v>
      </c>
      <c r="T6" t="n">
        <v>79924.329</v>
      </c>
      <c r="U6" t="n">
        <v>111216.266</v>
      </c>
      <c r="V6" t="n">
        <v>73163.46400000001</v>
      </c>
      <c r="W6" t="n">
        <v>68819.485</v>
      </c>
      <c r="X6" t="n">
        <v>57498.844</v>
      </c>
      <c r="Y6" t="n">
        <v>48332.962</v>
      </c>
      <c r="Z6" t="n">
        <v>92251.99000000001</v>
      </c>
      <c r="AA6" t="n">
        <v>82791.247</v>
      </c>
      <c r="AB6" t="n">
        <v>289802.701</v>
      </c>
      <c r="AC6" t="n">
        <v>405745.704</v>
      </c>
      <c r="AD6" t="n">
        <v>662803.971</v>
      </c>
      <c r="AE6" t="n">
        <v>641705.128</v>
      </c>
      <c r="AF6" t="n">
        <v>382339.462</v>
      </c>
      <c r="AG6" t="n">
        <v>397582.748</v>
      </c>
      <c r="AH6" t="n">
        <v>409795.742</v>
      </c>
      <c r="AI6" t="n">
        <v>459140.979</v>
      </c>
      <c r="AJ6" t="n">
        <v>421730.904</v>
      </c>
      <c r="AK6" t="n">
        <v>363273.505</v>
      </c>
      <c r="AL6" t="n">
        <v>259464.934</v>
      </c>
      <c r="AM6" t="n">
        <v>179928.081</v>
      </c>
      <c r="AN6" t="n">
        <v>127767.192</v>
      </c>
      <c r="AO6" t="n">
        <v>118450.095</v>
      </c>
      <c r="AP6" t="n">
        <v>150157.289</v>
      </c>
      <c r="AQ6" t="n">
        <v>154462.204</v>
      </c>
      <c r="AR6" t="n">
        <v>114259.61</v>
      </c>
      <c r="AS6" t="n">
        <v>95358.31200000001</v>
      </c>
      <c r="AT6" t="n">
        <v>111634.284</v>
      </c>
      <c r="AU6" t="n">
        <v>88859.738</v>
      </c>
      <c r="AV6" t="n">
        <v>125537.736</v>
      </c>
      <c r="AW6" t="n">
        <v>232499.413</v>
      </c>
      <c r="AX6" t="n">
        <v>209228.167</v>
      </c>
      <c r="AY6" t="n">
        <v>123163.982</v>
      </c>
      <c r="AZ6" t="n">
        <v>144681.696</v>
      </c>
      <c r="BA6" t="n">
        <v>191204.152</v>
      </c>
      <c r="BB6" t="n">
        <v>207387.33</v>
      </c>
      <c r="BC6" t="n">
        <v>242029.186</v>
      </c>
      <c r="BD6" t="n">
        <v>241667.315</v>
      </c>
      <c r="BE6" t="n">
        <v>200840.761</v>
      </c>
      <c r="BF6" t="n">
        <v>237838.139</v>
      </c>
      <c r="BG6" t="n">
        <v>245688.553</v>
      </c>
      <c r="BH6" t="n">
        <v>297562.006</v>
      </c>
      <c r="BI6" t="n">
        <v>174138.419</v>
      </c>
      <c r="BJ6" t="n">
        <v>127608.787</v>
      </c>
      <c r="BK6" t="n">
        <v>93823.97</v>
      </c>
      <c r="BL6" t="n">
        <v>158803.8</v>
      </c>
      <c r="BM6" t="n">
        <v>184658.616</v>
      </c>
      <c r="BN6" t="n">
        <v>160871.294</v>
      </c>
      <c r="BO6" t="n">
        <v>112945.465</v>
      </c>
      <c r="BP6" t="n">
        <v>79675.005</v>
      </c>
      <c r="BQ6" t="n">
        <v>182313.172</v>
      </c>
      <c r="BR6" t="n">
        <v>302360.893</v>
      </c>
      <c r="BS6" t="n">
        <v>241958.463</v>
      </c>
      <c r="BT6" t="n">
        <v>125062.688</v>
      </c>
      <c r="BU6" t="n">
        <v>186577.051</v>
      </c>
      <c r="BV6" t="n">
        <v>139605.137</v>
      </c>
    </row>
    <row r="7">
      <c r="A7" t="inlineStr">
        <is>
          <t>Trisopterus esmarkii</t>
        </is>
      </c>
      <c r="B7" t="inlineStr">
        <is>
          <t>Norway pout</t>
        </is>
      </c>
      <c r="C7" t="inlineStr">
        <is>
          <t>Medium benthopelagics (30 - 89 cm)</t>
        </is>
      </c>
      <c r="D7" t="inlineStr">
        <is>
          <t>Cod-likes</t>
        </is>
      </c>
      <c r="E7" t="n">
        <v>1367.237</v>
      </c>
      <c r="F7" t="n">
        <v>1332.225</v>
      </c>
      <c r="G7" t="n">
        <v>1299.444</v>
      </c>
      <c r="H7" t="n">
        <v>1268.29</v>
      </c>
      <c r="I7" t="n">
        <v>1236.874</v>
      </c>
      <c r="J7" t="n">
        <v>1270.168</v>
      </c>
      <c r="K7" t="n">
        <v>1239.123</v>
      </c>
      <c r="L7" t="n">
        <v>1231.104</v>
      </c>
      <c r="M7" t="n">
        <v>1180.251</v>
      </c>
      <c r="N7" t="n">
        <v>13470.966</v>
      </c>
      <c r="O7" t="n">
        <v>51103.106</v>
      </c>
      <c r="P7" t="n">
        <v>30661.731</v>
      </c>
      <c r="Q7" t="n">
        <v>132406.869</v>
      </c>
      <c r="R7" t="n">
        <v>80313.478</v>
      </c>
      <c r="S7" t="n">
        <v>65973.75900000001</v>
      </c>
      <c r="T7" t="n">
        <v>45018.817</v>
      </c>
      <c r="U7" t="n">
        <v>60118.879</v>
      </c>
      <c r="V7" t="n">
        <v>190933.957</v>
      </c>
      <c r="W7" t="n">
        <v>464132.307</v>
      </c>
      <c r="X7" t="n">
        <v>118371.967</v>
      </c>
      <c r="Y7" t="n">
        <v>240349.228</v>
      </c>
      <c r="Z7" t="n">
        <v>319531.005</v>
      </c>
      <c r="AA7" t="n">
        <v>442666.155</v>
      </c>
      <c r="AB7" t="n">
        <v>364852.555</v>
      </c>
      <c r="AC7" t="n">
        <v>736408.192</v>
      </c>
      <c r="AD7" t="n">
        <v>568882.076</v>
      </c>
      <c r="AE7" t="n">
        <v>472384.976</v>
      </c>
      <c r="AF7" t="n">
        <v>406193.483</v>
      </c>
      <c r="AG7" t="n">
        <v>280087.998</v>
      </c>
      <c r="AH7" t="n">
        <v>327651.504</v>
      </c>
      <c r="AI7" t="n">
        <v>490438.347</v>
      </c>
      <c r="AJ7" t="n">
        <v>298552.542</v>
      </c>
      <c r="AK7" t="n">
        <v>436653.42</v>
      </c>
      <c r="AL7" t="n">
        <v>440338.604</v>
      </c>
      <c r="AM7" t="n">
        <v>368561.663</v>
      </c>
      <c r="AN7" t="n">
        <v>280214.538</v>
      </c>
      <c r="AO7" t="n">
        <v>211372.362</v>
      </c>
      <c r="AP7" t="n">
        <v>220419.042</v>
      </c>
      <c r="AQ7" t="n">
        <v>194820.215</v>
      </c>
      <c r="AR7" t="n">
        <v>237062.603</v>
      </c>
      <c r="AS7" t="n">
        <v>194054.683</v>
      </c>
      <c r="AT7" t="n">
        <v>222965.347</v>
      </c>
      <c r="AU7" t="n">
        <v>361332.928</v>
      </c>
      <c r="AV7" t="n">
        <v>253163.736</v>
      </c>
      <c r="AW7" t="n">
        <v>221330.377</v>
      </c>
      <c r="AX7" t="n">
        <v>287075.15</v>
      </c>
      <c r="AY7" t="n">
        <v>205739.172</v>
      </c>
      <c r="AZ7" t="n">
        <v>182776.754</v>
      </c>
      <c r="BA7" t="n">
        <v>79648.32799999999</v>
      </c>
      <c r="BB7" t="n">
        <v>93858.37</v>
      </c>
      <c r="BC7" t="n">
        <v>191763.14</v>
      </c>
      <c r="BD7" t="n">
        <v>71641.698</v>
      </c>
      <c r="BE7" t="n">
        <v>98502.444</v>
      </c>
      <c r="BF7" t="n">
        <v>21718.197</v>
      </c>
      <c r="BG7" t="n">
        <v>17399.418</v>
      </c>
      <c r="BH7" t="n">
        <v>2272.898</v>
      </c>
      <c r="BI7" t="n">
        <v>51923.149</v>
      </c>
      <c r="BJ7" t="n">
        <v>5452.997</v>
      </c>
      <c r="BK7" t="n">
        <v>39421.668</v>
      </c>
      <c r="BL7" t="n">
        <v>57533.633</v>
      </c>
      <c r="BM7" t="n">
        <v>131114.168</v>
      </c>
      <c r="BN7" t="n">
        <v>8369.526</v>
      </c>
      <c r="BO7" t="n">
        <v>30837.313</v>
      </c>
      <c r="BP7" t="n">
        <v>85243.83500000001</v>
      </c>
      <c r="BQ7" t="n">
        <v>47611.562</v>
      </c>
      <c r="BR7" t="n">
        <v>63273.88</v>
      </c>
      <c r="BS7" t="n">
        <v>62508.214</v>
      </c>
      <c r="BT7" t="n">
        <v>34616.146</v>
      </c>
      <c r="BU7" t="n">
        <v>37313.086</v>
      </c>
      <c r="BV7" t="n">
        <v>71906.681</v>
      </c>
    </row>
    <row r="8">
      <c r="A8" t="inlineStr">
        <is>
          <t>Pleuronectes platessa</t>
        </is>
      </c>
      <c r="B8" t="inlineStr">
        <is>
          <t>European plaice</t>
        </is>
      </c>
      <c r="C8" t="inlineStr">
        <is>
          <t>Large flatfishes (&gt;=90 cm)</t>
        </is>
      </c>
      <c r="D8" t="inlineStr">
        <is>
          <t>Flatfishes</t>
        </is>
      </c>
      <c r="E8" t="n">
        <v>109813.628</v>
      </c>
      <c r="F8" t="n">
        <v>110006.203</v>
      </c>
      <c r="G8" t="n">
        <v>119229.054</v>
      </c>
      <c r="H8" t="n">
        <v>128252.823</v>
      </c>
      <c r="I8" t="n">
        <v>111138.967</v>
      </c>
      <c r="J8" t="n">
        <v>106093.169</v>
      </c>
      <c r="K8" t="n">
        <v>107877.486</v>
      </c>
      <c r="L8" t="n">
        <v>115149.046</v>
      </c>
      <c r="M8" t="n">
        <v>120040.384</v>
      </c>
      <c r="N8" t="n">
        <v>136932.183</v>
      </c>
      <c r="O8" t="n">
        <v>149342.806</v>
      </c>
      <c r="P8" t="n">
        <v>161472.824</v>
      </c>
      <c r="Q8" t="n">
        <v>173077.864</v>
      </c>
      <c r="R8" t="n">
        <v>198298.55</v>
      </c>
      <c r="S8" t="n">
        <v>200645.97</v>
      </c>
      <c r="T8" t="n">
        <v>173177.595</v>
      </c>
      <c r="U8" t="n">
        <v>185488.621</v>
      </c>
      <c r="V8" t="n">
        <v>185671.209</v>
      </c>
      <c r="W8" t="n">
        <v>209162.286</v>
      </c>
      <c r="X8" t="n">
        <v>227050.312</v>
      </c>
      <c r="Y8" t="n">
        <v>239404.51</v>
      </c>
      <c r="Z8" t="n">
        <v>221938.146</v>
      </c>
      <c r="AA8" t="n">
        <v>240932.587</v>
      </c>
      <c r="AB8" t="n">
        <v>247144.148</v>
      </c>
      <c r="AC8" t="n">
        <v>223109.336</v>
      </c>
      <c r="AD8" t="n">
        <v>220710.836</v>
      </c>
      <c r="AE8" t="n">
        <v>223515.566</v>
      </c>
      <c r="AF8" t="n">
        <v>228329.837</v>
      </c>
      <c r="AG8" t="n">
        <v>189069.324</v>
      </c>
      <c r="AH8" t="n">
        <v>212666.147</v>
      </c>
      <c r="AI8" t="n">
        <v>204016.322</v>
      </c>
      <c r="AJ8" t="n">
        <v>199975.808</v>
      </c>
      <c r="AK8" t="n">
        <v>238521.663</v>
      </c>
      <c r="AL8" t="n">
        <v>213863.157</v>
      </c>
      <c r="AM8" t="n">
        <v>234328.386</v>
      </c>
      <c r="AN8" t="n">
        <v>255340.417</v>
      </c>
      <c r="AO8" t="n">
        <v>253378.615</v>
      </c>
      <c r="AP8" t="n">
        <v>238409.979</v>
      </c>
      <c r="AQ8" t="n">
        <v>236642.422</v>
      </c>
      <c r="AR8" t="n">
        <v>250800.526</v>
      </c>
      <c r="AS8" t="n">
        <v>246847.908</v>
      </c>
      <c r="AT8" t="n">
        <v>228383.845</v>
      </c>
      <c r="AU8" t="n">
        <v>195894.718</v>
      </c>
      <c r="AV8" t="n">
        <v>185361.47</v>
      </c>
      <c r="AW8" t="n">
        <v>180834.225</v>
      </c>
      <c r="AX8" t="n">
        <v>162924.984</v>
      </c>
      <c r="AY8" t="n">
        <v>134679.134</v>
      </c>
      <c r="AZ8" t="n">
        <v>131552.565</v>
      </c>
      <c r="BA8" t="n">
        <v>117060.88</v>
      </c>
      <c r="BB8" t="n">
        <v>134496.38</v>
      </c>
      <c r="BC8" t="n">
        <v>133189.67</v>
      </c>
      <c r="BD8" t="n">
        <v>134025.462</v>
      </c>
      <c r="BE8" t="n">
        <v>113539.264</v>
      </c>
      <c r="BF8" t="n">
        <v>110620.776</v>
      </c>
      <c r="BG8" t="n">
        <v>101506.637</v>
      </c>
      <c r="BH8" t="n">
        <v>89984.466</v>
      </c>
      <c r="BI8" t="n">
        <v>94483.988</v>
      </c>
      <c r="BJ8" t="n">
        <v>86106.39999999999</v>
      </c>
      <c r="BK8" t="n">
        <v>83945.30899999999</v>
      </c>
      <c r="BL8" t="n">
        <v>92386.07000000001</v>
      </c>
      <c r="BM8" t="n">
        <v>108760.539</v>
      </c>
      <c r="BN8" t="n">
        <v>108403.369</v>
      </c>
      <c r="BO8" t="n">
        <v>116383.293</v>
      </c>
      <c r="BP8" t="n">
        <v>123391.128</v>
      </c>
      <c r="BQ8" t="n">
        <v>113717.455</v>
      </c>
      <c r="BR8" t="n">
        <v>117623.381</v>
      </c>
      <c r="BS8" t="n">
        <v>126188.223</v>
      </c>
      <c r="BT8" t="n">
        <v>110759.705</v>
      </c>
      <c r="BU8" t="n">
        <v>105758.4</v>
      </c>
      <c r="BV8" t="n">
        <v>83480.58</v>
      </c>
    </row>
    <row r="9">
      <c r="A9" t="inlineStr">
        <is>
          <t>Melanogrammus aeglefinus</t>
        </is>
      </c>
      <c r="B9" t="inlineStr">
        <is>
          <t>Haddock</t>
        </is>
      </c>
      <c r="C9" t="inlineStr">
        <is>
          <t>Medium demersals (30 - 89 cm)</t>
        </is>
      </c>
      <c r="D9" t="inlineStr">
        <is>
          <t>Cod-likes</t>
        </is>
      </c>
      <c r="E9" t="n">
        <v>74659.72</v>
      </c>
      <c r="F9" t="n">
        <v>73082.27899999999</v>
      </c>
      <c r="G9" t="n">
        <v>67584.87</v>
      </c>
      <c r="H9" t="n">
        <v>78205.272</v>
      </c>
      <c r="I9" t="n">
        <v>89986.215</v>
      </c>
      <c r="J9" t="n">
        <v>111983.733</v>
      </c>
      <c r="K9" t="n">
        <v>120035.303</v>
      </c>
      <c r="L9" t="n">
        <v>133708.069</v>
      </c>
      <c r="M9" t="n">
        <v>122383.91</v>
      </c>
      <c r="N9" t="n">
        <v>100937.765</v>
      </c>
      <c r="O9" t="n">
        <v>88099.742</v>
      </c>
      <c r="P9" t="n">
        <v>88598.448</v>
      </c>
      <c r="Q9" t="n">
        <v>70839.99000000001</v>
      </c>
      <c r="R9" t="n">
        <v>88781.02</v>
      </c>
      <c r="S9" t="n">
        <v>287581.228</v>
      </c>
      <c r="T9" t="n">
        <v>311277.43</v>
      </c>
      <c r="U9" t="n">
        <v>409230.721</v>
      </c>
      <c r="V9" t="n">
        <v>239863.108</v>
      </c>
      <c r="W9" t="n">
        <v>191425.234</v>
      </c>
      <c r="X9" t="n">
        <v>933376.586</v>
      </c>
      <c r="Y9" t="n">
        <v>1115656.924</v>
      </c>
      <c r="Z9" t="n">
        <v>374378.858</v>
      </c>
      <c r="AA9" t="n">
        <v>303240.198</v>
      </c>
      <c r="AB9" t="n">
        <v>285834.649</v>
      </c>
      <c r="AC9" t="n">
        <v>273860.244</v>
      </c>
      <c r="AD9" t="n">
        <v>276050.915</v>
      </c>
      <c r="AE9" t="n">
        <v>309904.979</v>
      </c>
      <c r="AF9" t="n">
        <v>195531.807</v>
      </c>
      <c r="AG9" t="n">
        <v>119991.046</v>
      </c>
      <c r="AH9" t="n">
        <v>115194.269</v>
      </c>
      <c r="AI9" t="n">
        <v>153033.69</v>
      </c>
      <c r="AJ9" t="n">
        <v>194048.138</v>
      </c>
      <c r="AK9" t="n">
        <v>251651.597</v>
      </c>
      <c r="AL9" t="n">
        <v>238659.077</v>
      </c>
      <c r="AM9" t="n">
        <v>194697.856</v>
      </c>
      <c r="AN9" t="n">
        <v>247328.751</v>
      </c>
      <c r="AO9" t="n">
        <v>234511.611</v>
      </c>
      <c r="AP9" t="n">
        <v>151748.879</v>
      </c>
      <c r="AQ9" t="n">
        <v>149447.496</v>
      </c>
      <c r="AR9" t="n">
        <v>91468.853</v>
      </c>
      <c r="AS9" t="n">
        <v>64213.398</v>
      </c>
      <c r="AT9" t="n">
        <v>61768.204</v>
      </c>
      <c r="AU9" t="n">
        <v>73625.16800000001</v>
      </c>
      <c r="AV9" t="n">
        <v>105437.333</v>
      </c>
      <c r="AW9" t="n">
        <v>111267.904</v>
      </c>
      <c r="AX9" t="n">
        <v>98147.55100000001</v>
      </c>
      <c r="AY9" t="n">
        <v>99128.14</v>
      </c>
      <c r="AZ9" t="n">
        <v>96768.712</v>
      </c>
      <c r="BA9" t="n">
        <v>96326.85000000001</v>
      </c>
      <c r="BB9" t="n">
        <v>81292.205</v>
      </c>
      <c r="BC9" t="n">
        <v>61296.773</v>
      </c>
      <c r="BD9" t="n">
        <v>58262.728</v>
      </c>
      <c r="BE9" t="n">
        <v>73881.045</v>
      </c>
      <c r="BF9" t="n">
        <v>54022.029</v>
      </c>
      <c r="BG9" t="n">
        <v>57410.283</v>
      </c>
      <c r="BH9" t="n">
        <v>37239.533</v>
      </c>
      <c r="BI9" t="n">
        <v>44055.228</v>
      </c>
      <c r="BJ9" t="n">
        <v>38244.189</v>
      </c>
      <c r="BK9" t="n">
        <v>37178.599</v>
      </c>
      <c r="BL9" t="n">
        <v>37908.168</v>
      </c>
      <c r="BM9" t="n">
        <v>33896.267</v>
      </c>
      <c r="BN9" t="n">
        <v>33393.264</v>
      </c>
      <c r="BO9" t="n">
        <v>38136.087</v>
      </c>
      <c r="BP9" t="n">
        <v>44189.478</v>
      </c>
      <c r="BQ9" t="n">
        <v>40723.437</v>
      </c>
      <c r="BR9" t="n">
        <v>35056.741</v>
      </c>
      <c r="BS9" t="n">
        <v>34629.591</v>
      </c>
      <c r="BT9" t="n">
        <v>34454.307</v>
      </c>
      <c r="BU9" t="n">
        <v>31934.414</v>
      </c>
      <c r="BV9" t="n">
        <v>102265.471</v>
      </c>
    </row>
    <row r="10">
      <c r="A10" t="inlineStr">
        <is>
          <t>Pollachius virens</t>
        </is>
      </c>
      <c r="B10" t="inlineStr">
        <is>
          <t>Saithe</t>
        </is>
      </c>
      <c r="C10" t="inlineStr">
        <is>
          <t>Large demersals (&gt;=90 cm)</t>
        </is>
      </c>
      <c r="D10" t="inlineStr">
        <is>
          <t>Cod-likes</t>
        </is>
      </c>
      <c r="E10" t="n">
        <v>23934.796</v>
      </c>
      <c r="F10" t="n">
        <v>24626.193</v>
      </c>
      <c r="G10" t="n">
        <v>25513.406</v>
      </c>
      <c r="H10" t="n">
        <v>25355.68</v>
      </c>
      <c r="I10" t="n">
        <v>37767.355</v>
      </c>
      <c r="J10" t="n">
        <v>47076.716</v>
      </c>
      <c r="K10" t="n">
        <v>53214.762</v>
      </c>
      <c r="L10" t="n">
        <v>57999.622</v>
      </c>
      <c r="M10" t="n">
        <v>52810.868</v>
      </c>
      <c r="N10" t="n">
        <v>54197.991</v>
      </c>
      <c r="O10" t="n">
        <v>34743.458</v>
      </c>
      <c r="P10" t="n">
        <v>36211.639</v>
      </c>
      <c r="Q10" t="n">
        <v>28137.813</v>
      </c>
      <c r="R10" t="n">
        <v>35277.328</v>
      </c>
      <c r="S10" t="n">
        <v>62439.773</v>
      </c>
      <c r="T10" t="n">
        <v>77344.484</v>
      </c>
      <c r="U10" t="n">
        <v>118501.303</v>
      </c>
      <c r="V10" t="n">
        <v>93039.64</v>
      </c>
      <c r="W10" t="n">
        <v>119461.534</v>
      </c>
      <c r="X10" t="n">
        <v>146321.886</v>
      </c>
      <c r="Y10" t="n">
        <v>293204.344</v>
      </c>
      <c r="Z10" t="n">
        <v>363786.46</v>
      </c>
      <c r="AA10" t="n">
        <v>342070.063</v>
      </c>
      <c r="AB10" t="n">
        <v>301058.458</v>
      </c>
      <c r="AC10" t="n">
        <v>357674.276</v>
      </c>
      <c r="AD10" t="n">
        <v>345608.193</v>
      </c>
      <c r="AE10" t="n">
        <v>367774.428</v>
      </c>
      <c r="AF10" t="n">
        <v>229480.729</v>
      </c>
      <c r="AG10" t="n">
        <v>147635.721</v>
      </c>
      <c r="AH10" t="n">
        <v>112024.901</v>
      </c>
      <c r="AI10" t="n">
        <v>115504.586</v>
      </c>
      <c r="AJ10" t="n">
        <v>126833.358</v>
      </c>
      <c r="AK10" t="n">
        <v>163983.906</v>
      </c>
      <c r="AL10" t="n">
        <v>162532.45</v>
      </c>
      <c r="AM10" t="n">
        <v>189356.667</v>
      </c>
      <c r="AN10" t="n">
        <v>199102.496</v>
      </c>
      <c r="AO10" t="n">
        <v>168300.098</v>
      </c>
      <c r="AP10" t="n">
        <v>158916.376</v>
      </c>
      <c r="AQ10" t="n">
        <v>114133.383</v>
      </c>
      <c r="AR10" t="n">
        <v>94145.935</v>
      </c>
      <c r="AS10" t="n">
        <v>92578.947</v>
      </c>
      <c r="AT10" t="n">
        <v>96261.30899999999</v>
      </c>
      <c r="AU10" t="n">
        <v>94481.32399999999</v>
      </c>
      <c r="AV10" t="n">
        <v>103162.256</v>
      </c>
      <c r="AW10" t="n">
        <v>93704.412</v>
      </c>
      <c r="AX10" t="n">
        <v>99586.30899999999</v>
      </c>
      <c r="AY10" t="n">
        <v>97249.285</v>
      </c>
      <c r="AZ10" t="n">
        <v>92106.37300000001</v>
      </c>
      <c r="BA10" t="n">
        <v>91890.834</v>
      </c>
      <c r="BB10" t="n">
        <v>104315.921</v>
      </c>
      <c r="BC10" t="n">
        <v>93727.882</v>
      </c>
      <c r="BD10" t="n">
        <v>92059.486</v>
      </c>
      <c r="BE10" t="n">
        <v>124180.526</v>
      </c>
      <c r="BF10" t="n">
        <v>117042.673</v>
      </c>
      <c r="BG10" t="n">
        <v>113145.259</v>
      </c>
      <c r="BH10" t="n">
        <v>118953.231</v>
      </c>
      <c r="BI10" t="n">
        <v>94441.925</v>
      </c>
      <c r="BJ10" t="n">
        <v>99411.726</v>
      </c>
      <c r="BK10" t="n">
        <v>122475.269</v>
      </c>
      <c r="BL10" t="n">
        <v>111995.297</v>
      </c>
      <c r="BM10" t="n">
        <v>95591.70299999999</v>
      </c>
      <c r="BN10" t="n">
        <v>88867.951</v>
      </c>
      <c r="BO10" t="n">
        <v>67146.49400000001</v>
      </c>
      <c r="BP10" t="n">
        <v>73465.204</v>
      </c>
      <c r="BQ10" t="n">
        <v>71228.988</v>
      </c>
      <c r="BR10" t="n">
        <v>72617.602</v>
      </c>
      <c r="BS10" t="n">
        <v>64656.167</v>
      </c>
      <c r="BT10" t="n">
        <v>85688.45299999999</v>
      </c>
      <c r="BU10" t="n">
        <v>79083.52499999999</v>
      </c>
      <c r="BV10" t="n">
        <v>227183.234</v>
      </c>
    </row>
    <row r="11">
      <c r="A11" t="inlineStr">
        <is>
          <t>Merlangius merlangus</t>
        </is>
      </c>
      <c r="B11" t="inlineStr">
        <is>
          <t>Whiting</t>
        </is>
      </c>
      <c r="C11" t="inlineStr">
        <is>
          <t>Medium benthopelagics (30 - 89 cm)</t>
        </is>
      </c>
      <c r="D11" t="inlineStr">
        <is>
          <t>Cod-likes</t>
        </is>
      </c>
      <c r="E11" t="n">
        <v>65154.554</v>
      </c>
      <c r="F11" t="n">
        <v>96867.416</v>
      </c>
      <c r="G11" t="n">
        <v>99563.458</v>
      </c>
      <c r="H11" t="n">
        <v>86711.54399999999</v>
      </c>
      <c r="I11" t="n">
        <v>109617.622</v>
      </c>
      <c r="J11" t="n">
        <v>120609.441</v>
      </c>
      <c r="K11" t="n">
        <v>115303.216</v>
      </c>
      <c r="L11" t="n">
        <v>140711.525</v>
      </c>
      <c r="M11" t="n">
        <v>119805.752</v>
      </c>
      <c r="N11" t="n">
        <v>156856.631</v>
      </c>
      <c r="O11" t="n">
        <v>100747.554</v>
      </c>
      <c r="P11" t="n">
        <v>179914.093</v>
      </c>
      <c r="Q11" t="n">
        <v>132702.951</v>
      </c>
      <c r="R11" t="n">
        <v>186995.004</v>
      </c>
      <c r="S11" t="n">
        <v>172412.293</v>
      </c>
      <c r="T11" t="n">
        <v>187070.406</v>
      </c>
      <c r="U11" t="n">
        <v>280465.387</v>
      </c>
      <c r="V11" t="n">
        <v>185312.147</v>
      </c>
      <c r="W11" t="n">
        <v>264719.224</v>
      </c>
      <c r="X11" t="n">
        <v>322720.304</v>
      </c>
      <c r="Y11" t="n">
        <v>297119.426</v>
      </c>
      <c r="Z11" t="n">
        <v>188612.343</v>
      </c>
      <c r="AA11" t="n">
        <v>183408.437</v>
      </c>
      <c r="AB11" t="n">
        <v>243667.232</v>
      </c>
      <c r="AC11" t="n">
        <v>313237.451</v>
      </c>
      <c r="AD11" t="n">
        <v>224378.848</v>
      </c>
      <c r="AE11" t="n">
        <v>295215.084</v>
      </c>
      <c r="AF11" t="n">
        <v>198388.272</v>
      </c>
      <c r="AG11" t="n">
        <v>222207.544</v>
      </c>
      <c r="AH11" t="n">
        <v>219628.34</v>
      </c>
      <c r="AI11" t="n">
        <v>190814.851</v>
      </c>
      <c r="AJ11" t="n">
        <v>180514.949</v>
      </c>
      <c r="AK11" t="n">
        <v>174719.412</v>
      </c>
      <c r="AL11" t="n">
        <v>168869.359</v>
      </c>
      <c r="AM11" t="n">
        <v>170728.472</v>
      </c>
      <c r="AN11" t="n">
        <v>121487.512</v>
      </c>
      <c r="AO11" t="n">
        <v>110826.981</v>
      </c>
      <c r="AP11" t="n">
        <v>106660.375</v>
      </c>
      <c r="AQ11" t="n">
        <v>113046.224</v>
      </c>
      <c r="AR11" t="n">
        <v>76551.955</v>
      </c>
      <c r="AS11" t="n">
        <v>78222.25999999999</v>
      </c>
      <c r="AT11" t="n">
        <v>87870.565</v>
      </c>
      <c r="AU11" t="n">
        <v>87858.13</v>
      </c>
      <c r="AV11" t="n">
        <v>97041.15300000001</v>
      </c>
      <c r="AW11" t="n">
        <v>84854.73</v>
      </c>
      <c r="AX11" t="n">
        <v>80534.564</v>
      </c>
      <c r="AY11" t="n">
        <v>70519.913</v>
      </c>
      <c r="AZ11" t="n">
        <v>57683.724</v>
      </c>
      <c r="BA11" t="n">
        <v>45559.17</v>
      </c>
      <c r="BB11" t="n">
        <v>55929.458</v>
      </c>
      <c r="BC11" t="n">
        <v>54293.99</v>
      </c>
      <c r="BD11" t="n">
        <v>42884.271</v>
      </c>
      <c r="BE11" t="n">
        <v>38553.275</v>
      </c>
      <c r="BF11" t="n">
        <v>41064.743</v>
      </c>
      <c r="BG11" t="n">
        <v>34454.94</v>
      </c>
      <c r="BH11" t="n">
        <v>28610.35</v>
      </c>
      <c r="BI11" t="n">
        <v>38213.99</v>
      </c>
      <c r="BJ11" t="n">
        <v>31230.051</v>
      </c>
      <c r="BK11" t="n">
        <v>31367.224</v>
      </c>
      <c r="BL11" t="n">
        <v>28665.257</v>
      </c>
      <c r="BM11" t="n">
        <v>28163.045</v>
      </c>
      <c r="BN11" t="n">
        <v>29136.466</v>
      </c>
      <c r="BO11" t="n">
        <v>31059.641</v>
      </c>
      <c r="BP11" t="n">
        <v>28838.981</v>
      </c>
      <c r="BQ11" t="n">
        <v>31013.086</v>
      </c>
      <c r="BR11" t="n">
        <v>32203.107</v>
      </c>
      <c r="BS11" t="n">
        <v>31743.834</v>
      </c>
      <c r="BT11" t="n">
        <v>31269.151</v>
      </c>
      <c r="BU11" t="n">
        <v>34383.396</v>
      </c>
      <c r="BV11" t="n">
        <v>32990.57</v>
      </c>
    </row>
    <row r="12">
      <c r="A12" t="inlineStr">
        <is>
          <t>Micromesistius poutassou</t>
        </is>
      </c>
      <c r="B12" t="inlineStr">
        <is>
          <t>Blue whiting</t>
        </is>
      </c>
      <c r="C12" t="inlineStr">
        <is>
          <t>Medium benthopelagics (30 - 89 cm)</t>
        </is>
      </c>
      <c r="D12" t="inlineStr">
        <is>
          <t>Cod-likes</t>
        </is>
      </c>
      <c r="E12" t="n">
        <v>0.033</v>
      </c>
      <c r="F12" t="n">
        <v>0.027</v>
      </c>
      <c r="G12" t="n">
        <v>0.029</v>
      </c>
      <c r="H12" t="n">
        <v>0.033</v>
      </c>
      <c r="I12" t="n">
        <v>0.034</v>
      </c>
      <c r="J12" t="n">
        <v>0.056</v>
      </c>
      <c r="K12" t="n">
        <v>0.063</v>
      </c>
      <c r="L12" t="n">
        <v>0.08400000000000001</v>
      </c>
      <c r="M12" t="n">
        <v>0.079</v>
      </c>
      <c r="N12" t="n">
        <v>0.097</v>
      </c>
      <c r="O12" t="n">
        <v>0.233</v>
      </c>
      <c r="P12" t="n">
        <v>0.158</v>
      </c>
      <c r="Q12" t="n">
        <v>0.155</v>
      </c>
      <c r="R12" t="n">
        <v>0.15</v>
      </c>
      <c r="S12" t="n">
        <v>0.201</v>
      </c>
      <c r="T12" t="n">
        <v>0.212</v>
      </c>
      <c r="U12" t="n">
        <v>0.252</v>
      </c>
      <c r="V12" t="n">
        <v>0.193</v>
      </c>
      <c r="W12" t="n">
        <v>0.207</v>
      </c>
      <c r="X12" t="n">
        <v>12.732</v>
      </c>
      <c r="Y12" t="n">
        <v>18.613</v>
      </c>
      <c r="Z12" t="n">
        <v>2860.364</v>
      </c>
      <c r="AA12" t="n">
        <v>2160.164</v>
      </c>
      <c r="AB12" t="n">
        <v>16900.21</v>
      </c>
      <c r="AC12" t="n">
        <v>15324.643</v>
      </c>
      <c r="AD12" t="n">
        <v>15183.005</v>
      </c>
      <c r="AE12" t="n">
        <v>10695.185</v>
      </c>
      <c r="AF12" t="n">
        <v>27280.533</v>
      </c>
      <c r="AG12" t="n">
        <v>125776.537</v>
      </c>
      <c r="AH12" t="n">
        <v>110781.722</v>
      </c>
      <c r="AI12" t="n">
        <v>67041.38400000001</v>
      </c>
      <c r="AJ12" t="n">
        <v>85838.03999999999</v>
      </c>
      <c r="AK12" t="n">
        <v>110414.415</v>
      </c>
      <c r="AL12" t="n">
        <v>133022.813</v>
      </c>
      <c r="AM12" t="n">
        <v>113930.449</v>
      </c>
      <c r="AN12" t="n">
        <v>111198.99</v>
      </c>
      <c r="AO12" t="n">
        <v>109710.587</v>
      </c>
      <c r="AP12" t="n">
        <v>100846.077</v>
      </c>
      <c r="AQ12" t="n">
        <v>139618.829</v>
      </c>
      <c r="AR12" t="n">
        <v>58946.757</v>
      </c>
      <c r="AS12" t="n">
        <v>81522.09699999999</v>
      </c>
      <c r="AT12" t="n">
        <v>149666.389</v>
      </c>
      <c r="AU12" t="n">
        <v>86950.522</v>
      </c>
      <c r="AV12" t="n">
        <v>128263.107</v>
      </c>
      <c r="AW12" t="n">
        <v>123220.194</v>
      </c>
      <c r="AX12" t="n">
        <v>117896.104</v>
      </c>
      <c r="AY12" t="n">
        <v>99513.883</v>
      </c>
      <c r="AZ12" t="n">
        <v>128285.54</v>
      </c>
      <c r="BA12" t="n">
        <v>147473.279</v>
      </c>
      <c r="BB12" t="n">
        <v>202131.288</v>
      </c>
      <c r="BC12" t="n">
        <v>187581.708</v>
      </c>
      <c r="BD12" t="n">
        <v>162089.754</v>
      </c>
      <c r="BE12" t="n">
        <v>185462.328</v>
      </c>
      <c r="BF12" t="n">
        <v>211506.907</v>
      </c>
      <c r="BG12" t="n">
        <v>203370.031</v>
      </c>
      <c r="BH12" t="n">
        <v>176791.353</v>
      </c>
      <c r="BI12" t="n">
        <v>150877.605</v>
      </c>
      <c r="BJ12" t="n">
        <v>103223.363</v>
      </c>
      <c r="BK12" t="n">
        <v>76594.931</v>
      </c>
      <c r="BL12" t="n">
        <v>54225.361</v>
      </c>
      <c r="BM12" t="n">
        <v>49528.25</v>
      </c>
      <c r="BN12" t="n">
        <v>9862.126</v>
      </c>
      <c r="BO12" t="n">
        <v>14965.246</v>
      </c>
      <c r="BP12" t="n">
        <v>19966.629</v>
      </c>
      <c r="BQ12" t="n">
        <v>60502.473</v>
      </c>
      <c r="BR12" t="n">
        <v>72296.842</v>
      </c>
      <c r="BS12" t="n">
        <v>73657.99099999999</v>
      </c>
      <c r="BT12" t="n">
        <v>76382.37699999999</v>
      </c>
      <c r="BU12" t="n">
        <v>79649.072</v>
      </c>
      <c r="BV12" t="n">
        <v>29324.764</v>
      </c>
    </row>
    <row r="13">
      <c r="A13" t="inlineStr">
        <is>
          <t>Crangon crangon</t>
        </is>
      </c>
      <c r="B13" t="inlineStr">
        <is>
          <t>Common shrimp</t>
        </is>
      </c>
      <c r="C13" t="inlineStr">
        <is>
          <t>Shrimps</t>
        </is>
      </c>
      <c r="D13" t="inlineStr">
        <is>
          <t>Crustaceans</t>
        </is>
      </c>
      <c r="E13" t="n">
        <v>86893.196</v>
      </c>
      <c r="F13" t="n">
        <v>80412.431</v>
      </c>
      <c r="G13" t="n">
        <v>76114.217</v>
      </c>
      <c r="H13" t="n">
        <v>110373.152</v>
      </c>
      <c r="I13" t="n">
        <v>91976.527</v>
      </c>
      <c r="J13" t="n">
        <v>122061.983</v>
      </c>
      <c r="K13" t="n">
        <v>100751.282</v>
      </c>
      <c r="L13" t="n">
        <v>93297.197</v>
      </c>
      <c r="M13" t="n">
        <v>78059.876</v>
      </c>
      <c r="N13" t="n">
        <v>76881.053</v>
      </c>
      <c r="O13" t="n">
        <v>70762.219</v>
      </c>
      <c r="P13" t="n">
        <v>80030.226</v>
      </c>
      <c r="Q13" t="n">
        <v>75823.45699999999</v>
      </c>
      <c r="R13" t="n">
        <v>123933.711</v>
      </c>
      <c r="S13" t="n">
        <v>92886.47199999999</v>
      </c>
      <c r="T13" t="n">
        <v>85209.72199999999</v>
      </c>
      <c r="U13" t="n">
        <v>102403.703</v>
      </c>
      <c r="V13" t="n">
        <v>72825.299</v>
      </c>
      <c r="W13" t="n">
        <v>85831.901</v>
      </c>
      <c r="X13" t="n">
        <v>76696.094</v>
      </c>
      <c r="Y13" t="n">
        <v>95349.512</v>
      </c>
      <c r="Z13" t="n">
        <v>58452.853</v>
      </c>
      <c r="AA13" t="n">
        <v>59540.746</v>
      </c>
      <c r="AB13" t="n">
        <v>72305.292</v>
      </c>
      <c r="AC13" t="n">
        <v>71662.45299999999</v>
      </c>
      <c r="AD13" t="n">
        <v>56244.865</v>
      </c>
      <c r="AE13" t="n">
        <v>68439.607</v>
      </c>
      <c r="AF13" t="n">
        <v>44892.438</v>
      </c>
      <c r="AG13" t="n">
        <v>41917.708</v>
      </c>
      <c r="AH13" t="n">
        <v>51065.463</v>
      </c>
      <c r="AI13" t="n">
        <v>41841.02</v>
      </c>
      <c r="AJ13" t="n">
        <v>38607.336</v>
      </c>
      <c r="AK13" t="n">
        <v>54957.118</v>
      </c>
      <c r="AL13" t="n">
        <v>38583.853</v>
      </c>
      <c r="AM13" t="n">
        <v>26024.702</v>
      </c>
      <c r="AN13" t="n">
        <v>38792.916</v>
      </c>
      <c r="AO13" t="n">
        <v>37524.707</v>
      </c>
      <c r="AP13" t="n">
        <v>39607.76</v>
      </c>
      <c r="AQ13" t="n">
        <v>36400.508</v>
      </c>
      <c r="AR13" t="n">
        <v>43331.203</v>
      </c>
      <c r="AS13" t="n">
        <v>25537.951</v>
      </c>
      <c r="AT13" t="n">
        <v>43162.831</v>
      </c>
      <c r="AU13" t="n">
        <v>44953.259</v>
      </c>
      <c r="AV13" t="n">
        <v>46816.654</v>
      </c>
      <c r="AW13" t="n">
        <v>55253.521</v>
      </c>
      <c r="AX13" t="n">
        <v>50604.023</v>
      </c>
      <c r="AY13" t="n">
        <v>56308.809</v>
      </c>
      <c r="AZ13" t="n">
        <v>67145.389</v>
      </c>
      <c r="BA13" t="n">
        <v>53217.452</v>
      </c>
      <c r="BB13" t="n">
        <v>63602.993</v>
      </c>
      <c r="BC13" t="n">
        <v>58414.523</v>
      </c>
      <c r="BD13" t="n">
        <v>52971.837</v>
      </c>
      <c r="BE13" t="n">
        <v>57210.92</v>
      </c>
      <c r="BF13" t="n">
        <v>64076.344</v>
      </c>
      <c r="BG13" t="n">
        <v>68048.85400000001</v>
      </c>
      <c r="BH13" t="n">
        <v>79398.25</v>
      </c>
      <c r="BI13" t="n">
        <v>70696.428</v>
      </c>
      <c r="BJ13" t="n">
        <v>66020.997</v>
      </c>
      <c r="BK13" t="n">
        <v>67461.06200000001</v>
      </c>
      <c r="BL13" t="n">
        <v>72805.67200000001</v>
      </c>
      <c r="BM13" t="n">
        <v>75212.655</v>
      </c>
      <c r="BN13" t="n">
        <v>64642.952</v>
      </c>
      <c r="BO13" t="n">
        <v>65829.408</v>
      </c>
      <c r="BP13" t="n">
        <v>70233.08100000001</v>
      </c>
      <c r="BQ13" t="n">
        <v>74663.09699999999</v>
      </c>
      <c r="BR13" t="n">
        <v>46505.628</v>
      </c>
      <c r="BS13" t="n">
        <v>42337.122</v>
      </c>
      <c r="BT13" t="n">
        <v>41615.495</v>
      </c>
      <c r="BU13" t="n">
        <v>70200.44899999999</v>
      </c>
      <c r="BV13" t="n">
        <v>43512.958</v>
      </c>
    </row>
    <row r="14">
      <c r="A14" t="inlineStr">
        <is>
          <t>Limanda limanda</t>
        </is>
      </c>
      <c r="B14" t="inlineStr">
        <is>
          <t>Common dab</t>
        </is>
      </c>
      <c r="C14" t="inlineStr">
        <is>
          <t>Small to medium flatfishes (&lt;90 cm)</t>
        </is>
      </c>
      <c r="D14" t="inlineStr">
        <is>
          <t>Flatfishes</t>
        </is>
      </c>
      <c r="E14" t="n">
        <v>37917.113</v>
      </c>
      <c r="F14" t="n">
        <v>39170.785</v>
      </c>
      <c r="G14" t="n">
        <v>39820.808</v>
      </c>
      <c r="H14" t="n">
        <v>42237.796</v>
      </c>
      <c r="I14" t="n">
        <v>38367.842</v>
      </c>
      <c r="J14" t="n">
        <v>39183.108</v>
      </c>
      <c r="K14" t="n">
        <v>38745.232</v>
      </c>
      <c r="L14" t="n">
        <v>43006.952</v>
      </c>
      <c r="M14" t="n">
        <v>42757.393</v>
      </c>
      <c r="N14" t="n">
        <v>41223.558</v>
      </c>
      <c r="O14" t="n">
        <v>44120.109</v>
      </c>
      <c r="P14" t="n">
        <v>48807.635</v>
      </c>
      <c r="Q14" t="n">
        <v>54337.654</v>
      </c>
      <c r="R14" t="n">
        <v>59304.012</v>
      </c>
      <c r="S14" t="n">
        <v>53278.296</v>
      </c>
      <c r="T14" t="n">
        <v>57329.001</v>
      </c>
      <c r="U14" t="n">
        <v>71055.916</v>
      </c>
      <c r="V14" t="n">
        <v>52321.899</v>
      </c>
      <c r="W14" t="n">
        <v>68859.677</v>
      </c>
      <c r="X14" t="n">
        <v>76914.683</v>
      </c>
      <c r="Y14" t="n">
        <v>78893.742</v>
      </c>
      <c r="Z14" t="n">
        <v>77185.231</v>
      </c>
      <c r="AA14" t="n">
        <v>86812.692</v>
      </c>
      <c r="AB14" t="n">
        <v>93179.455</v>
      </c>
      <c r="AC14" t="n">
        <v>87139.78999999999</v>
      </c>
      <c r="AD14" t="n">
        <v>83679.674</v>
      </c>
      <c r="AE14" t="n">
        <v>73291.503</v>
      </c>
      <c r="AF14" t="n">
        <v>71992.77499999999</v>
      </c>
      <c r="AG14" t="n">
        <v>55155.038</v>
      </c>
      <c r="AH14" t="n">
        <v>68353.40300000001</v>
      </c>
      <c r="AI14" t="n">
        <v>72584.24099999999</v>
      </c>
      <c r="AJ14" t="n">
        <v>75148.485</v>
      </c>
      <c r="AK14" t="n">
        <v>94659.488</v>
      </c>
      <c r="AL14" t="n">
        <v>93929.807</v>
      </c>
      <c r="AM14" t="n">
        <v>91400.265</v>
      </c>
      <c r="AN14" t="n">
        <v>96049.436</v>
      </c>
      <c r="AO14" t="n">
        <v>86942.13</v>
      </c>
      <c r="AP14" t="n">
        <v>85850.81</v>
      </c>
      <c r="AQ14" t="n">
        <v>89925.87300000001</v>
      </c>
      <c r="AR14" t="n">
        <v>97332.223</v>
      </c>
      <c r="AS14" t="n">
        <v>93153.125</v>
      </c>
      <c r="AT14" t="n">
        <v>87488.74800000001</v>
      </c>
      <c r="AU14" t="n">
        <v>70962.73699999999</v>
      </c>
      <c r="AV14" t="n">
        <v>71360.787</v>
      </c>
      <c r="AW14" t="n">
        <v>74882.69500000001</v>
      </c>
      <c r="AX14" t="n">
        <v>69311.79700000001</v>
      </c>
      <c r="AY14" t="n">
        <v>56512.112</v>
      </c>
      <c r="AZ14" t="n">
        <v>50466.578</v>
      </c>
      <c r="BA14" t="n">
        <v>56582.62</v>
      </c>
      <c r="BB14" t="n">
        <v>64786.098</v>
      </c>
      <c r="BC14" t="n">
        <v>58116.759</v>
      </c>
      <c r="BD14" t="n">
        <v>56479.004</v>
      </c>
      <c r="BE14" t="n">
        <v>49832.014</v>
      </c>
      <c r="BF14" t="n">
        <v>49839.638</v>
      </c>
      <c r="BG14" t="n">
        <v>46172.421</v>
      </c>
      <c r="BH14" t="n">
        <v>45949.808</v>
      </c>
      <c r="BI14" t="n">
        <v>43649.367</v>
      </c>
      <c r="BJ14" t="n">
        <v>43378.749</v>
      </c>
      <c r="BK14" t="n">
        <v>41092.221</v>
      </c>
      <c r="BL14" t="n">
        <v>43644.531</v>
      </c>
      <c r="BM14" t="n">
        <v>48654.194</v>
      </c>
      <c r="BN14" t="n">
        <v>45289.367</v>
      </c>
      <c r="BO14" t="n">
        <v>47784.146</v>
      </c>
      <c r="BP14" t="n">
        <v>49705.223</v>
      </c>
      <c r="BQ14" t="n">
        <v>44339.423</v>
      </c>
      <c r="BR14" t="n">
        <v>45917.243</v>
      </c>
      <c r="BS14" t="n">
        <v>48634.906</v>
      </c>
      <c r="BT14" t="n">
        <v>38601.128</v>
      </c>
      <c r="BU14" t="n">
        <v>49909.074</v>
      </c>
      <c r="BV14" t="n">
        <v>39852.582</v>
      </c>
    </row>
    <row r="15">
      <c r="A15" t="inlineStr">
        <is>
          <t>Mytilus edulis</t>
        </is>
      </c>
      <c r="B15" t="inlineStr">
        <is>
          <t>Blue mussel</t>
        </is>
      </c>
      <c r="C15" t="inlineStr">
        <is>
          <t>Other demersal invertebrates</t>
        </is>
      </c>
      <c r="D15" t="inlineStr">
        <is>
          <t>Molluscs</t>
        </is>
      </c>
      <c r="E15" t="n">
        <v>31558.431</v>
      </c>
      <c r="F15" t="n">
        <v>26961.715</v>
      </c>
      <c r="G15" t="n">
        <v>33153.702</v>
      </c>
      <c r="H15" t="n">
        <v>28741.514</v>
      </c>
      <c r="I15" t="n">
        <v>22937.809</v>
      </c>
      <c r="J15" t="n">
        <v>30652.61</v>
      </c>
      <c r="K15" t="n">
        <v>30894.985</v>
      </c>
      <c r="L15" t="n">
        <v>25729.463</v>
      </c>
      <c r="M15" t="n">
        <v>26103.214</v>
      </c>
      <c r="N15" t="n">
        <v>39152.091</v>
      </c>
      <c r="O15" t="n">
        <v>31038.843</v>
      </c>
      <c r="P15" t="n">
        <v>22639.059</v>
      </c>
      <c r="Q15" t="n">
        <v>24759.233</v>
      </c>
      <c r="R15" t="n">
        <v>19172.938</v>
      </c>
      <c r="S15" t="n">
        <v>22806.747</v>
      </c>
      <c r="T15" t="n">
        <v>25306.44</v>
      </c>
      <c r="U15" t="n">
        <v>29421.671</v>
      </c>
      <c r="V15" t="n">
        <v>27203.841</v>
      </c>
      <c r="W15" t="n">
        <v>26299.894</v>
      </c>
      <c r="X15" t="n">
        <v>23370.156</v>
      </c>
      <c r="Y15" t="n">
        <v>29596.586</v>
      </c>
      <c r="Z15" t="n">
        <v>33867.009</v>
      </c>
      <c r="AA15" t="n">
        <v>38054.177</v>
      </c>
      <c r="AB15" t="n">
        <v>37587.893</v>
      </c>
      <c r="AC15" t="n">
        <v>45070.239</v>
      </c>
      <c r="AD15" t="n">
        <v>46694.071</v>
      </c>
      <c r="AE15" t="n">
        <v>61782.563</v>
      </c>
      <c r="AF15" t="n">
        <v>64694.392</v>
      </c>
      <c r="AG15" t="n">
        <v>60598.723</v>
      </c>
      <c r="AH15" t="n">
        <v>59145.714</v>
      </c>
      <c r="AI15" t="n">
        <v>105911.478</v>
      </c>
      <c r="AJ15" t="n">
        <v>98039.383</v>
      </c>
      <c r="AK15" t="n">
        <v>84141.811</v>
      </c>
      <c r="AL15" t="n">
        <v>99871.86599999999</v>
      </c>
      <c r="AM15" t="n">
        <v>139735.423</v>
      </c>
      <c r="AN15" t="n">
        <v>104336.782</v>
      </c>
      <c r="AO15" t="n">
        <v>87656.264</v>
      </c>
      <c r="AP15" t="n">
        <v>85510.35400000001</v>
      </c>
      <c r="AQ15" t="n">
        <v>76381.59600000001</v>
      </c>
      <c r="AR15" t="n">
        <v>81252.00999999999</v>
      </c>
      <c r="AS15" t="n">
        <v>95952.06600000001</v>
      </c>
      <c r="AT15" t="n">
        <v>124797.691</v>
      </c>
      <c r="AU15" t="n">
        <v>128785.812</v>
      </c>
      <c r="AV15" t="n">
        <v>15778.988</v>
      </c>
      <c r="AW15" t="n">
        <v>89533.11599999999</v>
      </c>
      <c r="AX15" t="n">
        <v>94633.768</v>
      </c>
      <c r="AY15" t="n">
        <v>72291.467</v>
      </c>
      <c r="AZ15" t="n">
        <v>85862.435</v>
      </c>
      <c r="BA15" t="n">
        <v>91096.80899999999</v>
      </c>
      <c r="BB15" t="n">
        <v>80987.205</v>
      </c>
      <c r="BC15" t="n">
        <v>99706.64999999999</v>
      </c>
      <c r="BD15" t="n">
        <v>104420.248</v>
      </c>
      <c r="BE15" t="n">
        <v>96302.16099999999</v>
      </c>
      <c r="BF15" t="n">
        <v>82640.371</v>
      </c>
      <c r="BG15" t="n">
        <v>89063.697</v>
      </c>
      <c r="BH15" t="n">
        <v>58466.474</v>
      </c>
      <c r="BI15" t="n">
        <v>41940.179</v>
      </c>
      <c r="BJ15" t="n">
        <v>45193.189</v>
      </c>
      <c r="BK15" t="n">
        <v>32965.479</v>
      </c>
      <c r="BL15" t="n">
        <v>33395.069</v>
      </c>
      <c r="BM15" t="n">
        <v>24410.896</v>
      </c>
      <c r="BN15" t="n">
        <v>34409.056</v>
      </c>
      <c r="BO15" t="n">
        <v>39895.935</v>
      </c>
      <c r="BP15" t="n">
        <v>29787.403</v>
      </c>
      <c r="BQ15" t="n">
        <v>31411.566</v>
      </c>
      <c r="BR15" t="n">
        <v>33398.038</v>
      </c>
      <c r="BS15" t="n">
        <v>50945.358</v>
      </c>
      <c r="BT15" t="n">
        <v>30969.772</v>
      </c>
      <c r="BU15" t="n">
        <v>26029.53</v>
      </c>
      <c r="BV15" t="n">
        <v>25797.502</v>
      </c>
    </row>
    <row r="16">
      <c r="A16" t="inlineStr">
        <is>
          <t>Marine finfishes not identified</t>
        </is>
      </c>
      <c r="B16" t="inlineStr">
        <is>
          <t>Finfishes</t>
        </is>
      </c>
      <c r="C16" t="inlineStr">
        <is>
          <t>Medium demersals (30 - 89 cm)</t>
        </is>
      </c>
      <c r="D16" t="inlineStr">
        <is>
          <t>Other fishes &amp; inverts</t>
        </is>
      </c>
      <c r="E16" t="n">
        <v>83271.784</v>
      </c>
      <c r="F16" t="n">
        <v>145149.41</v>
      </c>
      <c r="G16" t="n">
        <v>145399.434</v>
      </c>
      <c r="H16" t="n">
        <v>174255.765</v>
      </c>
      <c r="I16" t="n">
        <v>42042.812</v>
      </c>
      <c r="J16" t="n">
        <v>79900.68700000001</v>
      </c>
      <c r="K16" t="n">
        <v>117561.162</v>
      </c>
      <c r="L16" t="n">
        <v>175920.621</v>
      </c>
      <c r="M16" t="n">
        <v>177686.557</v>
      </c>
      <c r="N16" t="n">
        <v>272579.694</v>
      </c>
      <c r="O16" t="n">
        <v>47556.639</v>
      </c>
      <c r="P16" t="n">
        <v>32365.97</v>
      </c>
      <c r="Q16" t="n">
        <v>29995.425</v>
      </c>
      <c r="R16" t="n">
        <v>57544.98</v>
      </c>
      <c r="S16" t="n">
        <v>49572.473</v>
      </c>
      <c r="T16" t="n">
        <v>44561.994</v>
      </c>
      <c r="U16" t="n">
        <v>39626.672</v>
      </c>
      <c r="V16" t="n">
        <v>34060.051</v>
      </c>
      <c r="W16" t="n">
        <v>42414.032</v>
      </c>
      <c r="X16" t="n">
        <v>74443.383</v>
      </c>
      <c r="Y16" t="n">
        <v>41651.71</v>
      </c>
      <c r="Z16" t="n">
        <v>15326.789</v>
      </c>
      <c r="AA16" t="n">
        <v>26110.282</v>
      </c>
      <c r="AB16" t="n">
        <v>35762.274</v>
      </c>
      <c r="AC16" t="n">
        <v>35801.237</v>
      </c>
      <c r="AD16" t="n">
        <v>66020.526</v>
      </c>
      <c r="AE16" t="n">
        <v>111246.318</v>
      </c>
      <c r="AF16" t="n">
        <v>35320.429</v>
      </c>
      <c r="AG16" t="n">
        <v>1529.554</v>
      </c>
      <c r="AH16" t="n">
        <v>871.274</v>
      </c>
      <c r="AI16" t="n">
        <v>1028.695</v>
      </c>
      <c r="AJ16" t="n">
        <v>43899.683</v>
      </c>
      <c r="AK16" t="n">
        <v>1998.98</v>
      </c>
      <c r="AL16" t="n">
        <v>11834.159</v>
      </c>
      <c r="AM16" t="n">
        <v>3882.455</v>
      </c>
      <c r="AN16" t="n">
        <v>19015.647</v>
      </c>
      <c r="AO16" t="n">
        <v>1717.345</v>
      </c>
      <c r="AP16" t="n">
        <v>1106.395</v>
      </c>
      <c r="AQ16" t="n">
        <v>1419.819</v>
      </c>
      <c r="AR16" t="n">
        <v>1690.292</v>
      </c>
      <c r="AS16" t="n">
        <v>1602.147</v>
      </c>
      <c r="AT16" t="n">
        <v>1003.899</v>
      </c>
      <c r="AU16" t="n">
        <v>1726.546</v>
      </c>
      <c r="AV16" t="n">
        <v>1250.219</v>
      </c>
      <c r="AW16" t="n">
        <v>789.3680000000001</v>
      </c>
      <c r="AX16" t="n">
        <v>1103.755</v>
      </c>
      <c r="AY16" t="n">
        <v>669.46</v>
      </c>
      <c r="AZ16" t="n">
        <v>676.038</v>
      </c>
      <c r="BA16" t="n">
        <v>722.795</v>
      </c>
      <c r="BB16" t="n">
        <v>865.727</v>
      </c>
      <c r="BC16" t="n">
        <v>4605.13</v>
      </c>
      <c r="BD16" t="n">
        <v>1875.523</v>
      </c>
      <c r="BE16" t="n">
        <v>1099.118</v>
      </c>
      <c r="BF16" t="n">
        <v>698.6950000000001</v>
      </c>
      <c r="BG16" t="n">
        <v>772.481</v>
      </c>
      <c r="BH16" t="n">
        <v>662.763</v>
      </c>
      <c r="BI16" t="n">
        <v>620.3630000000001</v>
      </c>
      <c r="BJ16" t="n">
        <v>428.392</v>
      </c>
      <c r="BK16" t="n">
        <v>423.898</v>
      </c>
      <c r="BL16" t="n">
        <v>255.637</v>
      </c>
      <c r="BM16" t="n">
        <v>278.899</v>
      </c>
      <c r="BN16" t="n">
        <v>341.023</v>
      </c>
      <c r="BO16" t="n">
        <v>426.096</v>
      </c>
      <c r="BP16" t="n">
        <v>458.687</v>
      </c>
      <c r="BQ16" t="n">
        <v>498.332</v>
      </c>
      <c r="BR16" t="n">
        <v>170.032</v>
      </c>
      <c r="BS16" t="n">
        <v>165.96</v>
      </c>
      <c r="BT16" t="n">
        <v>162.547</v>
      </c>
      <c r="BU16" t="n">
        <v>596.022</v>
      </c>
      <c r="BV16" t="n">
        <v>509.221</v>
      </c>
    </row>
    <row r="17">
      <c r="A17" t="inlineStr">
        <is>
          <t>Ammodytes marinus</t>
        </is>
      </c>
      <c r="B17" t="inlineStr">
        <is>
          <t>Lesser sand-eel</t>
        </is>
      </c>
      <c r="C17" t="inlineStr">
        <is>
          <t>Large reef assoc. fish (&gt;=90 cm)</t>
        </is>
      </c>
      <c r="D17" t="inlineStr">
        <is>
          <t>Perch-likes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946.698</v>
      </c>
      <c r="L17" t="n">
        <v>2019.622</v>
      </c>
      <c r="M17" t="n">
        <v>2922.598</v>
      </c>
      <c r="N17" t="n">
        <v>4850.415</v>
      </c>
      <c r="O17" t="n">
        <v>7904.1</v>
      </c>
      <c r="P17" t="n">
        <v>1907.146</v>
      </c>
      <c r="Q17" t="n">
        <v>4356.375</v>
      </c>
      <c r="R17" t="n">
        <v>4568.701</v>
      </c>
      <c r="S17" t="n">
        <v>3673.727</v>
      </c>
      <c r="T17" t="n">
        <v>2988.731</v>
      </c>
      <c r="U17" t="n">
        <v>11259.959</v>
      </c>
      <c r="V17" t="n">
        <v>612.793</v>
      </c>
      <c r="W17" t="n">
        <v>372.312</v>
      </c>
      <c r="X17" t="n">
        <v>94.215</v>
      </c>
      <c r="Y17" t="n">
        <v>4.809</v>
      </c>
      <c r="Z17" t="n">
        <v>1277.764</v>
      </c>
      <c r="AA17" t="n">
        <v>11270.538</v>
      </c>
      <c r="AB17" t="n">
        <v>11694.529</v>
      </c>
      <c r="AC17" t="n">
        <v>74838.731</v>
      </c>
      <c r="AD17" t="n">
        <v>39081.907</v>
      </c>
      <c r="AE17" t="n">
        <v>25359.196</v>
      </c>
      <c r="AF17" t="n">
        <v>70527.68799999999</v>
      </c>
      <c r="AG17" t="n">
        <v>76243.75599999999</v>
      </c>
      <c r="AH17" t="n">
        <v>87130.91800000001</v>
      </c>
      <c r="AI17" t="n">
        <v>143621.094</v>
      </c>
      <c r="AJ17" t="n">
        <v>51440.093</v>
      </c>
      <c r="AK17" t="n">
        <v>20704.341</v>
      </c>
      <c r="AL17" t="n">
        <v>7671.96</v>
      </c>
      <c r="AM17" t="n">
        <v>5170.194</v>
      </c>
      <c r="AN17" t="n">
        <v>5164.152</v>
      </c>
      <c r="AO17" t="n">
        <v>48054.081</v>
      </c>
      <c r="AP17" t="n">
        <v>148555.373</v>
      </c>
      <c r="AQ17" t="n">
        <v>115299.62</v>
      </c>
      <c r="AR17" t="n">
        <v>84619.541</v>
      </c>
      <c r="AS17" t="n">
        <v>22875.918</v>
      </c>
      <c r="AT17" t="n">
        <v>24691.189</v>
      </c>
      <c r="AU17" t="n">
        <v>12068.251</v>
      </c>
      <c r="AV17" t="n">
        <v>31603.497</v>
      </c>
      <c r="AW17" t="n">
        <v>12254.017</v>
      </c>
      <c r="AX17" t="n">
        <v>191454.92</v>
      </c>
      <c r="AY17" t="n">
        <v>60407.101</v>
      </c>
      <c r="AZ17" t="n">
        <v>96606.42999999999</v>
      </c>
      <c r="BA17" t="n">
        <v>169553.816</v>
      </c>
      <c r="BB17" t="n">
        <v>43759.443</v>
      </c>
      <c r="BC17" t="n">
        <v>26051.845</v>
      </c>
      <c r="BD17" t="n">
        <v>18751.625</v>
      </c>
      <c r="BE17" t="n">
        <v>57132.256</v>
      </c>
      <c r="BF17" t="n">
        <v>5373.742</v>
      </c>
      <c r="BG17" t="n">
        <v>26452.272</v>
      </c>
      <c r="BH17" t="n">
        <v>3611.397</v>
      </c>
      <c r="BI17" t="n">
        <v>0</v>
      </c>
      <c r="BJ17" t="n">
        <v>4473.034</v>
      </c>
      <c r="BK17" t="n">
        <v>41771.485</v>
      </c>
      <c r="BL17" t="n">
        <v>27414.052</v>
      </c>
      <c r="BM17" t="n">
        <v>27577.354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</row>
    <row r="18">
      <c r="A18" t="inlineStr">
        <is>
          <t>Trachurus trachurus</t>
        </is>
      </c>
      <c r="B18" t="inlineStr">
        <is>
          <t>Atlantic horse mackerel</t>
        </is>
      </c>
      <c r="C18" t="inlineStr">
        <is>
          <t>Medium pelagics (30 - 89 cm)</t>
        </is>
      </c>
      <c r="D18" t="inlineStr">
        <is>
          <t>Perch-likes</t>
        </is>
      </c>
      <c r="E18" t="n">
        <v>330.148</v>
      </c>
      <c r="F18" t="n">
        <v>456.326</v>
      </c>
      <c r="G18" t="n">
        <v>518.676</v>
      </c>
      <c r="H18" t="n">
        <v>581.721</v>
      </c>
      <c r="I18" t="n">
        <v>361.74</v>
      </c>
      <c r="J18" t="n">
        <v>326.225</v>
      </c>
      <c r="K18" t="n">
        <v>463.601</v>
      </c>
      <c r="L18" t="n">
        <v>554.3150000000001</v>
      </c>
      <c r="M18" t="n">
        <v>676.471</v>
      </c>
      <c r="N18" t="n">
        <v>874.5069999999999</v>
      </c>
      <c r="O18" t="n">
        <v>3159.267</v>
      </c>
      <c r="P18" t="n">
        <v>1366.408</v>
      </c>
      <c r="Q18" t="n">
        <v>6388.34</v>
      </c>
      <c r="R18" t="n">
        <v>8988.181</v>
      </c>
      <c r="S18" t="n">
        <v>1070.539</v>
      </c>
      <c r="T18" t="n">
        <v>4541.628</v>
      </c>
      <c r="U18" t="n">
        <v>2168.48</v>
      </c>
      <c r="V18" t="n">
        <v>337.925</v>
      </c>
      <c r="W18" t="n">
        <v>1400.199</v>
      </c>
      <c r="X18" t="n">
        <v>1286.837</v>
      </c>
      <c r="Y18" t="n">
        <v>15070.277</v>
      </c>
      <c r="Z18" t="n">
        <v>40301.72</v>
      </c>
      <c r="AA18" t="n">
        <v>9262.732</v>
      </c>
      <c r="AB18" t="n">
        <v>59993.292</v>
      </c>
      <c r="AC18" t="n">
        <v>30907.458</v>
      </c>
      <c r="AD18" t="n">
        <v>10212.17</v>
      </c>
      <c r="AE18" t="n">
        <v>9486.987999999999</v>
      </c>
      <c r="AF18" t="n">
        <v>3680.932</v>
      </c>
      <c r="AG18" t="n">
        <v>4741.359</v>
      </c>
      <c r="AH18" t="n">
        <v>2027.258</v>
      </c>
      <c r="AI18" t="n">
        <v>2640.484</v>
      </c>
      <c r="AJ18" t="n">
        <v>8121.758</v>
      </c>
      <c r="AK18" t="n">
        <v>10230.559</v>
      </c>
      <c r="AL18" t="n">
        <v>6046.722</v>
      </c>
      <c r="AM18" t="n">
        <v>26297.359</v>
      </c>
      <c r="AN18" t="n">
        <v>31921.719</v>
      </c>
      <c r="AO18" t="n">
        <v>22576.058</v>
      </c>
      <c r="AP18" t="n">
        <v>29830.293</v>
      </c>
      <c r="AQ18" t="n">
        <v>114060.915</v>
      </c>
      <c r="AR18" t="n">
        <v>123099.628</v>
      </c>
      <c r="AS18" t="n">
        <v>135653.665</v>
      </c>
      <c r="AT18" t="n">
        <v>95286.357</v>
      </c>
      <c r="AU18" t="n">
        <v>131154.919</v>
      </c>
      <c r="AV18" t="n">
        <v>166186.059</v>
      </c>
      <c r="AW18" t="n">
        <v>115960.088</v>
      </c>
      <c r="AX18" t="n">
        <v>121740.619</v>
      </c>
      <c r="AY18" t="n">
        <v>40769.911</v>
      </c>
      <c r="AZ18" t="n">
        <v>74225.239</v>
      </c>
      <c r="BA18" t="n">
        <v>24359.85</v>
      </c>
      <c r="BB18" t="n">
        <v>61281.203</v>
      </c>
      <c r="BC18" t="n">
        <v>11183.034</v>
      </c>
      <c r="BD18" t="n">
        <v>14472.369</v>
      </c>
      <c r="BE18" t="n">
        <v>40950.388</v>
      </c>
      <c r="BF18" t="n">
        <v>28069.227</v>
      </c>
      <c r="BG18" t="n">
        <v>19498.398</v>
      </c>
      <c r="BH18" t="n">
        <v>35622.298</v>
      </c>
      <c r="BI18" t="n">
        <v>36208.417</v>
      </c>
      <c r="BJ18" t="n">
        <v>9242.047</v>
      </c>
      <c r="BK18" t="n">
        <v>15581.835</v>
      </c>
      <c r="BL18" t="n">
        <v>67662.242</v>
      </c>
      <c r="BM18" t="n">
        <v>11716.939</v>
      </c>
      <c r="BN18" t="n">
        <v>18836.632</v>
      </c>
      <c r="BO18" t="n">
        <v>4614.968</v>
      </c>
      <c r="BP18" t="n">
        <v>7690.576</v>
      </c>
      <c r="BQ18" t="n">
        <v>15712.245</v>
      </c>
      <c r="BR18" t="n">
        <v>10663.055</v>
      </c>
      <c r="BS18" t="n">
        <v>12533.297</v>
      </c>
      <c r="BT18" t="n">
        <v>12538.553</v>
      </c>
      <c r="BU18" t="n">
        <v>11659.725</v>
      </c>
      <c r="BV18" t="n">
        <v>2025.092</v>
      </c>
    </row>
    <row r="19">
      <c r="A19" t="inlineStr">
        <is>
          <t>Solea solea</t>
        </is>
      </c>
      <c r="B19" t="inlineStr">
        <is>
          <t>Common sole</t>
        </is>
      </c>
      <c r="C19" t="inlineStr">
        <is>
          <t>Small to medium flatfishes (&lt;90 cm)</t>
        </is>
      </c>
      <c r="D19" t="inlineStr">
        <is>
          <t>Flatfishes</t>
        </is>
      </c>
      <c r="E19" t="n">
        <v>21726.785</v>
      </c>
      <c r="F19" t="n">
        <v>23497.025</v>
      </c>
      <c r="G19" t="n">
        <v>21288.635</v>
      </c>
      <c r="H19" t="n">
        <v>24318.795</v>
      </c>
      <c r="I19" t="n">
        <v>23563.79</v>
      </c>
      <c r="J19" t="n">
        <v>19838.389</v>
      </c>
      <c r="K19" t="n">
        <v>17428.314</v>
      </c>
      <c r="L19" t="n">
        <v>16287.366</v>
      </c>
      <c r="M19" t="n">
        <v>18848.593</v>
      </c>
      <c r="N19" t="n">
        <v>18544.432</v>
      </c>
      <c r="O19" t="n">
        <v>24191.013</v>
      </c>
      <c r="P19" t="n">
        <v>30986.948</v>
      </c>
      <c r="Q19" t="n">
        <v>34831.254</v>
      </c>
      <c r="R19" t="n">
        <v>34469.934</v>
      </c>
      <c r="S19" t="n">
        <v>17226.638</v>
      </c>
      <c r="T19" t="n">
        <v>23686.679</v>
      </c>
      <c r="U19" t="n">
        <v>43378.282</v>
      </c>
      <c r="V19" t="n">
        <v>40414.251</v>
      </c>
      <c r="W19" t="n">
        <v>42251.309</v>
      </c>
      <c r="X19" t="n">
        <v>36792.013</v>
      </c>
      <c r="Y19" t="n">
        <v>27600.931</v>
      </c>
      <c r="Z19" t="n">
        <v>31876.455</v>
      </c>
      <c r="AA19" t="n">
        <v>29050.832</v>
      </c>
      <c r="AB19" t="n">
        <v>27248.633</v>
      </c>
      <c r="AC19" t="n">
        <v>25634.082</v>
      </c>
      <c r="AD19" t="n">
        <v>25968.356</v>
      </c>
      <c r="AE19" t="n">
        <v>20693.798</v>
      </c>
      <c r="AF19" t="n">
        <v>19945.445</v>
      </c>
      <c r="AG19" t="n">
        <v>14694.644</v>
      </c>
      <c r="AH19" t="n">
        <v>16131.572</v>
      </c>
      <c r="AI19" t="n">
        <v>21679.091</v>
      </c>
      <c r="AJ19" t="n">
        <v>20551.685</v>
      </c>
      <c r="AK19" t="n">
        <v>25044.969</v>
      </c>
      <c r="AL19" t="n">
        <v>27579.689</v>
      </c>
      <c r="AM19" t="n">
        <v>28652.096</v>
      </c>
      <c r="AN19" t="n">
        <v>26790.311</v>
      </c>
      <c r="AO19" t="n">
        <v>20548.264</v>
      </c>
      <c r="AP19" t="n">
        <v>20153.927</v>
      </c>
      <c r="AQ19" t="n">
        <v>23554.798</v>
      </c>
      <c r="AR19" t="n">
        <v>24487.241</v>
      </c>
      <c r="AS19" t="n">
        <v>37389.185</v>
      </c>
      <c r="AT19" t="n">
        <v>36734.029</v>
      </c>
      <c r="AU19" t="n">
        <v>33408.411</v>
      </c>
      <c r="AV19" t="n">
        <v>36029.524</v>
      </c>
      <c r="AW19" t="n">
        <v>37396.566</v>
      </c>
      <c r="AX19" t="n">
        <v>35143.062</v>
      </c>
      <c r="AY19" t="n">
        <v>26270.796</v>
      </c>
      <c r="AZ19" t="n">
        <v>18262.239</v>
      </c>
      <c r="BA19" t="n">
        <v>23645.09</v>
      </c>
      <c r="BB19" t="n">
        <v>27283.786</v>
      </c>
      <c r="BC19" t="n">
        <v>25502.771</v>
      </c>
      <c r="BD19" t="n">
        <v>23151.818</v>
      </c>
      <c r="BE19" t="n">
        <v>19824.957</v>
      </c>
      <c r="BF19" t="n">
        <v>20739.694</v>
      </c>
      <c r="BG19" t="n">
        <v>20206.307</v>
      </c>
      <c r="BH19" t="n">
        <v>19584.524</v>
      </c>
      <c r="BI19" t="n">
        <v>15838.046</v>
      </c>
      <c r="BJ19" t="n">
        <v>17815.217</v>
      </c>
      <c r="BK19" t="n">
        <v>16952.451</v>
      </c>
      <c r="BL19" t="n">
        <v>17896.558</v>
      </c>
      <c r="BM19" t="n">
        <v>16503.17</v>
      </c>
      <c r="BN19" t="n">
        <v>14218.354</v>
      </c>
      <c r="BO19" t="n">
        <v>14473.423</v>
      </c>
      <c r="BP19" t="n">
        <v>16252.552</v>
      </c>
      <c r="BQ19" t="n">
        <v>16111.535</v>
      </c>
      <c r="BR19" t="n">
        <v>15162.949</v>
      </c>
      <c r="BS19" t="n">
        <v>15976.976</v>
      </c>
      <c r="BT19" t="n">
        <v>15256.802</v>
      </c>
      <c r="BU19" t="n">
        <v>15906.781</v>
      </c>
      <c r="BV19" t="n">
        <v>12397.332</v>
      </c>
    </row>
    <row r="20">
      <c r="A20" t="inlineStr">
        <is>
          <t>Cerastoderma edule</t>
        </is>
      </c>
      <c r="B20" t="inlineStr">
        <is>
          <t>Common cockle</t>
        </is>
      </c>
      <c r="C20" t="inlineStr">
        <is>
          <t>Other demersal invertebrates</t>
        </is>
      </c>
      <c r="D20" t="inlineStr">
        <is>
          <t>Molluscs</t>
        </is>
      </c>
      <c r="E20" t="n">
        <v>292.18</v>
      </c>
      <c r="F20" t="n">
        <v>7074.23</v>
      </c>
      <c r="G20" t="n">
        <v>6314.262</v>
      </c>
      <c r="H20" t="n">
        <v>5766.464</v>
      </c>
      <c r="I20" t="n">
        <v>4481.512</v>
      </c>
      <c r="J20" t="n">
        <v>4603.448</v>
      </c>
      <c r="K20" t="n">
        <v>5261.688</v>
      </c>
      <c r="L20" t="n">
        <v>5336.739</v>
      </c>
      <c r="M20" t="n">
        <v>5300.324</v>
      </c>
      <c r="N20" t="n">
        <v>5611.716</v>
      </c>
      <c r="O20" t="n">
        <v>7457.48</v>
      </c>
      <c r="P20" t="n">
        <v>6105.753</v>
      </c>
      <c r="Q20" t="n">
        <v>13369.643</v>
      </c>
      <c r="R20" t="n">
        <v>7072.292</v>
      </c>
      <c r="S20" t="n">
        <v>10215.829</v>
      </c>
      <c r="T20" t="n">
        <v>12619.098</v>
      </c>
      <c r="U20" t="n">
        <v>17190.435</v>
      </c>
      <c r="V20" t="n">
        <v>9822.741</v>
      </c>
      <c r="W20" t="n">
        <v>8854.987999999999</v>
      </c>
      <c r="X20" t="n">
        <v>10708.358</v>
      </c>
      <c r="Y20" t="n">
        <v>10524.595</v>
      </c>
      <c r="Z20" t="n">
        <v>9073.444</v>
      </c>
      <c r="AA20" t="n">
        <v>10158.491</v>
      </c>
      <c r="AB20" t="n">
        <v>14844.932</v>
      </c>
      <c r="AC20" t="n">
        <v>17030.438</v>
      </c>
      <c r="AD20" t="n">
        <v>15481.483</v>
      </c>
      <c r="AE20" t="n">
        <v>17301.485</v>
      </c>
      <c r="AF20" t="n">
        <v>15849.72</v>
      </c>
      <c r="AG20" t="n">
        <v>9921.280000000001</v>
      </c>
      <c r="AH20" t="n">
        <v>6507.603</v>
      </c>
      <c r="AI20" t="n">
        <v>8581.541999999999</v>
      </c>
      <c r="AJ20" t="n">
        <v>6576.833</v>
      </c>
      <c r="AK20" t="n">
        <v>6029.843</v>
      </c>
      <c r="AL20" t="n">
        <v>4035.316</v>
      </c>
      <c r="AM20" t="n">
        <v>3662.342</v>
      </c>
      <c r="AN20" t="n">
        <v>49344.086</v>
      </c>
      <c r="AO20" t="n">
        <v>55423.455</v>
      </c>
      <c r="AP20" t="n">
        <v>73609.908</v>
      </c>
      <c r="AQ20" t="n">
        <v>87061.232</v>
      </c>
      <c r="AR20" t="n">
        <v>83328.675</v>
      </c>
      <c r="AS20" t="n">
        <v>57089.895</v>
      </c>
      <c r="AT20" t="n">
        <v>47914.58</v>
      </c>
      <c r="AU20" t="n">
        <v>72414.325</v>
      </c>
      <c r="AV20" t="n">
        <v>56966.147</v>
      </c>
      <c r="AW20" t="n">
        <v>56124.912</v>
      </c>
      <c r="AX20" t="n">
        <v>57198.315</v>
      </c>
      <c r="AY20" t="n">
        <v>26039.77</v>
      </c>
      <c r="AZ20" t="n">
        <v>23751.924</v>
      </c>
      <c r="BA20" t="n">
        <v>74579.20299999999</v>
      </c>
      <c r="BB20" t="n">
        <v>59902.985</v>
      </c>
      <c r="BC20" t="n">
        <v>32198.582</v>
      </c>
      <c r="BD20" t="n">
        <v>16244.797</v>
      </c>
      <c r="BE20" t="n">
        <v>12628.975</v>
      </c>
      <c r="BF20" t="n">
        <v>12206.576</v>
      </c>
      <c r="BG20" t="n">
        <v>11105.598</v>
      </c>
      <c r="BH20" t="n">
        <v>11405.776</v>
      </c>
      <c r="BI20" t="n">
        <v>9706.647999999999</v>
      </c>
      <c r="BJ20" t="n">
        <v>9150.868</v>
      </c>
      <c r="BK20" t="n">
        <v>12283.08</v>
      </c>
      <c r="BL20" t="n">
        <v>1099.265</v>
      </c>
      <c r="BM20" t="n">
        <v>872.511</v>
      </c>
      <c r="BN20" t="n">
        <v>2936.055</v>
      </c>
      <c r="BO20" t="n">
        <v>2161.819</v>
      </c>
      <c r="BP20" t="n">
        <v>9862.848</v>
      </c>
      <c r="BQ20" t="n">
        <v>9908.593000000001</v>
      </c>
      <c r="BR20" t="n">
        <v>10902.024</v>
      </c>
      <c r="BS20" t="n">
        <v>4870.313</v>
      </c>
      <c r="BT20" t="n">
        <v>5842.918</v>
      </c>
      <c r="BU20" t="n">
        <v>10712.659</v>
      </c>
      <c r="BV20" t="n">
        <v>19634.198</v>
      </c>
    </row>
    <row r="21">
      <c r="A21" t="inlineStr">
        <is>
          <t>Nephrops norvegicus</t>
        </is>
      </c>
      <c r="B21" t="inlineStr">
        <is>
          <t>Norway lobster</t>
        </is>
      </c>
      <c r="C21" t="inlineStr">
        <is>
          <t>Lobsters, crabs</t>
        </is>
      </c>
      <c r="D21" t="inlineStr">
        <is>
          <t>Crustaceans</t>
        </is>
      </c>
      <c r="E21" t="n">
        <v>2510.806</v>
      </c>
      <c r="F21" t="n">
        <v>2444.222</v>
      </c>
      <c r="G21" t="n">
        <v>1910.291</v>
      </c>
      <c r="H21" t="n">
        <v>2471.38</v>
      </c>
      <c r="I21" t="n">
        <v>2225.548</v>
      </c>
      <c r="J21" t="n">
        <v>4211.213</v>
      </c>
      <c r="K21" t="n">
        <v>5037.365</v>
      </c>
      <c r="L21" t="n">
        <v>5862.435</v>
      </c>
      <c r="M21" t="n">
        <v>5114.145</v>
      </c>
      <c r="N21" t="n">
        <v>5695.098</v>
      </c>
      <c r="O21" t="n">
        <v>6627.975</v>
      </c>
      <c r="P21" t="n">
        <v>6659.697</v>
      </c>
      <c r="Q21" t="n">
        <v>5968.92</v>
      </c>
      <c r="R21" t="n">
        <v>5784.79</v>
      </c>
      <c r="S21" t="n">
        <v>7256.368</v>
      </c>
      <c r="T21" t="n">
        <v>6163.33</v>
      </c>
      <c r="U21" t="n">
        <v>7343.827</v>
      </c>
      <c r="V21" t="n">
        <v>7321.927</v>
      </c>
      <c r="W21" t="n">
        <v>7947.999</v>
      </c>
      <c r="X21" t="n">
        <v>7362.949</v>
      </c>
      <c r="Y21" t="n">
        <v>6908.463</v>
      </c>
      <c r="Z21" t="n">
        <v>7679.63</v>
      </c>
      <c r="AA21" t="n">
        <v>9157.465</v>
      </c>
      <c r="AB21" t="n">
        <v>8469.040999999999</v>
      </c>
      <c r="AC21" t="n">
        <v>9089.342000000001</v>
      </c>
      <c r="AD21" t="n">
        <v>9833.485000000001</v>
      </c>
      <c r="AE21" t="n">
        <v>10394.444</v>
      </c>
      <c r="AF21" t="n">
        <v>8883.969999999999</v>
      </c>
      <c r="AG21" t="n">
        <v>9342.98</v>
      </c>
      <c r="AH21" t="n">
        <v>9089.544</v>
      </c>
      <c r="AI21" t="n">
        <v>10285.007</v>
      </c>
      <c r="AJ21" t="n">
        <v>10607.916</v>
      </c>
      <c r="AK21" t="n">
        <v>13109.138</v>
      </c>
      <c r="AL21" t="n">
        <v>14236.84</v>
      </c>
      <c r="AM21" t="n">
        <v>15628.589</v>
      </c>
      <c r="AN21" t="n">
        <v>16847.537</v>
      </c>
      <c r="AO21" t="n">
        <v>16667.831</v>
      </c>
      <c r="AP21" t="n">
        <v>16922.006</v>
      </c>
      <c r="AQ21" t="n">
        <v>18401.167</v>
      </c>
      <c r="AR21" t="n">
        <v>19573.622</v>
      </c>
      <c r="AS21" t="n">
        <v>19739.063</v>
      </c>
      <c r="AT21" t="n">
        <v>19501.751</v>
      </c>
      <c r="AU21" t="n">
        <v>15878.328</v>
      </c>
      <c r="AV21" t="n">
        <v>19752.236</v>
      </c>
      <c r="AW21" t="n">
        <v>21539.461</v>
      </c>
      <c r="AX21" t="n">
        <v>22916.617</v>
      </c>
      <c r="AY21" t="n">
        <v>22237.309</v>
      </c>
      <c r="AZ21" t="n">
        <v>24337.336</v>
      </c>
      <c r="BA21" t="n">
        <v>24113.427</v>
      </c>
      <c r="BB21" t="n">
        <v>27255.113</v>
      </c>
      <c r="BC21" t="n">
        <v>25054.685</v>
      </c>
      <c r="BD21" t="n">
        <v>25066.766</v>
      </c>
      <c r="BE21" t="n">
        <v>26738.391</v>
      </c>
      <c r="BF21" t="n">
        <v>24758.195</v>
      </c>
      <c r="BG21" t="n">
        <v>28419.727</v>
      </c>
      <c r="BH21" t="n">
        <v>26947.917</v>
      </c>
      <c r="BI21" t="n">
        <v>34962.798</v>
      </c>
      <c r="BJ21" t="n">
        <v>36170.89</v>
      </c>
      <c r="BK21" t="n">
        <v>33666.648</v>
      </c>
      <c r="BL21" t="n">
        <v>36995.709</v>
      </c>
      <c r="BM21" t="n">
        <v>32723.741</v>
      </c>
      <c r="BN21" t="n">
        <v>26595.866</v>
      </c>
      <c r="BO21" t="n">
        <v>23451.145</v>
      </c>
      <c r="BP21" t="n">
        <v>19104.785</v>
      </c>
      <c r="BQ21" t="n">
        <v>23412.006</v>
      </c>
      <c r="BR21" t="n">
        <v>16369.503</v>
      </c>
      <c r="BS21" t="n">
        <v>20226.12</v>
      </c>
      <c r="BT21" t="n">
        <v>25265.464</v>
      </c>
      <c r="BU21" t="n">
        <v>23926.139</v>
      </c>
      <c r="BV21" t="n">
        <v>31733.778</v>
      </c>
    </row>
    <row r="22">
      <c r="A22" t="inlineStr">
        <is>
          <t>Squalus acanthias</t>
        </is>
      </c>
      <c r="B22" t="inlineStr">
        <is>
          <t>Picked dogfish</t>
        </is>
      </c>
      <c r="C22" t="inlineStr">
        <is>
          <t>Large sharks (&gt;=90 cm)</t>
        </is>
      </c>
      <c r="D22" t="inlineStr">
        <is>
          <t>Sharks &amp; rays</t>
        </is>
      </c>
      <c r="E22" t="n">
        <v>8211.370000000001</v>
      </c>
      <c r="F22" t="n">
        <v>7518.053</v>
      </c>
      <c r="G22" t="n">
        <v>14102.922</v>
      </c>
      <c r="H22" t="n">
        <v>14709.133</v>
      </c>
      <c r="I22" t="n">
        <v>16088.692</v>
      </c>
      <c r="J22" t="n">
        <v>18548.797</v>
      </c>
      <c r="K22" t="n">
        <v>20834.286</v>
      </c>
      <c r="L22" t="n">
        <v>20448.811</v>
      </c>
      <c r="M22" t="n">
        <v>23476.011</v>
      </c>
      <c r="N22" t="n">
        <v>22207.446</v>
      </c>
      <c r="O22" t="n">
        <v>24185.061</v>
      </c>
      <c r="P22" t="n">
        <v>27431.916</v>
      </c>
      <c r="Q22" t="n">
        <v>23432.503</v>
      </c>
      <c r="R22" t="n">
        <v>27183.237</v>
      </c>
      <c r="S22" t="n">
        <v>18419.073</v>
      </c>
      <c r="T22" t="n">
        <v>22115.152</v>
      </c>
      <c r="U22" t="n">
        <v>22148.917</v>
      </c>
      <c r="V22" t="n">
        <v>23392.622</v>
      </c>
      <c r="W22" t="n">
        <v>29009.501</v>
      </c>
      <c r="X22" t="n">
        <v>31542.041</v>
      </c>
      <c r="Y22" t="n">
        <v>25774.838</v>
      </c>
      <c r="Z22" t="n">
        <v>24823.839</v>
      </c>
      <c r="AA22" t="n">
        <v>35658.242</v>
      </c>
      <c r="AB22" t="n">
        <v>33014.58</v>
      </c>
      <c r="AC22" t="n">
        <v>30003.66</v>
      </c>
      <c r="AD22" t="n">
        <v>30887.367</v>
      </c>
      <c r="AE22" t="n">
        <v>28581.312</v>
      </c>
      <c r="AF22" t="n">
        <v>25575.444</v>
      </c>
      <c r="AG22" t="n">
        <v>23012.741</v>
      </c>
      <c r="AH22" t="n">
        <v>19749.602</v>
      </c>
      <c r="AI22" t="n">
        <v>16459.943</v>
      </c>
      <c r="AJ22" t="n">
        <v>15633.543</v>
      </c>
      <c r="AK22" t="n">
        <v>12831.141</v>
      </c>
      <c r="AL22" t="n">
        <v>13536.302</v>
      </c>
      <c r="AM22" t="n">
        <v>11841.54</v>
      </c>
      <c r="AN22" t="n">
        <v>13058.015</v>
      </c>
      <c r="AO22" t="n">
        <v>10421.452</v>
      </c>
      <c r="AP22" t="n">
        <v>13297.072</v>
      </c>
      <c r="AQ22" t="n">
        <v>12695.38</v>
      </c>
      <c r="AR22" t="n">
        <v>11608.904</v>
      </c>
      <c r="AS22" t="n">
        <v>13050.171</v>
      </c>
      <c r="AT22" t="n">
        <v>10363.618</v>
      </c>
      <c r="AU22" t="n">
        <v>10888.791</v>
      </c>
      <c r="AV22" t="n">
        <v>7083.646</v>
      </c>
      <c r="AW22" t="n">
        <v>4586.325</v>
      </c>
      <c r="AX22" t="n">
        <v>7492.269</v>
      </c>
      <c r="AY22" t="n">
        <v>5485.024</v>
      </c>
      <c r="AZ22" t="n">
        <v>5253.135</v>
      </c>
      <c r="BA22" t="n">
        <v>4055.398</v>
      </c>
      <c r="BB22" t="n">
        <v>2876.389</v>
      </c>
      <c r="BC22" t="n">
        <v>2738.845</v>
      </c>
      <c r="BD22" t="n">
        <v>3872.132</v>
      </c>
      <c r="BE22" t="n">
        <v>3580.091</v>
      </c>
      <c r="BF22" t="n">
        <v>2860.385</v>
      </c>
      <c r="BG22" t="n">
        <v>2617.939</v>
      </c>
      <c r="BH22" t="n">
        <v>1371.019</v>
      </c>
      <c r="BI22" t="n">
        <v>1081.363</v>
      </c>
      <c r="BJ22" t="n">
        <v>800.2569999999999</v>
      </c>
      <c r="BK22" t="n">
        <v>820.147</v>
      </c>
      <c r="BL22" t="n">
        <v>1193.477</v>
      </c>
      <c r="BM22" t="n">
        <v>445.132</v>
      </c>
      <c r="BN22" t="n">
        <v>210.636</v>
      </c>
      <c r="BO22" t="n">
        <v>205.884</v>
      </c>
      <c r="BP22" t="n">
        <v>216.432</v>
      </c>
      <c r="BQ22" t="n">
        <v>226.913</v>
      </c>
      <c r="BR22" t="n">
        <v>147.333</v>
      </c>
      <c r="BS22" t="n">
        <v>184.49</v>
      </c>
      <c r="BT22" t="n">
        <v>167.771</v>
      </c>
      <c r="BU22" t="n">
        <v>173.251</v>
      </c>
      <c r="BV22" t="n">
        <v>220.281</v>
      </c>
    </row>
    <row r="23">
      <c r="A23" t="inlineStr">
        <is>
          <t>Molva molva</t>
        </is>
      </c>
      <c r="B23" t="inlineStr">
        <is>
          <t>Ling</t>
        </is>
      </c>
      <c r="C23" t="inlineStr">
        <is>
          <t>Large demersals (&gt;=90 cm)</t>
        </is>
      </c>
      <c r="D23" t="inlineStr">
        <is>
          <t>Cod-likes</t>
        </is>
      </c>
      <c r="E23" t="n">
        <v>4919.308</v>
      </c>
      <c r="F23" t="n">
        <v>4804.411</v>
      </c>
      <c r="G23" t="n">
        <v>4698.35</v>
      </c>
      <c r="H23" t="n">
        <v>4175.853</v>
      </c>
      <c r="I23" t="n">
        <v>5366.387</v>
      </c>
      <c r="J23" t="n">
        <v>5987.429</v>
      </c>
      <c r="K23" t="n">
        <v>5942.093</v>
      </c>
      <c r="L23" t="n">
        <v>11003.194</v>
      </c>
      <c r="M23" t="n">
        <v>12607.765</v>
      </c>
      <c r="N23" t="n">
        <v>6826.875</v>
      </c>
      <c r="O23" t="n">
        <v>8390.275</v>
      </c>
      <c r="P23" t="n">
        <v>6381.172</v>
      </c>
      <c r="Q23" t="n">
        <v>3492.406</v>
      </c>
      <c r="R23" t="n">
        <v>5714.37</v>
      </c>
      <c r="S23" t="n">
        <v>11135.156</v>
      </c>
      <c r="T23" t="n">
        <v>11031.919</v>
      </c>
      <c r="U23" t="n">
        <v>10760.913</v>
      </c>
      <c r="V23" t="n">
        <v>9395.67</v>
      </c>
      <c r="W23" t="n">
        <v>7654.911</v>
      </c>
      <c r="X23" t="n">
        <v>8578.339</v>
      </c>
      <c r="Y23" t="n">
        <v>6830.219</v>
      </c>
      <c r="Z23" t="n">
        <v>10244.278</v>
      </c>
      <c r="AA23" t="n">
        <v>13505.303</v>
      </c>
      <c r="AB23" t="n">
        <v>10991.841</v>
      </c>
      <c r="AC23" t="n">
        <v>9211.255999999999</v>
      </c>
      <c r="AD23" t="n">
        <v>10361.48</v>
      </c>
      <c r="AE23" t="n">
        <v>12994.716</v>
      </c>
      <c r="AF23" t="n">
        <v>14905.233</v>
      </c>
      <c r="AG23" t="n">
        <v>17014.538</v>
      </c>
      <c r="AH23" t="n">
        <v>18920.029</v>
      </c>
      <c r="AI23" t="n">
        <v>17974.132</v>
      </c>
      <c r="AJ23" t="n">
        <v>17222.681</v>
      </c>
      <c r="AK23" t="n">
        <v>19122.765</v>
      </c>
      <c r="AL23" t="n">
        <v>17772.896</v>
      </c>
      <c r="AM23" t="n">
        <v>20211.716</v>
      </c>
      <c r="AN23" t="n">
        <v>19740.715</v>
      </c>
      <c r="AO23" t="n">
        <v>13693.408</v>
      </c>
      <c r="AP23" t="n">
        <v>13865.297</v>
      </c>
      <c r="AQ23" t="n">
        <v>13062.127</v>
      </c>
      <c r="AR23" t="n">
        <v>13788.884</v>
      </c>
      <c r="AS23" t="n">
        <v>12405.367</v>
      </c>
      <c r="AT23" t="n">
        <v>11994.839</v>
      </c>
      <c r="AU23" t="n">
        <v>13343.326</v>
      </c>
      <c r="AV23" t="n">
        <v>15351.031</v>
      </c>
      <c r="AW23" t="n">
        <v>14179.784</v>
      </c>
      <c r="AX23" t="n">
        <v>15458.558</v>
      </c>
      <c r="AY23" t="n">
        <v>14767.115</v>
      </c>
      <c r="AZ23" t="n">
        <v>13324.21</v>
      </c>
      <c r="BA23" t="n">
        <v>15561.036</v>
      </c>
      <c r="BB23" t="n">
        <v>12125.491</v>
      </c>
      <c r="BC23" t="n">
        <v>10940.229</v>
      </c>
      <c r="BD23" t="n">
        <v>9400.534</v>
      </c>
      <c r="BE23" t="n">
        <v>10288.809</v>
      </c>
      <c r="BF23" t="n">
        <v>7923.454</v>
      </c>
      <c r="BG23" t="n">
        <v>7632.126</v>
      </c>
      <c r="BH23" t="n">
        <v>7131.996</v>
      </c>
      <c r="BI23" t="n">
        <v>7267.122</v>
      </c>
      <c r="BJ23" t="n">
        <v>7078.251</v>
      </c>
      <c r="BK23" t="n">
        <v>8239.474</v>
      </c>
      <c r="BL23" t="n">
        <v>8689.066999999999</v>
      </c>
      <c r="BM23" t="n">
        <v>7709.826</v>
      </c>
      <c r="BN23" t="n">
        <v>7484.208</v>
      </c>
      <c r="BO23" t="n">
        <v>7873.971</v>
      </c>
      <c r="BP23" t="n">
        <v>8460.299000000001</v>
      </c>
      <c r="BQ23" t="n">
        <v>9122.683999999999</v>
      </c>
      <c r="BR23" t="n">
        <v>9429.576999999999</v>
      </c>
      <c r="BS23" t="n">
        <v>11056.647</v>
      </c>
      <c r="BT23" t="n">
        <v>12171.984</v>
      </c>
      <c r="BU23" t="n">
        <v>11840.876</v>
      </c>
      <c r="BV23" t="n">
        <v>9596.436</v>
      </c>
    </row>
    <row r="24">
      <c r="A24" t="inlineStr">
        <is>
          <t>Ammodytidae</t>
        </is>
      </c>
      <c r="B24" t="inlineStr">
        <is>
          <t>Sand lances</t>
        </is>
      </c>
      <c r="C24" t="inlineStr">
        <is>
          <t>Large reef assoc. fish (&gt;=90 cm)</t>
        </is>
      </c>
      <c r="D24" t="inlineStr">
        <is>
          <t>Perch-likes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697.194</v>
      </c>
      <c r="AB24" t="n">
        <v>2589.214</v>
      </c>
      <c r="AC24" t="n">
        <v>6456.149</v>
      </c>
      <c r="AD24" t="n">
        <v>4972.503</v>
      </c>
      <c r="AE24" t="n">
        <v>8062.678</v>
      </c>
      <c r="AF24" t="n">
        <v>18044.237</v>
      </c>
      <c r="AG24" t="n">
        <v>12950.58</v>
      </c>
      <c r="AH24" t="n">
        <v>13069.653</v>
      </c>
      <c r="AI24" t="n">
        <v>7097.662</v>
      </c>
      <c r="AJ24" t="n">
        <v>3678.944</v>
      </c>
      <c r="AK24" t="n">
        <v>5168.692</v>
      </c>
      <c r="AL24" t="n">
        <v>2265.51</v>
      </c>
      <c r="AM24" t="n">
        <v>11146.447</v>
      </c>
      <c r="AN24" t="n">
        <v>3811.048</v>
      </c>
      <c r="AO24" t="n">
        <v>1196.769</v>
      </c>
      <c r="AP24" t="n">
        <v>18334.074</v>
      </c>
      <c r="AQ24" t="n">
        <v>15334.177</v>
      </c>
      <c r="AR24" t="n">
        <v>16445.545</v>
      </c>
      <c r="AS24" t="n">
        <v>2511.082</v>
      </c>
      <c r="AT24" t="n">
        <v>11048.064</v>
      </c>
      <c r="AU24" t="n">
        <v>9711.026</v>
      </c>
      <c r="AV24" t="n">
        <v>2549.768</v>
      </c>
      <c r="AW24" t="n">
        <v>9932.535</v>
      </c>
      <c r="AX24" t="n">
        <v>7381.081</v>
      </c>
      <c r="AY24" t="n">
        <v>4974.585</v>
      </c>
      <c r="AZ24" t="n">
        <v>10809.196</v>
      </c>
      <c r="BA24" t="n">
        <v>20483.136</v>
      </c>
      <c r="BB24" t="n">
        <v>33393.373</v>
      </c>
      <c r="BC24" t="n">
        <v>39478.384</v>
      </c>
      <c r="BD24" t="n">
        <v>57763.038</v>
      </c>
      <c r="BE24" t="n">
        <v>80060.973</v>
      </c>
      <c r="BF24" t="n">
        <v>30118.46</v>
      </c>
      <c r="BG24" t="n">
        <v>42668.905</v>
      </c>
      <c r="BH24" t="n">
        <v>9944.735000000001</v>
      </c>
      <c r="BI24" t="n">
        <v>36939.477</v>
      </c>
      <c r="BJ24" t="n">
        <v>11423.231</v>
      </c>
      <c r="BK24" t="n">
        <v>16394.647</v>
      </c>
      <c r="BL24" t="n">
        <v>15516.105</v>
      </c>
      <c r="BM24" t="n">
        <v>38411.877</v>
      </c>
      <c r="BN24" t="n">
        <v>2338.872</v>
      </c>
      <c r="BO24" t="n">
        <v>0</v>
      </c>
      <c r="BP24" t="n">
        <v>1307.731</v>
      </c>
      <c r="BQ24" t="n">
        <v>816.749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</row>
    <row r="25">
      <c r="A25" t="inlineStr">
        <is>
          <t>Cancer pagurus</t>
        </is>
      </c>
      <c r="B25" t="inlineStr">
        <is>
          <t>Edible crab</t>
        </is>
      </c>
      <c r="C25" t="inlineStr">
        <is>
          <t>Lobsters, crabs</t>
        </is>
      </c>
      <c r="D25" t="inlineStr">
        <is>
          <t>Crustaceans</t>
        </is>
      </c>
      <c r="E25" t="n">
        <v>4003.682</v>
      </c>
      <c r="F25" t="n">
        <v>8216.413</v>
      </c>
      <c r="G25" t="n">
        <v>9975.822</v>
      </c>
      <c r="H25" t="n">
        <v>8656.709999999999</v>
      </c>
      <c r="I25" t="n">
        <v>7096.364</v>
      </c>
      <c r="J25" t="n">
        <v>8798.564</v>
      </c>
      <c r="K25" t="n">
        <v>10815.477</v>
      </c>
      <c r="L25" t="n">
        <v>6487.48</v>
      </c>
      <c r="M25" t="n">
        <v>6807.794</v>
      </c>
      <c r="N25" t="n">
        <v>6961.596</v>
      </c>
      <c r="O25" t="n">
        <v>5123.419</v>
      </c>
      <c r="P25" t="n">
        <v>6688.344</v>
      </c>
      <c r="Q25" t="n">
        <v>5458.258</v>
      </c>
      <c r="R25" t="n">
        <v>6848.171</v>
      </c>
      <c r="S25" t="n">
        <v>6651.743</v>
      </c>
      <c r="T25" t="n">
        <v>5410.147</v>
      </c>
      <c r="U25" t="n">
        <v>5713.281</v>
      </c>
      <c r="V25" t="n">
        <v>5763.462</v>
      </c>
      <c r="W25" t="n">
        <v>5980.231</v>
      </c>
      <c r="X25" t="n">
        <v>6715.494</v>
      </c>
      <c r="Y25" t="n">
        <v>6346.973</v>
      </c>
      <c r="Z25" t="n">
        <v>5078.32</v>
      </c>
      <c r="AA25" t="n">
        <v>5145.736</v>
      </c>
      <c r="AB25" t="n">
        <v>6931.261</v>
      </c>
      <c r="AC25" t="n">
        <v>6367.615</v>
      </c>
      <c r="AD25" t="n">
        <v>6300.369</v>
      </c>
      <c r="AE25" t="n">
        <v>6535.083</v>
      </c>
      <c r="AF25" t="n">
        <v>5568.048</v>
      </c>
      <c r="AG25" t="n">
        <v>5554.498</v>
      </c>
      <c r="AH25" t="n">
        <v>6285.529</v>
      </c>
      <c r="AI25" t="n">
        <v>6285.541</v>
      </c>
      <c r="AJ25" t="n">
        <v>5610.162</v>
      </c>
      <c r="AK25" t="n">
        <v>7501.371</v>
      </c>
      <c r="AL25" t="n">
        <v>6520.694</v>
      </c>
      <c r="AM25" t="n">
        <v>6294.698</v>
      </c>
      <c r="AN25" t="n">
        <v>4945.512</v>
      </c>
      <c r="AO25" t="n">
        <v>4955.644</v>
      </c>
      <c r="AP25" t="n">
        <v>6350.369</v>
      </c>
      <c r="AQ25" t="n">
        <v>5287.416</v>
      </c>
      <c r="AR25" t="n">
        <v>5499.57</v>
      </c>
      <c r="AS25" t="n">
        <v>7145.736</v>
      </c>
      <c r="AT25" t="n">
        <v>6700.124</v>
      </c>
      <c r="AU25" t="n">
        <v>5861.192</v>
      </c>
      <c r="AV25" t="n">
        <v>5474.163</v>
      </c>
      <c r="AW25" t="n">
        <v>6993.619</v>
      </c>
      <c r="AX25" t="n">
        <v>7971.506</v>
      </c>
      <c r="AY25" t="n">
        <v>6820.989</v>
      </c>
      <c r="AZ25" t="n">
        <v>7621.494</v>
      </c>
      <c r="BA25" t="n">
        <v>8236.674000000001</v>
      </c>
      <c r="BB25" t="n">
        <v>9810.406999999999</v>
      </c>
      <c r="BC25" t="n">
        <v>11088.381</v>
      </c>
      <c r="BD25" t="n">
        <v>12085.621</v>
      </c>
      <c r="BE25" t="n">
        <v>10807.707</v>
      </c>
      <c r="BF25" t="n">
        <v>11702.74</v>
      </c>
      <c r="BG25" t="n">
        <v>10340.941</v>
      </c>
      <c r="BH25" t="n">
        <v>8743.031999999999</v>
      </c>
      <c r="BI25" t="n">
        <v>12286.112</v>
      </c>
      <c r="BJ25" t="n">
        <v>15433.137</v>
      </c>
      <c r="BK25" t="n">
        <v>12544.628</v>
      </c>
      <c r="BL25" t="n">
        <v>13517.983</v>
      </c>
      <c r="BM25" t="n">
        <v>14972.214</v>
      </c>
      <c r="BN25" t="n">
        <v>12728.724</v>
      </c>
      <c r="BO25" t="n">
        <v>14768.979</v>
      </c>
      <c r="BP25" t="n">
        <v>16709.917</v>
      </c>
      <c r="BQ25" t="n">
        <v>18410.155</v>
      </c>
      <c r="BR25" t="n">
        <v>16768.057</v>
      </c>
      <c r="BS25" t="n">
        <v>20504.754</v>
      </c>
      <c r="BT25" t="n">
        <v>20437.491</v>
      </c>
      <c r="BU25" t="n">
        <v>19011.215</v>
      </c>
      <c r="BV25" t="n">
        <v>22780.446</v>
      </c>
    </row>
    <row r="26">
      <c r="A26" t="inlineStr">
        <is>
          <t>Eutrigla gurnardus</t>
        </is>
      </c>
      <c r="B26" t="inlineStr">
        <is>
          <t>Grey gurnard</t>
        </is>
      </c>
      <c r="C26" t="inlineStr">
        <is>
          <t>Medium demersals (30 - 89 cm)</t>
        </is>
      </c>
      <c r="D26" t="inlineStr">
        <is>
          <t>Scorpionfishes</t>
        </is>
      </c>
      <c r="E26" t="n">
        <v>2317.967</v>
      </c>
      <c r="F26" t="n">
        <v>2074.037</v>
      </c>
      <c r="G26" t="n">
        <v>2214.391</v>
      </c>
      <c r="H26" t="n">
        <v>2540.421</v>
      </c>
      <c r="I26" t="n">
        <v>2248.139</v>
      </c>
      <c r="J26" t="n">
        <v>1896.881</v>
      </c>
      <c r="K26" t="n">
        <v>2109.193</v>
      </c>
      <c r="L26" t="n">
        <v>2832.225</v>
      </c>
      <c r="M26" t="n">
        <v>3046.435</v>
      </c>
      <c r="N26" t="n">
        <v>2678.159</v>
      </c>
      <c r="O26" t="n">
        <v>3043.992</v>
      </c>
      <c r="P26" t="n">
        <v>3457.575</v>
      </c>
      <c r="Q26" t="n">
        <v>3982.028</v>
      </c>
      <c r="R26" t="n">
        <v>4313.522</v>
      </c>
      <c r="S26" t="n">
        <v>3738.399</v>
      </c>
      <c r="T26" t="n">
        <v>4039.582</v>
      </c>
      <c r="U26" t="n">
        <v>5396.459</v>
      </c>
      <c r="V26" t="n">
        <v>4083.077</v>
      </c>
      <c r="W26" t="n">
        <v>5678.524</v>
      </c>
      <c r="X26" t="n">
        <v>6499.879</v>
      </c>
      <c r="Y26" t="n">
        <v>6647.142</v>
      </c>
      <c r="Z26" t="n">
        <v>6500.826</v>
      </c>
      <c r="AA26" t="n">
        <v>8516.16</v>
      </c>
      <c r="AB26" t="n">
        <v>7827.12</v>
      </c>
      <c r="AC26" t="n">
        <v>8064.117</v>
      </c>
      <c r="AD26" t="n">
        <v>7678.708</v>
      </c>
      <c r="AE26" t="n">
        <v>5999.517</v>
      </c>
      <c r="AF26" t="n">
        <v>5850.592</v>
      </c>
      <c r="AG26" t="n">
        <v>4101.243</v>
      </c>
      <c r="AH26" t="n">
        <v>5152.241</v>
      </c>
      <c r="AI26" t="n">
        <v>5652.387</v>
      </c>
      <c r="AJ26" t="n">
        <v>5713.453</v>
      </c>
      <c r="AK26" t="n">
        <v>7764.621</v>
      </c>
      <c r="AL26" t="n">
        <v>8024.364</v>
      </c>
      <c r="AM26" t="n">
        <v>11629.684</v>
      </c>
      <c r="AN26" t="n">
        <v>10709.561</v>
      </c>
      <c r="AO26" t="n">
        <v>8022.973</v>
      </c>
      <c r="AP26" t="n">
        <v>53821.52</v>
      </c>
      <c r="AQ26" t="n">
        <v>45597.075</v>
      </c>
      <c r="AR26" t="n">
        <v>35035.26</v>
      </c>
      <c r="AS26" t="n">
        <v>30770.544</v>
      </c>
      <c r="AT26" t="n">
        <v>22393.679</v>
      </c>
      <c r="AU26" t="n">
        <v>14460.647</v>
      </c>
      <c r="AV26" t="n">
        <v>7103.43</v>
      </c>
      <c r="AW26" t="n">
        <v>6347.271</v>
      </c>
      <c r="AX26" t="n">
        <v>5866.735</v>
      </c>
      <c r="AY26" t="n">
        <v>4602.48</v>
      </c>
      <c r="AZ26" t="n">
        <v>3934.606</v>
      </c>
      <c r="BA26" t="n">
        <v>3825.4</v>
      </c>
      <c r="BB26" t="n">
        <v>4731.014</v>
      </c>
      <c r="BC26" t="n">
        <v>4808.873</v>
      </c>
      <c r="BD26" t="n">
        <v>4759.151</v>
      </c>
      <c r="BE26" t="n">
        <v>3904.763</v>
      </c>
      <c r="BF26" t="n">
        <v>3848.049</v>
      </c>
      <c r="BG26" t="n">
        <v>3438.744</v>
      </c>
      <c r="BH26" t="n">
        <v>3204.343</v>
      </c>
      <c r="BI26" t="n">
        <v>2965.649</v>
      </c>
      <c r="BJ26" t="n">
        <v>2895.43</v>
      </c>
      <c r="BK26" t="n">
        <v>2804.601</v>
      </c>
      <c r="BL26" t="n">
        <v>3139.808</v>
      </c>
      <c r="BM26" t="n">
        <v>3682.977</v>
      </c>
      <c r="BN26" t="n">
        <v>3561.633</v>
      </c>
      <c r="BO26" t="n">
        <v>4125.013</v>
      </c>
      <c r="BP26" t="n">
        <v>4183.56</v>
      </c>
      <c r="BQ26" t="n">
        <v>3636.47</v>
      </c>
      <c r="BR26" t="n">
        <v>5867.594</v>
      </c>
      <c r="BS26" t="n">
        <v>6019.391</v>
      </c>
      <c r="BT26" t="n">
        <v>6009.284</v>
      </c>
      <c r="BU26" t="n">
        <v>5224.315</v>
      </c>
      <c r="BV26" t="n">
        <v>4408.766</v>
      </c>
    </row>
    <row r="27">
      <c r="A27" t="inlineStr">
        <is>
          <t>Lophius piscatorius</t>
        </is>
      </c>
      <c r="B27" t="inlineStr">
        <is>
          <t>Angler</t>
        </is>
      </c>
      <c r="C27" t="inlineStr">
        <is>
          <t>Large bathydemersals (&gt;=90 cm)</t>
        </is>
      </c>
      <c r="D27" t="inlineStr">
        <is>
          <t>Other fishes &amp; inverts</t>
        </is>
      </c>
      <c r="E27" t="n">
        <v>1559.234</v>
      </c>
      <c r="F27" t="n">
        <v>4281.299</v>
      </c>
      <c r="G27" t="n">
        <v>2285.413</v>
      </c>
      <c r="H27" t="n">
        <v>3219.639</v>
      </c>
      <c r="I27" t="n">
        <v>3741.526</v>
      </c>
      <c r="J27" t="n">
        <v>3515.052</v>
      </c>
      <c r="K27" t="n">
        <v>3323.491</v>
      </c>
      <c r="L27" t="n">
        <v>3252.096</v>
      </c>
      <c r="M27" t="n">
        <v>3252.34</v>
      </c>
      <c r="N27" t="n">
        <v>2922.607</v>
      </c>
      <c r="O27" t="n">
        <v>2434.359</v>
      </c>
      <c r="P27" t="n">
        <v>2358.69</v>
      </c>
      <c r="Q27" t="n">
        <v>1879.689</v>
      </c>
      <c r="R27" t="n">
        <v>2512.003</v>
      </c>
      <c r="S27" t="n">
        <v>3978.244</v>
      </c>
      <c r="T27" t="n">
        <v>4423.787</v>
      </c>
      <c r="U27" t="n">
        <v>2910.498</v>
      </c>
      <c r="V27" t="n">
        <v>2247.925</v>
      </c>
      <c r="W27" t="n">
        <v>2563.965</v>
      </c>
      <c r="X27" t="n">
        <v>2073.422</v>
      </c>
      <c r="Y27" t="n">
        <v>1319.295</v>
      </c>
      <c r="Z27" t="n">
        <v>1670.375</v>
      </c>
      <c r="AA27" t="n">
        <v>2046.963</v>
      </c>
      <c r="AB27" t="n">
        <v>2535.015</v>
      </c>
      <c r="AC27" t="n">
        <v>3703.464</v>
      </c>
      <c r="AD27" t="n">
        <v>4193.135</v>
      </c>
      <c r="AE27" t="n">
        <v>4736.456</v>
      </c>
      <c r="AF27" t="n">
        <v>4484.555</v>
      </c>
      <c r="AG27" t="n">
        <v>4211.438</v>
      </c>
      <c r="AH27" t="n">
        <v>4456.852</v>
      </c>
      <c r="AI27" t="n">
        <v>4994.116</v>
      </c>
      <c r="AJ27" t="n">
        <v>3341.173</v>
      </c>
      <c r="AK27" t="n">
        <v>3008.133</v>
      </c>
      <c r="AL27" t="n">
        <v>3598.401</v>
      </c>
      <c r="AM27" t="n">
        <v>4668.796</v>
      </c>
      <c r="AN27" t="n">
        <v>5902.464</v>
      </c>
      <c r="AO27" t="n">
        <v>6979.154</v>
      </c>
      <c r="AP27" t="n">
        <v>9412.134</v>
      </c>
      <c r="AQ27" t="n">
        <v>9793.617</v>
      </c>
      <c r="AR27" t="n">
        <v>10229.719</v>
      </c>
      <c r="AS27" t="n">
        <v>10938.409</v>
      </c>
      <c r="AT27" t="n">
        <v>11712.996</v>
      </c>
      <c r="AU27" t="n">
        <v>13216.231</v>
      </c>
      <c r="AV27" t="n">
        <v>14645.517</v>
      </c>
      <c r="AW27" t="n">
        <v>17107.249</v>
      </c>
      <c r="AX27" t="n">
        <v>20522.83</v>
      </c>
      <c r="AY27" t="n">
        <v>27032.298</v>
      </c>
      <c r="AZ27" t="n">
        <v>25815.901</v>
      </c>
      <c r="BA27" t="n">
        <v>18595.207</v>
      </c>
      <c r="BB27" t="n">
        <v>13792.829</v>
      </c>
      <c r="BC27" t="n">
        <v>12843.847</v>
      </c>
      <c r="BD27" t="n">
        <v>13542.34</v>
      </c>
      <c r="BE27" t="n">
        <v>11509.297</v>
      </c>
      <c r="BF27" t="n">
        <v>8948.228999999999</v>
      </c>
      <c r="BG27" t="n">
        <v>9394.393</v>
      </c>
      <c r="BH27" t="n">
        <v>8645.611999999999</v>
      </c>
      <c r="BI27" t="n">
        <v>10481.428</v>
      </c>
      <c r="BJ27" t="n">
        <v>10940.337</v>
      </c>
      <c r="BK27" t="n">
        <v>11156.314</v>
      </c>
      <c r="BL27" t="n">
        <v>10393.213</v>
      </c>
      <c r="BM27" t="n">
        <v>8522.269</v>
      </c>
      <c r="BN27" t="n">
        <v>1864.648</v>
      </c>
      <c r="BO27" t="n">
        <v>1980.256</v>
      </c>
      <c r="BP27" t="n">
        <v>1876.212</v>
      </c>
      <c r="BQ27" t="n">
        <v>2107.606</v>
      </c>
      <c r="BR27" t="n">
        <v>2263.616</v>
      </c>
      <c r="BS27" t="n">
        <v>2902.777</v>
      </c>
      <c r="BT27" t="n">
        <v>3816.88</v>
      </c>
      <c r="BU27" t="n">
        <v>3589.994</v>
      </c>
      <c r="BV27" t="n">
        <v>3856.406</v>
      </c>
    </row>
    <row r="28">
      <c r="A28" t="inlineStr">
        <is>
          <t>Platichthys flesus</t>
        </is>
      </c>
      <c r="B28" t="inlineStr">
        <is>
          <t>European flounder</t>
        </is>
      </c>
      <c r="C28" t="inlineStr">
        <is>
          <t>Small to medium flatfishes (&lt;90 cm)</t>
        </is>
      </c>
      <c r="D28" t="inlineStr">
        <is>
          <t>Flatfishes</t>
        </is>
      </c>
      <c r="E28" t="n">
        <v>10667.097</v>
      </c>
      <c r="F28" t="n">
        <v>9694.057000000001</v>
      </c>
      <c r="G28" t="n">
        <v>8617.707</v>
      </c>
      <c r="H28" t="n">
        <v>9221.727999999999</v>
      </c>
      <c r="I28" t="n">
        <v>8060.047</v>
      </c>
      <c r="J28" t="n">
        <v>8920.279</v>
      </c>
      <c r="K28" t="n">
        <v>9062.639999999999</v>
      </c>
      <c r="L28" t="n">
        <v>8595.395</v>
      </c>
      <c r="M28" t="n">
        <v>8220.869000000001</v>
      </c>
      <c r="N28" t="n">
        <v>7609.215</v>
      </c>
      <c r="O28" t="n">
        <v>7032.289</v>
      </c>
      <c r="P28" t="n">
        <v>6728.249</v>
      </c>
      <c r="Q28" t="n">
        <v>7240.911</v>
      </c>
      <c r="R28" t="n">
        <v>5146.477</v>
      </c>
      <c r="S28" t="n">
        <v>6813.337</v>
      </c>
      <c r="T28" t="n">
        <v>7364.255</v>
      </c>
      <c r="U28" t="n">
        <v>6642.691</v>
      </c>
      <c r="V28" t="n">
        <v>5334.928</v>
      </c>
      <c r="W28" t="n">
        <v>5899.545</v>
      </c>
      <c r="X28" t="n">
        <v>5305.786</v>
      </c>
      <c r="Y28" t="n">
        <v>4964.189</v>
      </c>
      <c r="Z28" t="n">
        <v>5182.379</v>
      </c>
      <c r="AA28" t="n">
        <v>5254.092</v>
      </c>
      <c r="AB28" t="n">
        <v>5200.69</v>
      </c>
      <c r="AC28" t="n">
        <v>9455.324000000001</v>
      </c>
      <c r="AD28" t="n">
        <v>7871.43</v>
      </c>
      <c r="AE28" t="n">
        <v>7474.041</v>
      </c>
      <c r="AF28" t="n">
        <v>6788.138</v>
      </c>
      <c r="AG28" t="n">
        <v>7462.145</v>
      </c>
      <c r="AH28" t="n">
        <v>6525.975</v>
      </c>
      <c r="AI28" t="n">
        <v>4970.926</v>
      </c>
      <c r="AJ28" t="n">
        <v>7847.362</v>
      </c>
      <c r="AK28" t="n">
        <v>7537.044</v>
      </c>
      <c r="AL28" t="n">
        <v>9841.281000000001</v>
      </c>
      <c r="AM28" t="n">
        <v>8321.950000000001</v>
      </c>
      <c r="AN28" t="n">
        <v>5598.779</v>
      </c>
      <c r="AO28" t="n">
        <v>6295.537</v>
      </c>
      <c r="AP28" t="n">
        <v>4851.209</v>
      </c>
      <c r="AQ28" t="n">
        <v>6071.466</v>
      </c>
      <c r="AR28" t="n">
        <v>6332.698</v>
      </c>
      <c r="AS28" t="n">
        <v>4246.827</v>
      </c>
      <c r="AT28" t="n">
        <v>4725.042</v>
      </c>
      <c r="AU28" t="n">
        <v>3980.215</v>
      </c>
      <c r="AV28" t="n">
        <v>6355.422</v>
      </c>
      <c r="AW28" t="n">
        <v>5509.09</v>
      </c>
      <c r="AX28" t="n">
        <v>4850.333</v>
      </c>
      <c r="AY28" t="n">
        <v>5265.672</v>
      </c>
      <c r="AZ28" t="n">
        <v>4417.528</v>
      </c>
      <c r="BA28" t="n">
        <v>8511.029</v>
      </c>
      <c r="BB28" t="n">
        <v>6545.247</v>
      </c>
      <c r="BC28" t="n">
        <v>6384.328</v>
      </c>
      <c r="BD28" t="n">
        <v>6341.339</v>
      </c>
      <c r="BE28" t="n">
        <v>6437.789</v>
      </c>
      <c r="BF28" t="n">
        <v>5785.435</v>
      </c>
      <c r="BG28" t="n">
        <v>6376.11</v>
      </c>
      <c r="BH28" t="n">
        <v>5742.102</v>
      </c>
      <c r="BI28" t="n">
        <v>6176.456</v>
      </c>
      <c r="BJ28" t="n">
        <v>5491.57</v>
      </c>
      <c r="BK28" t="n">
        <v>4668.392</v>
      </c>
      <c r="BL28" t="n">
        <v>4405.243</v>
      </c>
      <c r="BM28" t="n">
        <v>4502.944</v>
      </c>
      <c r="BN28" t="n">
        <v>4277.009</v>
      </c>
      <c r="BO28" t="n">
        <v>3470.683</v>
      </c>
      <c r="BP28" t="n">
        <v>3190.778</v>
      </c>
      <c r="BQ28" t="n">
        <v>3256.143</v>
      </c>
      <c r="BR28" t="n">
        <v>2820.442</v>
      </c>
      <c r="BS28" t="n">
        <v>2636.376</v>
      </c>
      <c r="BT28" t="n">
        <v>2234.966</v>
      </c>
      <c r="BU28" t="n">
        <v>2357.143</v>
      </c>
      <c r="BV28" t="n">
        <v>2430.221</v>
      </c>
    </row>
    <row r="29">
      <c r="A29" t="inlineStr">
        <is>
          <t>Pandalus borealis</t>
        </is>
      </c>
      <c r="B29" t="inlineStr">
        <is>
          <t>Northern prawn</t>
        </is>
      </c>
      <c r="C29" t="inlineStr">
        <is>
          <t>Shrimps</t>
        </is>
      </c>
      <c r="D29" t="inlineStr">
        <is>
          <t>Crustaceans</t>
        </is>
      </c>
      <c r="E29" t="n">
        <v>1297.88</v>
      </c>
      <c r="F29" t="n">
        <v>1366.02</v>
      </c>
      <c r="G29" t="n">
        <v>1696.531</v>
      </c>
      <c r="H29" t="n">
        <v>2136.455</v>
      </c>
      <c r="I29" t="n">
        <v>2123.155</v>
      </c>
      <c r="J29" t="n">
        <v>2466.962</v>
      </c>
      <c r="K29" t="n">
        <v>2483.34</v>
      </c>
      <c r="L29" t="n">
        <v>3405.645</v>
      </c>
      <c r="M29" t="n">
        <v>3953.119</v>
      </c>
      <c r="N29" t="n">
        <v>5759.874</v>
      </c>
      <c r="O29" t="n">
        <v>7061.963</v>
      </c>
      <c r="P29" t="n">
        <v>8113.076</v>
      </c>
      <c r="Q29" t="n">
        <v>10809.433</v>
      </c>
      <c r="R29" t="n">
        <v>10475.147</v>
      </c>
      <c r="S29" t="n">
        <v>8785.888000000001</v>
      </c>
      <c r="T29" t="n">
        <v>9357.822</v>
      </c>
      <c r="U29" t="n">
        <v>6737.464</v>
      </c>
      <c r="V29" t="n">
        <v>4766.27</v>
      </c>
      <c r="W29" t="n">
        <v>5184.066</v>
      </c>
      <c r="X29" t="n">
        <v>6194.967</v>
      </c>
      <c r="Y29" t="n">
        <v>4304.467</v>
      </c>
      <c r="Z29" t="n">
        <v>6089.644</v>
      </c>
      <c r="AA29" t="n">
        <v>3404.985</v>
      </c>
      <c r="AB29" t="n">
        <v>4456.313</v>
      </c>
      <c r="AC29" t="n">
        <v>3519.494</v>
      </c>
      <c r="AD29" t="n">
        <v>4872.292</v>
      </c>
      <c r="AE29" t="n">
        <v>7511.915</v>
      </c>
      <c r="AF29" t="n">
        <v>5768.363</v>
      </c>
      <c r="AG29" t="n">
        <v>5388.445</v>
      </c>
      <c r="AH29" t="n">
        <v>4464.476</v>
      </c>
      <c r="AI29" t="n">
        <v>5961.167</v>
      </c>
      <c r="AJ29" t="n">
        <v>6171.09</v>
      </c>
      <c r="AK29" t="n">
        <v>6055.069</v>
      </c>
      <c r="AL29" t="n">
        <v>10395.72</v>
      </c>
      <c r="AM29" t="n">
        <v>7566.856</v>
      </c>
      <c r="AN29" t="n">
        <v>11881.015</v>
      </c>
      <c r="AO29" t="n">
        <v>10829.044</v>
      </c>
      <c r="AP29" t="n">
        <v>15859.13</v>
      </c>
      <c r="AQ29" t="n">
        <v>6761.092</v>
      </c>
      <c r="AR29" t="n">
        <v>8355.183000000001</v>
      </c>
      <c r="AS29" t="n">
        <v>6975.056</v>
      </c>
      <c r="AT29" t="n">
        <v>6390.22</v>
      </c>
      <c r="AU29" t="n">
        <v>7924.508</v>
      </c>
      <c r="AV29" t="n">
        <v>7744.152</v>
      </c>
      <c r="AW29" t="n">
        <v>6528.711</v>
      </c>
      <c r="AX29" t="n">
        <v>11746.959</v>
      </c>
      <c r="AY29" t="n">
        <v>12167.349</v>
      </c>
      <c r="AZ29" t="n">
        <v>10186.135</v>
      </c>
      <c r="BA29" t="n">
        <v>10180.335</v>
      </c>
      <c r="BB29" t="n">
        <v>6213.741</v>
      </c>
      <c r="BC29" t="n">
        <v>6642.56</v>
      </c>
      <c r="BD29" t="n">
        <v>6105.167</v>
      </c>
      <c r="BE29" t="n">
        <v>6187.878</v>
      </c>
      <c r="BF29" t="n">
        <v>6838.209</v>
      </c>
      <c r="BG29" t="n">
        <v>6608.472</v>
      </c>
      <c r="BH29" t="n">
        <v>5425.806</v>
      </c>
      <c r="BI29" t="n">
        <v>5813.657</v>
      </c>
      <c r="BJ29" t="n">
        <v>5024.158</v>
      </c>
      <c r="BK29" t="n">
        <v>4944.045</v>
      </c>
      <c r="BL29" t="n">
        <v>4766.209</v>
      </c>
      <c r="BM29" t="n">
        <v>3111.903</v>
      </c>
      <c r="BN29" t="n">
        <v>3520.32</v>
      </c>
      <c r="BO29" t="n">
        <v>3111.754</v>
      </c>
      <c r="BP29" t="n">
        <v>3427.042</v>
      </c>
      <c r="BQ29" t="n">
        <v>4362.432</v>
      </c>
      <c r="BR29" t="n">
        <v>4553.04</v>
      </c>
      <c r="BS29" t="n">
        <v>3456.765</v>
      </c>
      <c r="BT29" t="n">
        <v>4168.497</v>
      </c>
      <c r="BU29" t="n">
        <v>3437.82</v>
      </c>
      <c r="BV29" t="n">
        <v>3344.047</v>
      </c>
    </row>
    <row r="30">
      <c r="A30" t="inlineStr">
        <is>
          <t>Coryphaenoides rupestris</t>
        </is>
      </c>
      <c r="B30" t="inlineStr">
        <is>
          <t>Roundnose grenadier</t>
        </is>
      </c>
      <c r="C30" t="inlineStr">
        <is>
          <t>Large bathypelagics (&gt;=90 cm)</t>
        </is>
      </c>
      <c r="D30" t="inlineStr">
        <is>
          <t>Cod-likes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0.003</v>
      </c>
      <c r="Y30" t="n">
        <v>1.075</v>
      </c>
      <c r="Z30" t="n">
        <v>0</v>
      </c>
      <c r="AA30" t="n">
        <v>0</v>
      </c>
      <c r="AB30" t="n">
        <v>0.008</v>
      </c>
      <c r="AC30" t="n">
        <v>0.021</v>
      </c>
      <c r="AD30" t="n">
        <v>0.294</v>
      </c>
      <c r="AE30" t="n">
        <v>1.201</v>
      </c>
      <c r="AF30" t="n">
        <v>0.14</v>
      </c>
      <c r="AG30" t="n">
        <v>2.655</v>
      </c>
      <c r="AH30" t="n">
        <v>16.734</v>
      </c>
      <c r="AI30" t="n">
        <v>48.504</v>
      </c>
      <c r="AJ30" t="n">
        <v>22.173</v>
      </c>
      <c r="AK30" t="n">
        <v>17.295</v>
      </c>
      <c r="AL30" t="n">
        <v>74.205</v>
      </c>
      <c r="AM30" t="n">
        <v>5.538</v>
      </c>
      <c r="AN30" t="n">
        <v>966.58</v>
      </c>
      <c r="AO30" t="n">
        <v>9701.040999999999</v>
      </c>
      <c r="AP30" t="n">
        <v>13486.709</v>
      </c>
      <c r="AQ30" t="n">
        <v>5303.194</v>
      </c>
      <c r="AR30" t="n">
        <v>7652.91</v>
      </c>
      <c r="AS30" t="n">
        <v>6798.26</v>
      </c>
      <c r="AT30" t="n">
        <v>10518.516</v>
      </c>
      <c r="AU30" t="n">
        <v>25628.95</v>
      </c>
      <c r="AV30" t="n">
        <v>13761.318</v>
      </c>
      <c r="AW30" t="n">
        <v>16581.241</v>
      </c>
      <c r="AX30" t="n">
        <v>19294.444</v>
      </c>
      <c r="AY30" t="n">
        <v>10186.461</v>
      </c>
      <c r="AZ30" t="n">
        <v>18465.223</v>
      </c>
      <c r="BA30" t="n">
        <v>38323.644</v>
      </c>
      <c r="BB30" t="n">
        <v>21813.26</v>
      </c>
      <c r="BC30" t="n">
        <v>17212.958</v>
      </c>
      <c r="BD30" t="n">
        <v>19778.758</v>
      </c>
      <c r="BE30" t="n">
        <v>27676.784</v>
      </c>
      <c r="BF30" t="n">
        <v>35858.348</v>
      </c>
      <c r="BG30" t="n">
        <v>39401.828</v>
      </c>
      <c r="BH30" t="n">
        <v>38873.762</v>
      </c>
      <c r="BI30" t="n">
        <v>23502.562</v>
      </c>
      <c r="BJ30" t="n">
        <v>5.908</v>
      </c>
      <c r="BK30" t="n">
        <v>5.944</v>
      </c>
      <c r="BL30" t="n">
        <v>11.736</v>
      </c>
      <c r="BM30" t="n">
        <v>13.945</v>
      </c>
      <c r="BN30" t="n">
        <v>232.298</v>
      </c>
      <c r="BO30" t="n">
        <v>160.853</v>
      </c>
      <c r="BP30" t="n">
        <v>147.305</v>
      </c>
      <c r="BQ30" t="n">
        <v>106.939</v>
      </c>
      <c r="BR30" t="n">
        <v>58.007</v>
      </c>
      <c r="BS30" t="n">
        <v>66.91500000000001</v>
      </c>
      <c r="BT30" t="n">
        <v>16.602</v>
      </c>
      <c r="BU30" t="n">
        <v>32.099</v>
      </c>
      <c r="BV30" t="n">
        <v>30.159</v>
      </c>
    </row>
    <row r="31">
      <c r="A31" t="inlineStr">
        <is>
          <t>Microstomus kitt</t>
        </is>
      </c>
      <c r="B31" t="inlineStr">
        <is>
          <t>Lemon sole</t>
        </is>
      </c>
      <c r="C31" t="inlineStr">
        <is>
          <t>Small to medium flatfishes (&lt;90 cm)</t>
        </is>
      </c>
      <c r="D31" t="inlineStr">
        <is>
          <t>Flatfishes</t>
        </is>
      </c>
      <c r="E31" t="n">
        <v>4246.105</v>
      </c>
      <c r="F31" t="n">
        <v>5069.136</v>
      </c>
      <c r="G31" t="n">
        <v>5262.239</v>
      </c>
      <c r="H31" t="n">
        <v>5648.008</v>
      </c>
      <c r="I31" t="n">
        <v>4177.579</v>
      </c>
      <c r="J31" t="n">
        <v>3999.418</v>
      </c>
      <c r="K31" t="n">
        <v>3560.2</v>
      </c>
      <c r="L31" t="n">
        <v>3582.56</v>
      </c>
      <c r="M31" t="n">
        <v>3290.111</v>
      </c>
      <c r="N31" t="n">
        <v>3885.192</v>
      </c>
      <c r="O31" t="n">
        <v>4332.938</v>
      </c>
      <c r="P31" t="n">
        <v>5201.653</v>
      </c>
      <c r="Q31" t="n">
        <v>4881.732</v>
      </c>
      <c r="R31" t="n">
        <v>4040.027</v>
      </c>
      <c r="S31" t="n">
        <v>4428.927</v>
      </c>
      <c r="T31" t="n">
        <v>5330.424</v>
      </c>
      <c r="U31" t="n">
        <v>5864.623</v>
      </c>
      <c r="V31" t="n">
        <v>6656.714</v>
      </c>
      <c r="W31" t="n">
        <v>6783.66</v>
      </c>
      <c r="X31" t="n">
        <v>5074.699</v>
      </c>
      <c r="Y31" t="n">
        <v>4030.514</v>
      </c>
      <c r="Z31" t="n">
        <v>4562.177</v>
      </c>
      <c r="AA31" t="n">
        <v>4300.701</v>
      </c>
      <c r="AB31" t="n">
        <v>5261.749</v>
      </c>
      <c r="AC31" t="n">
        <v>4832.433</v>
      </c>
      <c r="AD31" t="n">
        <v>5755.081</v>
      </c>
      <c r="AE31" t="n">
        <v>5624.507</v>
      </c>
      <c r="AF31" t="n">
        <v>6887.954</v>
      </c>
      <c r="AG31" t="n">
        <v>7422.726</v>
      </c>
      <c r="AH31" t="n">
        <v>7965.443</v>
      </c>
      <c r="AI31" t="n">
        <v>7817.026</v>
      </c>
      <c r="AJ31" t="n">
        <v>7463.755</v>
      </c>
      <c r="AK31" t="n">
        <v>8623.248</v>
      </c>
      <c r="AL31" t="n">
        <v>9685.637000000001</v>
      </c>
      <c r="AM31" t="n">
        <v>8135.115</v>
      </c>
      <c r="AN31" t="n">
        <v>8040.026</v>
      </c>
      <c r="AO31" t="n">
        <v>6390.513</v>
      </c>
      <c r="AP31" t="n">
        <v>6915.139</v>
      </c>
      <c r="AQ31" t="n">
        <v>7254.215</v>
      </c>
      <c r="AR31" t="n">
        <v>7444.976</v>
      </c>
      <c r="AS31" t="n">
        <v>8000.236</v>
      </c>
      <c r="AT31" t="n">
        <v>8138.726</v>
      </c>
      <c r="AU31" t="n">
        <v>7926.646</v>
      </c>
      <c r="AV31" t="n">
        <v>7970.348</v>
      </c>
      <c r="AW31" t="n">
        <v>6814.778</v>
      </c>
      <c r="AX31" t="n">
        <v>6102.217</v>
      </c>
      <c r="AY31" t="n">
        <v>5932.714</v>
      </c>
      <c r="AZ31" t="n">
        <v>6099.214</v>
      </c>
      <c r="BA31" t="n">
        <v>7984.379</v>
      </c>
      <c r="BB31" t="n">
        <v>8030.278</v>
      </c>
      <c r="BC31" t="n">
        <v>7439.026</v>
      </c>
      <c r="BD31" t="n">
        <v>6466.523</v>
      </c>
      <c r="BE31" t="n">
        <v>4780.116</v>
      </c>
      <c r="BF31" t="n">
        <v>4659.647</v>
      </c>
      <c r="BG31" t="n">
        <v>4584.637</v>
      </c>
      <c r="BH31" t="n">
        <v>4531.345</v>
      </c>
      <c r="BI31" t="n">
        <v>4358.535</v>
      </c>
      <c r="BJ31" t="n">
        <v>4658.259</v>
      </c>
      <c r="BK31" t="n">
        <v>3981.241</v>
      </c>
      <c r="BL31" t="n">
        <v>3221.315</v>
      </c>
      <c r="BM31" t="n">
        <v>3284.925</v>
      </c>
      <c r="BN31" t="n">
        <v>3868.411</v>
      </c>
      <c r="BO31" t="n">
        <v>4019.206</v>
      </c>
      <c r="BP31" t="n">
        <v>3564.759</v>
      </c>
      <c r="BQ31" t="n">
        <v>3608.685</v>
      </c>
      <c r="BR31" t="n">
        <v>3307.951</v>
      </c>
      <c r="BS31" t="n">
        <v>3593.694</v>
      </c>
      <c r="BT31" t="n">
        <v>3292.04</v>
      </c>
      <c r="BU31" t="n">
        <v>3412.198</v>
      </c>
      <c r="BV31" t="n">
        <v>3118.569</v>
      </c>
    </row>
    <row r="32">
      <c r="A32" t="inlineStr">
        <is>
          <t>Merluccius merluccius</t>
        </is>
      </c>
      <c r="B32" t="inlineStr">
        <is>
          <t>European hake</t>
        </is>
      </c>
      <c r="C32" t="inlineStr">
        <is>
          <t>Large demersals (&gt;=90 cm)</t>
        </is>
      </c>
      <c r="D32" t="inlineStr">
        <is>
          <t>Cod-likes</t>
        </is>
      </c>
      <c r="E32" t="n">
        <v>6808.585</v>
      </c>
      <c r="F32" t="n">
        <v>7632.591</v>
      </c>
      <c r="G32" t="n">
        <v>6885.748</v>
      </c>
      <c r="H32" t="n">
        <v>6029.712</v>
      </c>
      <c r="I32" t="n">
        <v>5393.724</v>
      </c>
      <c r="J32" t="n">
        <v>6514.998</v>
      </c>
      <c r="K32" t="n">
        <v>5436.256</v>
      </c>
      <c r="L32" t="n">
        <v>5168.321</v>
      </c>
      <c r="M32" t="n">
        <v>4706.349</v>
      </c>
      <c r="N32" t="n">
        <v>4336.022</v>
      </c>
      <c r="O32" t="n">
        <v>4633.654</v>
      </c>
      <c r="P32" t="n">
        <v>6732.755</v>
      </c>
      <c r="Q32" t="n">
        <v>5082.137</v>
      </c>
      <c r="R32" t="n">
        <v>5199.5</v>
      </c>
      <c r="S32" t="n">
        <v>4937.308</v>
      </c>
      <c r="T32" t="n">
        <v>3799.073</v>
      </c>
      <c r="U32" t="n">
        <v>2836.938</v>
      </c>
      <c r="V32" t="n">
        <v>2584.568</v>
      </c>
      <c r="W32" t="n">
        <v>3664.719</v>
      </c>
      <c r="X32" t="n">
        <v>3923.219</v>
      </c>
      <c r="Y32" t="n">
        <v>3347.975</v>
      </c>
      <c r="Z32" t="n">
        <v>3740.904</v>
      </c>
      <c r="AA32" t="n">
        <v>4243.028</v>
      </c>
      <c r="AB32" t="n">
        <v>4435.661</v>
      </c>
      <c r="AC32" t="n">
        <v>5365.083</v>
      </c>
      <c r="AD32" t="n">
        <v>5448.379</v>
      </c>
      <c r="AE32" t="n">
        <v>4754.976</v>
      </c>
      <c r="AF32" t="n">
        <v>4171.31</v>
      </c>
      <c r="AG32" t="n">
        <v>4214.602</v>
      </c>
      <c r="AH32" t="n">
        <v>4525.852</v>
      </c>
      <c r="AI32" t="n">
        <v>5069.402</v>
      </c>
      <c r="AJ32" t="n">
        <v>4484.516</v>
      </c>
      <c r="AK32" t="n">
        <v>3285.186</v>
      </c>
      <c r="AL32" t="n">
        <v>3722.081</v>
      </c>
      <c r="AM32" t="n">
        <v>4211.703</v>
      </c>
      <c r="AN32" t="n">
        <v>4732.059</v>
      </c>
      <c r="AO32" t="n">
        <v>3588.375</v>
      </c>
      <c r="AP32" t="n">
        <v>4176.146</v>
      </c>
      <c r="AQ32" t="n">
        <v>3710.088</v>
      </c>
      <c r="AR32" t="n">
        <v>4674.444</v>
      </c>
      <c r="AS32" t="n">
        <v>5877.797</v>
      </c>
      <c r="AT32" t="n">
        <v>6055.838</v>
      </c>
      <c r="AU32" t="n">
        <v>6064.371</v>
      </c>
      <c r="AV32" t="n">
        <v>5598.441</v>
      </c>
      <c r="AW32" t="n">
        <v>3903.813</v>
      </c>
      <c r="AX32" t="n">
        <v>2985.101</v>
      </c>
      <c r="AY32" t="n">
        <v>1971.632</v>
      </c>
      <c r="AZ32" t="n">
        <v>1562.468</v>
      </c>
      <c r="BA32" t="n">
        <v>1597.34</v>
      </c>
      <c r="BB32" t="n">
        <v>2041.763</v>
      </c>
      <c r="BC32" t="n">
        <v>2141.557</v>
      </c>
      <c r="BD32" t="n">
        <v>2169.415</v>
      </c>
      <c r="BE32" t="n">
        <v>2210.244</v>
      </c>
      <c r="BF32" t="n">
        <v>2082.93</v>
      </c>
      <c r="BG32" t="n">
        <v>2677.332</v>
      </c>
      <c r="BH32" t="n">
        <v>2974.398</v>
      </c>
      <c r="BI32" t="n">
        <v>3345.827</v>
      </c>
      <c r="BJ32" t="n">
        <v>3568.936</v>
      </c>
      <c r="BK32" t="n">
        <v>6237.069</v>
      </c>
      <c r="BL32" t="n">
        <v>8366.799000000001</v>
      </c>
      <c r="BM32" t="n">
        <v>6841.167</v>
      </c>
      <c r="BN32" t="n">
        <v>7744.627</v>
      </c>
      <c r="BO32" t="n">
        <v>7518.126</v>
      </c>
      <c r="BP32" t="n">
        <v>8767.433999999999</v>
      </c>
      <c r="BQ32" t="n">
        <v>10232.44</v>
      </c>
      <c r="BR32" t="n">
        <v>11458.2</v>
      </c>
      <c r="BS32" t="n">
        <v>14972.645</v>
      </c>
      <c r="BT32" t="n">
        <v>16907.14</v>
      </c>
      <c r="BU32" t="n">
        <v>15311.893</v>
      </c>
      <c r="BV32" t="n">
        <v>13095.06</v>
      </c>
    </row>
    <row r="33">
      <c r="A33" t="inlineStr">
        <is>
          <t>Scophthalmus maximus</t>
        </is>
      </c>
      <c r="B33" t="inlineStr">
        <is>
          <t>Turbot</t>
        </is>
      </c>
      <c r="C33" t="inlineStr">
        <is>
          <t>Large flatfishes (&gt;=90 cm)</t>
        </is>
      </c>
      <c r="D33" t="inlineStr">
        <is>
          <t>Flatfishes</t>
        </is>
      </c>
      <c r="E33" t="n">
        <v>6355.54</v>
      </c>
      <c r="F33" t="n">
        <v>6291.615</v>
      </c>
      <c r="G33" t="n">
        <v>6012.075</v>
      </c>
      <c r="H33" t="n">
        <v>6075.572</v>
      </c>
      <c r="I33" t="n">
        <v>5838.91</v>
      </c>
      <c r="J33" t="n">
        <v>6270.386</v>
      </c>
      <c r="K33" t="n">
        <v>6981.61</v>
      </c>
      <c r="L33" t="n">
        <v>6411.771</v>
      </c>
      <c r="M33" t="n">
        <v>6341.413</v>
      </c>
      <c r="N33" t="n">
        <v>5818.477</v>
      </c>
      <c r="O33" t="n">
        <v>5791.858</v>
      </c>
      <c r="P33" t="n">
        <v>6021.721</v>
      </c>
      <c r="Q33" t="n">
        <v>5475.374</v>
      </c>
      <c r="R33" t="n">
        <v>6147.291</v>
      </c>
      <c r="S33" t="n">
        <v>5209.013</v>
      </c>
      <c r="T33" t="n">
        <v>4468.417</v>
      </c>
      <c r="U33" t="n">
        <v>4738.342</v>
      </c>
      <c r="V33" t="n">
        <v>4449.701</v>
      </c>
      <c r="W33" t="n">
        <v>4767.645</v>
      </c>
      <c r="X33" t="n">
        <v>4995.622</v>
      </c>
      <c r="Y33" t="n">
        <v>4312.693</v>
      </c>
      <c r="Z33" t="n">
        <v>4601.505</v>
      </c>
      <c r="AA33" t="n">
        <v>4748.536</v>
      </c>
      <c r="AB33" t="n">
        <v>4528.309</v>
      </c>
      <c r="AC33" t="n">
        <v>4374.083</v>
      </c>
      <c r="AD33" t="n">
        <v>4953.824</v>
      </c>
      <c r="AE33" t="n">
        <v>5420.085</v>
      </c>
      <c r="AF33" t="n">
        <v>5454.535</v>
      </c>
      <c r="AG33" t="n">
        <v>5814.387</v>
      </c>
      <c r="AH33" t="n">
        <v>7124.808</v>
      </c>
      <c r="AI33" t="n">
        <v>6109.114</v>
      </c>
      <c r="AJ33" t="n">
        <v>5293.705</v>
      </c>
      <c r="AK33" t="n">
        <v>4954.948</v>
      </c>
      <c r="AL33" t="n">
        <v>5106.819</v>
      </c>
      <c r="AM33" t="n">
        <v>2025.666</v>
      </c>
      <c r="AN33" t="n">
        <v>2237.782</v>
      </c>
      <c r="AO33" t="n">
        <v>2077.305</v>
      </c>
      <c r="AP33" t="n">
        <v>2108.26</v>
      </c>
      <c r="AQ33" t="n">
        <v>4561.099</v>
      </c>
      <c r="AR33" t="n">
        <v>5462.09</v>
      </c>
      <c r="AS33" t="n">
        <v>6643.363</v>
      </c>
      <c r="AT33" t="n">
        <v>7111.969</v>
      </c>
      <c r="AU33" t="n">
        <v>6651.636</v>
      </c>
      <c r="AV33" t="n">
        <v>6287.439</v>
      </c>
      <c r="AW33" t="n">
        <v>5980.207</v>
      </c>
      <c r="AX33" t="n">
        <v>5370.529</v>
      </c>
      <c r="AY33" t="n">
        <v>4152.551</v>
      </c>
      <c r="AZ33" t="n">
        <v>3839.989</v>
      </c>
      <c r="BA33" t="n">
        <v>3452.562</v>
      </c>
      <c r="BB33" t="n">
        <v>3546.437</v>
      </c>
      <c r="BC33" t="n">
        <v>4382.769</v>
      </c>
      <c r="BD33" t="n">
        <v>4521.179</v>
      </c>
      <c r="BE33" t="n">
        <v>4142.068</v>
      </c>
      <c r="BF33" t="n">
        <v>3641.52</v>
      </c>
      <c r="BG33" t="n">
        <v>3575.25</v>
      </c>
      <c r="BH33" t="n">
        <v>3416.252</v>
      </c>
      <c r="BI33" t="n">
        <v>3180.783</v>
      </c>
      <c r="BJ33" t="n">
        <v>3767.513</v>
      </c>
      <c r="BK33" t="n">
        <v>3291.505</v>
      </c>
      <c r="BL33" t="n">
        <v>3384.12</v>
      </c>
      <c r="BM33" t="n">
        <v>2943.056</v>
      </c>
      <c r="BN33" t="n">
        <v>3086.138</v>
      </c>
      <c r="BO33" t="n">
        <v>3328.455</v>
      </c>
      <c r="BP33" t="n">
        <v>3357.547</v>
      </c>
      <c r="BQ33" t="n">
        <v>3140.946</v>
      </c>
      <c r="BR33" t="n">
        <v>2968.079</v>
      </c>
      <c r="BS33" t="n">
        <v>3310.728</v>
      </c>
      <c r="BT33" t="n">
        <v>3659.607</v>
      </c>
      <c r="BU33" t="n">
        <v>3366.843</v>
      </c>
      <c r="BV33" t="n">
        <v>3383.821</v>
      </c>
    </row>
    <row r="34">
      <c r="A34" t="inlineStr">
        <is>
          <t>Raja</t>
        </is>
      </c>
      <c r="B34" t="inlineStr">
        <is>
          <t>Stingrays, skates</t>
        </is>
      </c>
      <c r="C34" t="inlineStr">
        <is>
          <t>Small to medium rays (&lt;90 cm)</t>
        </is>
      </c>
      <c r="D34" t="inlineStr">
        <is>
          <t>Sharks &amp; rays</t>
        </is>
      </c>
      <c r="E34" t="n">
        <v>8001.973</v>
      </c>
      <c r="F34" t="n">
        <v>15664.516</v>
      </c>
      <c r="G34" t="n">
        <v>8505.815000000001</v>
      </c>
      <c r="H34" t="n">
        <v>9591.404</v>
      </c>
      <c r="I34" t="n">
        <v>10532.821</v>
      </c>
      <c r="J34" t="n">
        <v>10402.49</v>
      </c>
      <c r="K34" t="n">
        <v>9710.995999999999</v>
      </c>
      <c r="L34" t="n">
        <v>9412.665000000001</v>
      </c>
      <c r="M34" t="n">
        <v>9451.409</v>
      </c>
      <c r="N34" t="n">
        <v>9588.111999999999</v>
      </c>
      <c r="O34" t="n">
        <v>8586.615</v>
      </c>
      <c r="P34" t="n">
        <v>9489.194</v>
      </c>
      <c r="Q34" t="n">
        <v>6977.326</v>
      </c>
      <c r="R34" t="n">
        <v>7875.306</v>
      </c>
      <c r="S34" t="n">
        <v>8412.245000000001</v>
      </c>
      <c r="T34" t="n">
        <v>8443.311</v>
      </c>
      <c r="U34" t="n">
        <v>6974.006</v>
      </c>
      <c r="V34" t="n">
        <v>6314.263</v>
      </c>
      <c r="W34" t="n">
        <v>6446.648</v>
      </c>
      <c r="X34" t="n">
        <v>6243.223</v>
      </c>
      <c r="Y34" t="n">
        <v>4566.602</v>
      </c>
      <c r="Z34" t="n">
        <v>4694.89</v>
      </c>
      <c r="AA34" t="n">
        <v>4640.547</v>
      </c>
      <c r="AB34" t="n">
        <v>4301.256</v>
      </c>
      <c r="AC34" t="n">
        <v>3843.451</v>
      </c>
      <c r="AD34" t="n">
        <v>3605.826</v>
      </c>
      <c r="AE34" t="n">
        <v>3930.965</v>
      </c>
      <c r="AF34" t="n">
        <v>4181.7</v>
      </c>
      <c r="AG34" t="n">
        <v>4283.706</v>
      </c>
      <c r="AH34" t="n">
        <v>4114.117</v>
      </c>
      <c r="AI34" t="n">
        <v>3826.378</v>
      </c>
      <c r="AJ34" t="n">
        <v>5941.866</v>
      </c>
      <c r="AK34" t="n">
        <v>3355.18</v>
      </c>
      <c r="AL34" t="n">
        <v>3601.882</v>
      </c>
      <c r="AM34" t="n">
        <v>3264.452</v>
      </c>
      <c r="AN34" t="n">
        <v>3303.727</v>
      </c>
      <c r="AO34" t="n">
        <v>3398.926</v>
      </c>
      <c r="AP34" t="n">
        <v>4007.572</v>
      </c>
      <c r="AQ34" t="n">
        <v>3888.097</v>
      </c>
      <c r="AR34" t="n">
        <v>3103.405</v>
      </c>
      <c r="AS34" t="n">
        <v>3334.319</v>
      </c>
      <c r="AT34" t="n">
        <v>3470.856</v>
      </c>
      <c r="AU34" t="n">
        <v>3886.891</v>
      </c>
      <c r="AV34" t="n">
        <v>3679.179</v>
      </c>
      <c r="AW34" t="n">
        <v>3826.483</v>
      </c>
      <c r="AX34" t="n">
        <v>3777.256</v>
      </c>
      <c r="AY34" t="n">
        <v>3497.114</v>
      </c>
      <c r="AZ34" t="n">
        <v>2920.792</v>
      </c>
      <c r="BA34" t="n">
        <v>3024.202</v>
      </c>
      <c r="BB34" t="n">
        <v>2402.341</v>
      </c>
      <c r="BC34" t="n">
        <v>2422.505</v>
      </c>
      <c r="BD34" t="n">
        <v>2520.22</v>
      </c>
      <c r="BE34" t="n">
        <v>2529.562</v>
      </c>
      <c r="BF34" t="n">
        <v>2340.709</v>
      </c>
      <c r="BG34" t="n">
        <v>2115.439</v>
      </c>
      <c r="BH34" t="n">
        <v>1573.049</v>
      </c>
      <c r="BI34" t="n">
        <v>1640.679</v>
      </c>
      <c r="BJ34" t="n">
        <v>1686.042</v>
      </c>
      <c r="BK34" t="n">
        <v>895.453</v>
      </c>
      <c r="BL34" t="n">
        <v>593.395</v>
      </c>
      <c r="BM34" t="n">
        <v>581.379</v>
      </c>
      <c r="BN34" t="n">
        <v>372.293</v>
      </c>
      <c r="BO34" t="n">
        <v>320.504</v>
      </c>
      <c r="BP34" t="n">
        <v>373.566</v>
      </c>
      <c r="BQ34" t="n">
        <v>304.604</v>
      </c>
      <c r="BR34" t="n">
        <v>456.717</v>
      </c>
      <c r="BS34" t="n">
        <v>465.29</v>
      </c>
      <c r="BT34" t="n">
        <v>313.245</v>
      </c>
      <c r="BU34" t="n">
        <v>512.812</v>
      </c>
      <c r="BV34" t="n">
        <v>396.144</v>
      </c>
    </row>
    <row r="35">
      <c r="A35" t="inlineStr">
        <is>
          <t>Brosme brosme</t>
        </is>
      </c>
      <c r="B35" t="inlineStr">
        <is>
          <t>Tusk</t>
        </is>
      </c>
      <c r="C35" t="inlineStr">
        <is>
          <t>Large demersals (&gt;=90 cm)</t>
        </is>
      </c>
      <c r="D35" t="inlineStr">
        <is>
          <t>Cod-likes</t>
        </is>
      </c>
      <c r="E35" t="n">
        <v>1369.006</v>
      </c>
      <c r="F35" t="n">
        <v>1848.656</v>
      </c>
      <c r="G35" t="n">
        <v>1787.269</v>
      </c>
      <c r="H35" t="n">
        <v>1711.099</v>
      </c>
      <c r="I35" t="n">
        <v>2116.655</v>
      </c>
      <c r="J35" t="n">
        <v>1793.723</v>
      </c>
      <c r="K35" t="n">
        <v>1838.475</v>
      </c>
      <c r="L35" t="n">
        <v>3172.903</v>
      </c>
      <c r="M35" t="n">
        <v>4076.378</v>
      </c>
      <c r="N35" t="n">
        <v>2777.969</v>
      </c>
      <c r="O35" t="n">
        <v>3331.256</v>
      </c>
      <c r="P35" t="n">
        <v>1310.095</v>
      </c>
      <c r="Q35" t="n">
        <v>1921.11</v>
      </c>
      <c r="R35" t="n">
        <v>2222.84</v>
      </c>
      <c r="S35" t="n">
        <v>3114.533</v>
      </c>
      <c r="T35" t="n">
        <v>3373.21</v>
      </c>
      <c r="U35" t="n">
        <v>2460.531</v>
      </c>
      <c r="V35" t="n">
        <v>2152.076</v>
      </c>
      <c r="W35" t="n">
        <v>2279.997</v>
      </c>
      <c r="X35" t="n">
        <v>3699.516</v>
      </c>
      <c r="Y35" t="n">
        <v>2234.713</v>
      </c>
      <c r="Z35" t="n">
        <v>2241.931</v>
      </c>
      <c r="AA35" t="n">
        <v>3038.235</v>
      </c>
      <c r="AB35" t="n">
        <v>4159.043</v>
      </c>
      <c r="AC35" t="n">
        <v>4316.921</v>
      </c>
      <c r="AD35" t="n">
        <v>3251.628</v>
      </c>
      <c r="AE35" t="n">
        <v>3918.186</v>
      </c>
      <c r="AF35" t="n">
        <v>4117</v>
      </c>
      <c r="AG35" t="n">
        <v>4189.46</v>
      </c>
      <c r="AH35" t="n">
        <v>5681.571</v>
      </c>
      <c r="AI35" t="n">
        <v>7147.738</v>
      </c>
      <c r="AJ35" t="n">
        <v>5205.949</v>
      </c>
      <c r="AK35" t="n">
        <v>7000.991</v>
      </c>
      <c r="AL35" t="n">
        <v>6047.65</v>
      </c>
      <c r="AM35" t="n">
        <v>6995.654</v>
      </c>
      <c r="AN35" t="n">
        <v>9286.995999999999</v>
      </c>
      <c r="AO35" t="n">
        <v>7045.465</v>
      </c>
      <c r="AP35" t="n">
        <v>6347.241</v>
      </c>
      <c r="AQ35" t="n">
        <v>5336.218</v>
      </c>
      <c r="AR35" t="n">
        <v>7430.407</v>
      </c>
      <c r="AS35" t="n">
        <v>5229.858</v>
      </c>
      <c r="AT35" t="n">
        <v>5326.01</v>
      </c>
      <c r="AU35" t="n">
        <v>5835.036</v>
      </c>
      <c r="AV35" t="n">
        <v>5919.257</v>
      </c>
      <c r="AW35" t="n">
        <v>4100.407</v>
      </c>
      <c r="AX35" t="n">
        <v>4102.01</v>
      </c>
      <c r="AY35" t="n">
        <v>4130.322</v>
      </c>
      <c r="AZ35" t="n">
        <v>2923.751</v>
      </c>
      <c r="BA35" t="n">
        <v>4091.716</v>
      </c>
      <c r="BB35" t="n">
        <v>3280.268</v>
      </c>
      <c r="BC35" t="n">
        <v>4142.778</v>
      </c>
      <c r="BD35" t="n">
        <v>3949.421</v>
      </c>
      <c r="BE35" t="n">
        <v>3644.101</v>
      </c>
      <c r="BF35" t="n">
        <v>2655.574</v>
      </c>
      <c r="BG35" t="n">
        <v>2238.569</v>
      </c>
      <c r="BH35" t="n">
        <v>2456.614</v>
      </c>
      <c r="BI35" t="n">
        <v>2518.242</v>
      </c>
      <c r="BJ35" t="n">
        <v>2614.125</v>
      </c>
      <c r="BK35" t="n">
        <v>2838.509</v>
      </c>
      <c r="BL35" t="n">
        <v>2930.938</v>
      </c>
      <c r="BM35" t="n">
        <v>2605.11</v>
      </c>
      <c r="BN35" t="n">
        <v>3963.757</v>
      </c>
      <c r="BO35" t="n">
        <v>4205.774</v>
      </c>
      <c r="BP35" t="n">
        <v>4067.804</v>
      </c>
      <c r="BQ35" t="n">
        <v>4166.579</v>
      </c>
      <c r="BR35" t="n">
        <v>5063.369</v>
      </c>
      <c r="BS35" t="n">
        <v>5835.865</v>
      </c>
      <c r="BT35" t="n">
        <v>4314.326</v>
      </c>
      <c r="BU35" t="n">
        <v>4576.639</v>
      </c>
      <c r="BV35" t="n">
        <v>3001.969</v>
      </c>
    </row>
    <row r="36">
      <c r="A36" t="inlineStr">
        <is>
          <t>Glyptocephalus cynoglossus</t>
        </is>
      </c>
      <c r="B36" t="inlineStr">
        <is>
          <t>Witch flounder</t>
        </is>
      </c>
      <c r="C36" t="inlineStr">
        <is>
          <t>Small to medium flatfishes (&lt;90 cm)</t>
        </is>
      </c>
      <c r="D36" t="inlineStr">
        <is>
          <t>Flatfishes</t>
        </is>
      </c>
      <c r="E36" t="n">
        <v>2550.801</v>
      </c>
      <c r="F36" t="n">
        <v>2715.282</v>
      </c>
      <c r="G36" t="n">
        <v>2631.843</v>
      </c>
      <c r="H36" t="n">
        <v>2379.328</v>
      </c>
      <c r="I36" t="n">
        <v>1668.974</v>
      </c>
      <c r="J36" t="n">
        <v>2149.103</v>
      </c>
      <c r="K36" t="n">
        <v>2060.461</v>
      </c>
      <c r="L36" t="n">
        <v>2275.717</v>
      </c>
      <c r="M36" t="n">
        <v>2872.103</v>
      </c>
      <c r="N36" t="n">
        <v>2702.089</v>
      </c>
      <c r="O36" t="n">
        <v>2880.232</v>
      </c>
      <c r="P36" t="n">
        <v>2365.927</v>
      </c>
      <c r="Q36" t="n">
        <v>2092.916</v>
      </c>
      <c r="R36" t="n">
        <v>2168.528</v>
      </c>
      <c r="S36" t="n">
        <v>2533.598</v>
      </c>
      <c r="T36" t="n">
        <v>2028.129</v>
      </c>
      <c r="U36" t="n">
        <v>1692.926</v>
      </c>
      <c r="V36" t="n">
        <v>1394.917</v>
      </c>
      <c r="W36" t="n">
        <v>1503.818</v>
      </c>
      <c r="X36" t="n">
        <v>1191.317</v>
      </c>
      <c r="Y36" t="n">
        <v>817.684</v>
      </c>
      <c r="Z36" t="n">
        <v>1100.245</v>
      </c>
      <c r="AA36" t="n">
        <v>1285.691</v>
      </c>
      <c r="AB36" t="n">
        <v>1631.138</v>
      </c>
      <c r="AC36" t="n">
        <v>1852.911</v>
      </c>
      <c r="AD36" t="n">
        <v>2626.27</v>
      </c>
      <c r="AE36" t="n">
        <v>2251.357</v>
      </c>
      <c r="AF36" t="n">
        <v>2371.245</v>
      </c>
      <c r="AG36" t="n">
        <v>2455.669</v>
      </c>
      <c r="AH36" t="n">
        <v>2321.922</v>
      </c>
      <c r="AI36" t="n">
        <v>2749.728</v>
      </c>
      <c r="AJ36" t="n">
        <v>2869.83</v>
      </c>
      <c r="AK36" t="n">
        <v>4575.095</v>
      </c>
      <c r="AL36" t="n">
        <v>5216.172</v>
      </c>
      <c r="AM36" t="n">
        <v>5505.432</v>
      </c>
      <c r="AN36" t="n">
        <v>6049.724</v>
      </c>
      <c r="AO36" t="n">
        <v>4993.25</v>
      </c>
      <c r="AP36" t="n">
        <v>5222.284</v>
      </c>
      <c r="AQ36" t="n">
        <v>4732.914</v>
      </c>
      <c r="AR36" t="n">
        <v>5298.62</v>
      </c>
      <c r="AS36" t="n">
        <v>5453.534</v>
      </c>
      <c r="AT36" t="n">
        <v>4855.731</v>
      </c>
      <c r="AU36" t="n">
        <v>4249.864</v>
      </c>
      <c r="AV36" t="n">
        <v>3439.586</v>
      </c>
      <c r="AW36" t="n">
        <v>3522.017</v>
      </c>
      <c r="AX36" t="n">
        <v>3764.667</v>
      </c>
      <c r="AY36" t="n">
        <v>3808.834</v>
      </c>
      <c r="AZ36" t="n">
        <v>5217.152</v>
      </c>
      <c r="BA36" t="n">
        <v>5912.142</v>
      </c>
      <c r="BB36" t="n">
        <v>6478.389</v>
      </c>
      <c r="BC36" t="n">
        <v>7155.736</v>
      </c>
      <c r="BD36" t="n">
        <v>6247.015</v>
      </c>
      <c r="BE36" t="n">
        <v>5776.862</v>
      </c>
      <c r="BF36" t="n">
        <v>4972.461</v>
      </c>
      <c r="BG36" t="n">
        <v>4954.9</v>
      </c>
      <c r="BH36" t="n">
        <v>4451.077</v>
      </c>
      <c r="BI36" t="n">
        <v>3527.99</v>
      </c>
      <c r="BJ36" t="n">
        <v>3419.006</v>
      </c>
      <c r="BK36" t="n">
        <v>2871.19</v>
      </c>
      <c r="BL36" t="n">
        <v>2923.996</v>
      </c>
      <c r="BM36" t="n">
        <v>2489.884</v>
      </c>
      <c r="BN36" t="n">
        <v>2513.477</v>
      </c>
      <c r="BO36" t="n">
        <v>3337.219</v>
      </c>
      <c r="BP36" t="n">
        <v>3158.226</v>
      </c>
      <c r="BQ36" t="n">
        <v>4467.02</v>
      </c>
      <c r="BR36" t="n">
        <v>2255.845</v>
      </c>
      <c r="BS36" t="n">
        <v>2302.319</v>
      </c>
      <c r="BT36" t="n">
        <v>2958.972</v>
      </c>
      <c r="BU36" t="n">
        <v>2669.708</v>
      </c>
      <c r="BV36" t="n">
        <v>2499.703</v>
      </c>
    </row>
    <row r="37">
      <c r="A37" t="inlineStr">
        <is>
          <t>Asterias rubens</t>
        </is>
      </c>
      <c r="B37" t="inlineStr">
        <is>
          <t>Red starfish</t>
        </is>
      </c>
      <c r="C37" t="inlineStr">
        <is>
          <t>Other demersal invertebrates</t>
        </is>
      </c>
      <c r="D37" t="inlineStr">
        <is>
          <t>Other fishes &amp; inverts</t>
        </is>
      </c>
      <c r="E37" t="n">
        <v>1831.64</v>
      </c>
      <c r="F37" t="n">
        <v>1641.715</v>
      </c>
      <c r="G37" t="n">
        <v>1648.357</v>
      </c>
      <c r="H37" t="n">
        <v>2148.696</v>
      </c>
      <c r="I37" t="n">
        <v>1835.836</v>
      </c>
      <c r="J37" t="n">
        <v>1895.36</v>
      </c>
      <c r="K37" t="n">
        <v>1792.859</v>
      </c>
      <c r="L37" t="n">
        <v>1994.087</v>
      </c>
      <c r="M37" t="n">
        <v>1960.736</v>
      </c>
      <c r="N37" t="n">
        <v>1933.357</v>
      </c>
      <c r="O37" t="n">
        <v>2108.653</v>
      </c>
      <c r="P37" t="n">
        <v>2465.832</v>
      </c>
      <c r="Q37" t="n">
        <v>2735.91</v>
      </c>
      <c r="R37" t="n">
        <v>3136.557</v>
      </c>
      <c r="S37" t="n">
        <v>2621.758</v>
      </c>
      <c r="T37" t="n">
        <v>2793.29</v>
      </c>
      <c r="U37" t="n">
        <v>3841.505</v>
      </c>
      <c r="V37" t="n">
        <v>2657.994</v>
      </c>
      <c r="W37" t="n">
        <v>3821.978</v>
      </c>
      <c r="X37" t="n">
        <v>4259.365</v>
      </c>
      <c r="Y37" t="n">
        <v>4534.4</v>
      </c>
      <c r="Z37" t="n">
        <v>4255.252</v>
      </c>
      <c r="AA37" t="n">
        <v>4675.95</v>
      </c>
      <c r="AB37" t="n">
        <v>5055.649</v>
      </c>
      <c r="AC37" t="n">
        <v>4735.915</v>
      </c>
      <c r="AD37" t="n">
        <v>4375.403</v>
      </c>
      <c r="AE37" t="n">
        <v>3977.638</v>
      </c>
      <c r="AF37" t="n">
        <v>3608.441</v>
      </c>
      <c r="AG37" t="n">
        <v>2512.472</v>
      </c>
      <c r="AH37" t="n">
        <v>3203.672</v>
      </c>
      <c r="AI37" t="n">
        <v>3472.688</v>
      </c>
      <c r="AJ37" t="n">
        <v>3595.72</v>
      </c>
      <c r="AK37" t="n">
        <v>4709.202</v>
      </c>
      <c r="AL37" t="n">
        <v>4465.541</v>
      </c>
      <c r="AM37" t="n">
        <v>4814.039</v>
      </c>
      <c r="AN37" t="n">
        <v>5393.962</v>
      </c>
      <c r="AO37" t="n">
        <v>5060.8</v>
      </c>
      <c r="AP37" t="n">
        <v>4778.703</v>
      </c>
      <c r="AQ37" t="n">
        <v>4736.474</v>
      </c>
      <c r="AR37" t="n">
        <v>5067.262</v>
      </c>
      <c r="AS37" t="n">
        <v>4913</v>
      </c>
      <c r="AT37" t="n">
        <v>4596.703</v>
      </c>
      <c r="AU37" t="n">
        <v>3638.379</v>
      </c>
      <c r="AV37" t="n">
        <v>3629.266</v>
      </c>
      <c r="AW37" t="n">
        <v>3798.356</v>
      </c>
      <c r="AX37" t="n">
        <v>3366.177</v>
      </c>
      <c r="AY37" t="n">
        <v>2738.775</v>
      </c>
      <c r="AZ37" t="n">
        <v>2506.393</v>
      </c>
      <c r="BA37" t="n">
        <v>2443.686</v>
      </c>
      <c r="BB37" t="n">
        <v>2933.051</v>
      </c>
      <c r="BC37" t="n">
        <v>2723.765</v>
      </c>
      <c r="BD37" t="n">
        <v>2513.24</v>
      </c>
      <c r="BE37" t="n">
        <v>2263.658</v>
      </c>
      <c r="BF37" t="n">
        <v>2210.307</v>
      </c>
      <c r="BG37" t="n">
        <v>2066.627</v>
      </c>
      <c r="BH37" t="n">
        <v>2041.934</v>
      </c>
      <c r="BI37" t="n">
        <v>1876.591</v>
      </c>
      <c r="BJ37" t="n">
        <v>1820.451</v>
      </c>
      <c r="BK37" t="n">
        <v>1793.567</v>
      </c>
      <c r="BL37" t="n">
        <v>1984.407</v>
      </c>
      <c r="BM37" t="n">
        <v>2255.902</v>
      </c>
      <c r="BN37" t="n">
        <v>2111.254</v>
      </c>
      <c r="BO37" t="n">
        <v>2309.22</v>
      </c>
      <c r="BP37" t="n">
        <v>3751.772</v>
      </c>
      <c r="BQ37" t="n">
        <v>2255.046</v>
      </c>
      <c r="BR37" t="n">
        <v>2760.542</v>
      </c>
      <c r="BS37" t="n">
        <v>2475.366</v>
      </c>
      <c r="BT37" t="n">
        <v>2799.781</v>
      </c>
      <c r="BU37" t="n">
        <v>2589.94</v>
      </c>
      <c r="BV37" t="n">
        <v>2149.526</v>
      </c>
    </row>
    <row r="38">
      <c r="A38" t="inlineStr">
        <is>
          <t>Buccinum undatum</t>
        </is>
      </c>
      <c r="B38" t="inlineStr">
        <is>
          <t>Whelk</t>
        </is>
      </c>
      <c r="C38" t="inlineStr">
        <is>
          <t>Other demersal invertebrates</t>
        </is>
      </c>
      <c r="D38" t="inlineStr">
        <is>
          <t>Molluscs</t>
        </is>
      </c>
      <c r="E38" t="n">
        <v>2975.445</v>
      </c>
      <c r="F38" t="n">
        <v>3194.799</v>
      </c>
      <c r="G38" t="n">
        <v>2672.766</v>
      </c>
      <c r="H38" t="n">
        <v>2941.15</v>
      </c>
      <c r="I38" t="n">
        <v>2687.107</v>
      </c>
      <c r="J38" t="n">
        <v>2533.76</v>
      </c>
      <c r="K38" t="n">
        <v>1819.654</v>
      </c>
      <c r="L38" t="n">
        <v>2034.194</v>
      </c>
      <c r="M38" t="n">
        <v>1963.743</v>
      </c>
      <c r="N38" t="n">
        <v>1987.281</v>
      </c>
      <c r="O38" t="n">
        <v>1963.778</v>
      </c>
      <c r="P38" t="n">
        <v>1884.458</v>
      </c>
      <c r="Q38" t="n">
        <v>1943.568</v>
      </c>
      <c r="R38" t="n">
        <v>1878.234</v>
      </c>
      <c r="S38" t="n">
        <v>1977.63</v>
      </c>
      <c r="T38" t="n">
        <v>1963.683</v>
      </c>
      <c r="U38" t="n">
        <v>2156.834</v>
      </c>
      <c r="V38" t="n">
        <v>2422.211</v>
      </c>
      <c r="W38" t="n">
        <v>2366.369</v>
      </c>
      <c r="X38" t="n">
        <v>2354.62</v>
      </c>
      <c r="Y38" t="n">
        <v>2506.864</v>
      </c>
      <c r="Z38" t="n">
        <v>2507.799</v>
      </c>
      <c r="AA38" t="n">
        <v>2893.578</v>
      </c>
      <c r="AB38" t="n">
        <v>3327.416</v>
      </c>
      <c r="AC38" t="n">
        <v>3094.994</v>
      </c>
      <c r="AD38" t="n">
        <v>3685.021</v>
      </c>
      <c r="AE38" t="n">
        <v>3640.032</v>
      </c>
      <c r="AF38" t="n">
        <v>3147.026</v>
      </c>
      <c r="AG38" t="n">
        <v>3668.958</v>
      </c>
      <c r="AH38" t="n">
        <v>1981.601</v>
      </c>
      <c r="AI38" t="n">
        <v>1526.599</v>
      </c>
      <c r="AJ38" t="n">
        <v>1519.187</v>
      </c>
      <c r="AK38" t="n">
        <v>1846.16</v>
      </c>
      <c r="AL38" t="n">
        <v>1242.646</v>
      </c>
      <c r="AM38" t="n">
        <v>2120.068</v>
      </c>
      <c r="AN38" t="n">
        <v>1587.071</v>
      </c>
      <c r="AO38" t="n">
        <v>1813.165</v>
      </c>
      <c r="AP38" t="n">
        <v>2426.762</v>
      </c>
      <c r="AQ38" t="n">
        <v>1927.319</v>
      </c>
      <c r="AR38" t="n">
        <v>1023.21</v>
      </c>
      <c r="AS38" t="n">
        <v>598.9880000000001</v>
      </c>
      <c r="AT38" t="n">
        <v>948.513</v>
      </c>
      <c r="AU38" t="n">
        <v>1908.144</v>
      </c>
      <c r="AV38" t="n">
        <v>2704.964</v>
      </c>
      <c r="AW38" t="n">
        <v>2320.06</v>
      </c>
      <c r="AX38" t="n">
        <v>2844.864</v>
      </c>
      <c r="AY38" t="n">
        <v>5669.243</v>
      </c>
      <c r="AZ38" t="n">
        <v>5379.641</v>
      </c>
      <c r="BA38" t="n">
        <v>2654.024</v>
      </c>
      <c r="BB38" t="n">
        <v>3537.177</v>
      </c>
      <c r="BC38" t="n">
        <v>6496.926</v>
      </c>
      <c r="BD38" t="n">
        <v>6775.781</v>
      </c>
      <c r="BE38" t="n">
        <v>3904.73</v>
      </c>
      <c r="BF38" t="n">
        <v>3968.241</v>
      </c>
      <c r="BG38" t="n">
        <v>3712.448</v>
      </c>
      <c r="BH38" t="n">
        <v>2556.507</v>
      </c>
      <c r="BI38" t="n">
        <v>1584.967</v>
      </c>
      <c r="BJ38" t="n">
        <v>936.1369999999999</v>
      </c>
      <c r="BK38" t="n">
        <v>711.0069999999999</v>
      </c>
      <c r="BL38" t="n">
        <v>930.4160000000001</v>
      </c>
      <c r="BM38" t="n">
        <v>1380.723</v>
      </c>
      <c r="BN38" t="n">
        <v>1830.608</v>
      </c>
      <c r="BO38" t="n">
        <v>2655.489</v>
      </c>
      <c r="BP38" t="n">
        <v>4141.912</v>
      </c>
      <c r="BQ38" t="n">
        <v>4917.313</v>
      </c>
      <c r="BR38" t="n">
        <v>4828.071</v>
      </c>
      <c r="BS38" t="n">
        <v>6232.721</v>
      </c>
      <c r="BT38" t="n">
        <v>5925.981</v>
      </c>
      <c r="BU38" t="n">
        <v>6011.19</v>
      </c>
      <c r="BV38" t="n">
        <v>7290.316</v>
      </c>
    </row>
    <row r="39">
      <c r="A39" t="inlineStr">
        <is>
          <t>Triglidae</t>
        </is>
      </c>
      <c r="B39" t="inlineStr">
        <is>
          <t>Searobins, gurnards</t>
        </is>
      </c>
      <c r="C39" t="inlineStr">
        <is>
          <t>Medium demersals (30 - 89 cm)</t>
        </is>
      </c>
      <c r="D39" t="inlineStr">
        <is>
          <t>Scorpionfishes</t>
        </is>
      </c>
      <c r="E39" t="n">
        <v>2950.71</v>
      </c>
      <c r="F39" t="n">
        <v>3106.089</v>
      </c>
      <c r="G39" t="n">
        <v>2284.995</v>
      </c>
      <c r="H39" t="n">
        <v>1845.337</v>
      </c>
      <c r="I39" t="n">
        <v>1737.393</v>
      </c>
      <c r="J39" t="n">
        <v>1798.684</v>
      </c>
      <c r="K39" t="n">
        <v>1622.489</v>
      </c>
      <c r="L39" t="n">
        <v>1720.292</v>
      </c>
      <c r="M39" t="n">
        <v>1854.831</v>
      </c>
      <c r="N39" t="n">
        <v>2086.871</v>
      </c>
      <c r="O39" t="n">
        <v>1878.144</v>
      </c>
      <c r="P39" t="n">
        <v>1972.693</v>
      </c>
      <c r="Q39" t="n">
        <v>1384.53</v>
      </c>
      <c r="R39" t="n">
        <v>816.881</v>
      </c>
      <c r="S39" t="n">
        <v>1322.248</v>
      </c>
      <c r="T39" t="n">
        <v>1578.588</v>
      </c>
      <c r="U39" t="n">
        <v>1526.532</v>
      </c>
      <c r="V39" t="n">
        <v>1301.973</v>
      </c>
      <c r="W39" t="n">
        <v>2689.669</v>
      </c>
      <c r="X39" t="n">
        <v>1694.579</v>
      </c>
      <c r="Y39" t="n">
        <v>1778.592</v>
      </c>
      <c r="Z39" t="n">
        <v>1964.252</v>
      </c>
      <c r="AA39" t="n">
        <v>44002.281</v>
      </c>
      <c r="AB39" t="n">
        <v>2553.241</v>
      </c>
      <c r="AC39" t="n">
        <v>35981.667</v>
      </c>
      <c r="AD39" t="n">
        <v>32166.543</v>
      </c>
      <c r="AE39" t="n">
        <v>1826.552</v>
      </c>
      <c r="AF39" t="n">
        <v>1881.423</v>
      </c>
      <c r="AG39" t="n">
        <v>1853.353</v>
      </c>
      <c r="AH39" t="n">
        <v>1418.07</v>
      </c>
      <c r="AI39" t="n">
        <v>1425.575</v>
      </c>
      <c r="AJ39" t="n">
        <v>2245.035</v>
      </c>
      <c r="AK39" t="n">
        <v>2135.311</v>
      </c>
      <c r="AL39" t="n">
        <v>2193.583</v>
      </c>
      <c r="AM39" t="n">
        <v>615.336</v>
      </c>
      <c r="AN39" t="n">
        <v>634.779</v>
      </c>
      <c r="AO39" t="n">
        <v>474.636</v>
      </c>
      <c r="AP39" t="n">
        <v>683.186</v>
      </c>
      <c r="AQ39" t="n">
        <v>662.02</v>
      </c>
      <c r="AR39" t="n">
        <v>549.842</v>
      </c>
      <c r="AS39" t="n">
        <v>671.67</v>
      </c>
      <c r="AT39" t="n">
        <v>594.684</v>
      </c>
      <c r="AU39" t="n">
        <v>547.765</v>
      </c>
      <c r="AV39" t="n">
        <v>539.347</v>
      </c>
      <c r="AW39" t="n">
        <v>649.147</v>
      </c>
      <c r="AX39" t="n">
        <v>716.276</v>
      </c>
      <c r="AY39" t="n">
        <v>563.369</v>
      </c>
      <c r="AZ39" t="n">
        <v>589.276</v>
      </c>
      <c r="BA39" t="n">
        <v>751.162</v>
      </c>
      <c r="BB39" t="n">
        <v>643.734</v>
      </c>
      <c r="BC39" t="n">
        <v>638.371</v>
      </c>
      <c r="BD39" t="n">
        <v>607.691</v>
      </c>
      <c r="BE39" t="n">
        <v>722.052</v>
      </c>
      <c r="BF39" t="n">
        <v>796.277</v>
      </c>
      <c r="BG39" t="n">
        <v>763.053</v>
      </c>
      <c r="BH39" t="n">
        <v>827.899</v>
      </c>
      <c r="BI39" t="n">
        <v>907.51</v>
      </c>
      <c r="BJ39" t="n">
        <v>848.6079999999999</v>
      </c>
      <c r="BK39" t="n">
        <v>794.578</v>
      </c>
      <c r="BL39" t="n">
        <v>862.851</v>
      </c>
      <c r="BM39" t="n">
        <v>781.167</v>
      </c>
      <c r="BN39" t="n">
        <v>933.532</v>
      </c>
      <c r="BO39" t="n">
        <v>1052.008</v>
      </c>
      <c r="BP39" t="n">
        <v>924.741</v>
      </c>
      <c r="BQ39" t="n">
        <v>951.543</v>
      </c>
      <c r="BR39" t="n">
        <v>985.8099999999999</v>
      </c>
      <c r="BS39" t="n">
        <v>1093.089</v>
      </c>
      <c r="BT39" t="n">
        <v>870.452</v>
      </c>
      <c r="BU39" t="n">
        <v>1318.782</v>
      </c>
      <c r="BV39" t="n">
        <v>797.835</v>
      </c>
    </row>
    <row r="40">
      <c r="A40" t="inlineStr">
        <is>
          <t>Sardina pilchardus</t>
        </is>
      </c>
      <c r="B40" t="inlineStr">
        <is>
          <t>European pilchard</t>
        </is>
      </c>
      <c r="C40" t="inlineStr">
        <is>
          <t>Small pelagics (&lt;30 cm)</t>
        </is>
      </c>
      <c r="D40" t="inlineStr">
        <is>
          <t>Herring-likes</t>
        </is>
      </c>
      <c r="E40" t="n">
        <v>211.977</v>
      </c>
      <c r="F40" t="n">
        <v>2084.237</v>
      </c>
      <c r="G40" t="n">
        <v>154.35</v>
      </c>
      <c r="H40" t="n">
        <v>226.119</v>
      </c>
      <c r="I40" t="n">
        <v>453.698</v>
      </c>
      <c r="J40" t="n">
        <v>219.752</v>
      </c>
      <c r="K40" t="n">
        <v>263.435</v>
      </c>
      <c r="L40" t="n">
        <v>591.554</v>
      </c>
      <c r="M40" t="n">
        <v>1621.093</v>
      </c>
      <c r="N40" t="n">
        <v>3206.114</v>
      </c>
      <c r="O40" t="n">
        <v>1588.122</v>
      </c>
      <c r="P40" t="n">
        <v>322.773</v>
      </c>
      <c r="Q40" t="n">
        <v>611.489</v>
      </c>
      <c r="R40" t="n">
        <v>1043.098</v>
      </c>
      <c r="S40" t="n">
        <v>146.739</v>
      </c>
      <c r="T40" t="n">
        <v>124.706</v>
      </c>
      <c r="U40" t="n">
        <v>44.159</v>
      </c>
      <c r="V40" t="n">
        <v>56.051</v>
      </c>
      <c r="W40" t="n">
        <v>10.252</v>
      </c>
      <c r="X40" t="n">
        <v>6.093</v>
      </c>
      <c r="Y40" t="n">
        <v>50.042</v>
      </c>
      <c r="Z40" t="n">
        <v>168.845</v>
      </c>
      <c r="AA40" t="n">
        <v>157.597</v>
      </c>
      <c r="AB40" t="n">
        <v>140.553</v>
      </c>
      <c r="AC40" t="n">
        <v>3049.554</v>
      </c>
      <c r="AD40" t="n">
        <v>1548.498</v>
      </c>
      <c r="AE40" t="n">
        <v>33.867</v>
      </c>
      <c r="AF40" t="n">
        <v>16.659</v>
      </c>
      <c r="AG40" t="n">
        <v>0.256</v>
      </c>
      <c r="AH40" t="n">
        <v>426.662</v>
      </c>
      <c r="AI40" t="n">
        <v>533.217</v>
      </c>
      <c r="AJ40" t="n">
        <v>554.369</v>
      </c>
      <c r="AK40" t="n">
        <v>114.881</v>
      </c>
      <c r="AL40" t="n">
        <v>26.982</v>
      </c>
      <c r="AM40" t="n">
        <v>56.745</v>
      </c>
      <c r="AN40" t="n">
        <v>200.117</v>
      </c>
      <c r="AO40" t="n">
        <v>206.041</v>
      </c>
      <c r="AP40" t="n">
        <v>15.097</v>
      </c>
      <c r="AQ40" t="n">
        <v>0.007</v>
      </c>
      <c r="AR40" t="n">
        <v>1.015</v>
      </c>
      <c r="AS40" t="n">
        <v>1204.73</v>
      </c>
      <c r="AT40" t="n">
        <v>5694.787</v>
      </c>
      <c r="AU40" t="n">
        <v>19398.341</v>
      </c>
      <c r="AV40" t="n">
        <v>39655.498</v>
      </c>
      <c r="AW40" t="n">
        <v>18534.839</v>
      </c>
      <c r="AX40" t="n">
        <v>26596.143</v>
      </c>
      <c r="AY40" t="n">
        <v>12518.452</v>
      </c>
      <c r="AZ40" t="n">
        <v>1107.243</v>
      </c>
      <c r="BA40" t="n">
        <v>4206.701</v>
      </c>
      <c r="BB40" t="n">
        <v>14816.163</v>
      </c>
      <c r="BC40" t="n">
        <v>6471.999</v>
      </c>
      <c r="BD40" t="n">
        <v>2790.759</v>
      </c>
      <c r="BE40" t="n">
        <v>5688.489</v>
      </c>
      <c r="BF40" t="n">
        <v>1748.143</v>
      </c>
      <c r="BG40" t="n">
        <v>349.292</v>
      </c>
      <c r="BH40" t="n">
        <v>175.088</v>
      </c>
      <c r="BI40" t="n">
        <v>466.932</v>
      </c>
      <c r="BJ40" t="n">
        <v>174.822</v>
      </c>
      <c r="BK40" t="n">
        <v>453.637</v>
      </c>
      <c r="BL40" t="n">
        <v>231.456</v>
      </c>
      <c r="BM40" t="n">
        <v>80.661</v>
      </c>
      <c r="BN40" t="n">
        <v>129.452</v>
      </c>
      <c r="BO40" t="n">
        <v>832.063</v>
      </c>
      <c r="BP40" t="n">
        <v>109.23</v>
      </c>
      <c r="BQ40" t="n">
        <v>185.097</v>
      </c>
      <c r="BR40" t="n">
        <v>358.636</v>
      </c>
      <c r="BS40" t="n">
        <v>254.324</v>
      </c>
      <c r="BT40" t="n">
        <v>36.419</v>
      </c>
      <c r="BU40" t="n">
        <v>96.557</v>
      </c>
      <c r="BV40" t="n">
        <v>114.528</v>
      </c>
    </row>
    <row r="41">
      <c r="A41" t="inlineStr">
        <is>
          <t>Pecten maximus</t>
        </is>
      </c>
      <c r="B41" t="inlineStr">
        <is>
          <t>Great Atlantic scallop</t>
        </is>
      </c>
      <c r="C41" t="inlineStr">
        <is>
          <t>Other demersal invertebrates</t>
        </is>
      </c>
      <c r="D41" t="inlineStr">
        <is>
          <t>Molluscs</t>
        </is>
      </c>
      <c r="E41" t="n">
        <v>11.246</v>
      </c>
      <c r="F41" t="n">
        <v>23.051</v>
      </c>
      <c r="G41" t="n">
        <v>19.046</v>
      </c>
      <c r="H41" t="n">
        <v>16.634</v>
      </c>
      <c r="I41" t="n">
        <v>19.541</v>
      </c>
      <c r="J41" t="n">
        <v>13.755</v>
      </c>
      <c r="K41" t="n">
        <v>22.211</v>
      </c>
      <c r="L41" t="n">
        <v>169.602</v>
      </c>
      <c r="M41" t="n">
        <v>15.571</v>
      </c>
      <c r="N41" t="n">
        <v>5.729</v>
      </c>
      <c r="O41" t="n">
        <v>9.823</v>
      </c>
      <c r="P41" t="n">
        <v>19.266</v>
      </c>
      <c r="Q41" t="n">
        <v>33.955</v>
      </c>
      <c r="R41" t="n">
        <v>58.995</v>
      </c>
      <c r="S41" t="n">
        <v>91.57599999999999</v>
      </c>
      <c r="T41" t="n">
        <v>61.438</v>
      </c>
      <c r="U41" t="n">
        <v>64.896</v>
      </c>
      <c r="V41" t="n">
        <v>106.604</v>
      </c>
      <c r="W41" t="n">
        <v>407.883</v>
      </c>
      <c r="X41" t="n">
        <v>1112.492</v>
      </c>
      <c r="Y41" t="n">
        <v>776.856</v>
      </c>
      <c r="Z41" t="n">
        <v>1008.282</v>
      </c>
      <c r="AA41" t="n">
        <v>805.802</v>
      </c>
      <c r="AB41" t="n">
        <v>704.572</v>
      </c>
      <c r="AC41" t="n">
        <v>293.273</v>
      </c>
      <c r="AD41" t="n">
        <v>319.83</v>
      </c>
      <c r="AE41" t="n">
        <v>504.571</v>
      </c>
      <c r="AF41" t="n">
        <v>528.676</v>
      </c>
      <c r="AG41" t="n">
        <v>613.622</v>
      </c>
      <c r="AH41" t="n">
        <v>1746.392</v>
      </c>
      <c r="AI41" t="n">
        <v>2302.725</v>
      </c>
      <c r="AJ41" t="n">
        <v>2164.195</v>
      </c>
      <c r="AK41" t="n">
        <v>1650.174</v>
      </c>
      <c r="AL41" t="n">
        <v>1460.611</v>
      </c>
      <c r="AM41" t="n">
        <v>1413.857</v>
      </c>
      <c r="AN41" t="n">
        <v>1071.486</v>
      </c>
      <c r="AO41" t="n">
        <v>1287.311</v>
      </c>
      <c r="AP41" t="n">
        <v>1489.704</v>
      </c>
      <c r="AQ41" t="n">
        <v>1408.915</v>
      </c>
      <c r="AR41" t="n">
        <v>2067.823</v>
      </c>
      <c r="AS41" t="n">
        <v>1872.529</v>
      </c>
      <c r="AT41" t="n">
        <v>1713.767</v>
      </c>
      <c r="AU41" t="n">
        <v>2919.585</v>
      </c>
      <c r="AV41" t="n">
        <v>3183.817</v>
      </c>
      <c r="AW41" t="n">
        <v>5659.483</v>
      </c>
      <c r="AX41" t="n">
        <v>6371.651</v>
      </c>
      <c r="AY41" t="n">
        <v>5390.457</v>
      </c>
      <c r="AZ41" t="n">
        <v>5284.15</v>
      </c>
      <c r="BA41" t="n">
        <v>4510.935</v>
      </c>
      <c r="BB41" t="n">
        <v>4885.115</v>
      </c>
      <c r="BC41" t="n">
        <v>3241.501</v>
      </c>
      <c r="BD41" t="n">
        <v>3375.491</v>
      </c>
      <c r="BE41" t="n">
        <v>2662.551</v>
      </c>
      <c r="BF41" t="n">
        <v>4075.979</v>
      </c>
      <c r="BG41" t="n">
        <v>6010.175</v>
      </c>
      <c r="BH41" t="n">
        <v>3621.821</v>
      </c>
      <c r="BI41" t="n">
        <v>5148.039</v>
      </c>
      <c r="BJ41" t="n">
        <v>5725.567</v>
      </c>
      <c r="BK41" t="n">
        <v>5187.559</v>
      </c>
      <c r="BL41" t="n">
        <v>5667.569</v>
      </c>
      <c r="BM41" t="n">
        <v>5154.685</v>
      </c>
      <c r="BN41" t="n">
        <v>4652.615</v>
      </c>
      <c r="BO41" t="n">
        <v>5970.916</v>
      </c>
      <c r="BP41" t="n">
        <v>7981.987</v>
      </c>
      <c r="BQ41" t="n">
        <v>7550.894</v>
      </c>
      <c r="BR41" t="n">
        <v>9368.448</v>
      </c>
      <c r="BS41" t="n">
        <v>8114.877</v>
      </c>
      <c r="BT41" t="n">
        <v>7963.494</v>
      </c>
      <c r="BU41" t="n">
        <v>8366.469999999999</v>
      </c>
      <c r="BV41" t="n">
        <v>6080.21</v>
      </c>
    </row>
    <row r="42">
      <c r="A42" t="inlineStr">
        <is>
          <t>Pollachius pollachius</t>
        </is>
      </c>
      <c r="B42" t="inlineStr">
        <is>
          <t>Pollack</t>
        </is>
      </c>
      <c r="C42" t="inlineStr">
        <is>
          <t>Large benthopelagics (&gt;=90 cm)</t>
        </is>
      </c>
      <c r="D42" t="inlineStr">
        <is>
          <t>Cod-likes</t>
        </is>
      </c>
      <c r="E42" t="n">
        <v>3432.115</v>
      </c>
      <c r="F42" t="n">
        <v>2845.584</v>
      </c>
      <c r="G42" t="n">
        <v>2313.588</v>
      </c>
      <c r="H42" t="n">
        <v>2415.131</v>
      </c>
      <c r="I42" t="n">
        <v>2674.615</v>
      </c>
      <c r="J42" t="n">
        <v>2805.174</v>
      </c>
      <c r="K42" t="n">
        <v>3153.12</v>
      </c>
      <c r="L42" t="n">
        <v>2952.586</v>
      </c>
      <c r="M42" t="n">
        <v>3021.375</v>
      </c>
      <c r="N42" t="n">
        <v>2556.088</v>
      </c>
      <c r="O42" t="n">
        <v>2694.196</v>
      </c>
      <c r="P42" t="n">
        <v>2569.284</v>
      </c>
      <c r="Q42" t="n">
        <v>1472.227</v>
      </c>
      <c r="R42" t="n">
        <v>3256.971</v>
      </c>
      <c r="S42" t="n">
        <v>2732.324</v>
      </c>
      <c r="T42" t="n">
        <v>2944.422</v>
      </c>
      <c r="U42" t="n">
        <v>2502.385</v>
      </c>
      <c r="V42" t="n">
        <v>1392.928</v>
      </c>
      <c r="W42" t="n">
        <v>1414.169</v>
      </c>
      <c r="X42" t="n">
        <v>1251.649</v>
      </c>
      <c r="Y42" t="n">
        <v>1301.58</v>
      </c>
      <c r="Z42" t="n">
        <v>1207.206</v>
      </c>
      <c r="AA42" t="n">
        <v>1299.411</v>
      </c>
      <c r="AB42" t="n">
        <v>1861.096</v>
      </c>
      <c r="AC42" t="n">
        <v>2211.093</v>
      </c>
      <c r="AD42" t="n">
        <v>1986.308</v>
      </c>
      <c r="AE42" t="n">
        <v>1795.08</v>
      </c>
      <c r="AF42" t="n">
        <v>4319.647</v>
      </c>
      <c r="AG42" t="n">
        <v>4582.357</v>
      </c>
      <c r="AH42" t="n">
        <v>4717.641</v>
      </c>
      <c r="AI42" t="n">
        <v>5318.953</v>
      </c>
      <c r="AJ42" t="n">
        <v>4613.376</v>
      </c>
      <c r="AK42" t="n">
        <v>3476.643</v>
      </c>
      <c r="AL42" t="n">
        <v>3040.923</v>
      </c>
      <c r="AM42" t="n">
        <v>3199.152</v>
      </c>
      <c r="AN42" t="n">
        <v>3053.536</v>
      </c>
      <c r="AO42" t="n">
        <v>3242.355</v>
      </c>
      <c r="AP42" t="n">
        <v>3536.132</v>
      </c>
      <c r="AQ42" t="n">
        <v>2751.402</v>
      </c>
      <c r="AR42" t="n">
        <v>2402.488</v>
      </c>
      <c r="AS42" t="n">
        <v>4370.673</v>
      </c>
      <c r="AT42" t="n">
        <v>5290.993</v>
      </c>
      <c r="AU42" t="n">
        <v>4639.812</v>
      </c>
      <c r="AV42" t="n">
        <v>5479.323</v>
      </c>
      <c r="AW42" t="n">
        <v>3243.135</v>
      </c>
      <c r="AX42" t="n">
        <v>3744.448</v>
      </c>
      <c r="AY42" t="n">
        <v>2972.936</v>
      </c>
      <c r="AZ42" t="n">
        <v>2708.239</v>
      </c>
      <c r="BA42" t="n">
        <v>2039.344</v>
      </c>
      <c r="BB42" t="n">
        <v>1785.213</v>
      </c>
      <c r="BC42" t="n">
        <v>2035.078</v>
      </c>
      <c r="BD42" t="n">
        <v>1864.616</v>
      </c>
      <c r="BE42" t="n">
        <v>1888.782</v>
      </c>
      <c r="BF42" t="n">
        <v>1771.83</v>
      </c>
      <c r="BG42" t="n">
        <v>1441.725</v>
      </c>
      <c r="BH42" t="n">
        <v>1435.486</v>
      </c>
      <c r="BI42" t="n">
        <v>1321.712</v>
      </c>
      <c r="BJ42" t="n">
        <v>1927.128</v>
      </c>
      <c r="BK42" t="n">
        <v>1905.856</v>
      </c>
      <c r="BL42" t="n">
        <v>1365.866</v>
      </c>
      <c r="BM42" t="n">
        <v>1444.581</v>
      </c>
      <c r="BN42" t="n">
        <v>945.835</v>
      </c>
      <c r="BO42" t="n">
        <v>971.394</v>
      </c>
      <c r="BP42" t="n">
        <v>951.306</v>
      </c>
      <c r="BQ42" t="n">
        <v>973.375</v>
      </c>
      <c r="BR42" t="n">
        <v>1624.117</v>
      </c>
      <c r="BS42" t="n">
        <v>1112.149</v>
      </c>
      <c r="BT42" t="n">
        <v>1512.74</v>
      </c>
      <c r="BU42" t="n">
        <v>1426.282</v>
      </c>
      <c r="BV42" t="n">
        <v>1394.279</v>
      </c>
    </row>
    <row r="43">
      <c r="A43" t="inlineStr">
        <is>
          <t>Asterozoa</t>
        </is>
      </c>
      <c r="B43" t="inlineStr">
        <is>
          <t>Starfishes and brittlestars</t>
        </is>
      </c>
      <c r="C43" t="inlineStr">
        <is>
          <t>Other demersal invertebrates</t>
        </is>
      </c>
      <c r="D43" t="inlineStr">
        <is>
          <t>Other fishes &amp; inverts</t>
        </is>
      </c>
      <c r="E43" t="n">
        <v>2576.323</v>
      </c>
      <c r="F43" t="n">
        <v>2096.673</v>
      </c>
      <c r="G43" t="n">
        <v>1910.949</v>
      </c>
      <c r="H43" t="n">
        <v>3121.136</v>
      </c>
      <c r="I43" t="n">
        <v>2569.764</v>
      </c>
      <c r="J43" t="n">
        <v>3351.953</v>
      </c>
      <c r="K43" t="n">
        <v>2611.17</v>
      </c>
      <c r="L43" t="n">
        <v>2714.096</v>
      </c>
      <c r="M43" t="n">
        <v>2213.837</v>
      </c>
      <c r="N43" t="n">
        <v>2005.877</v>
      </c>
      <c r="O43" t="n">
        <v>1875.385</v>
      </c>
      <c r="P43" t="n">
        <v>4261.853</v>
      </c>
      <c r="Q43" t="n">
        <v>4252.329</v>
      </c>
      <c r="R43" t="n">
        <v>5075.959</v>
      </c>
      <c r="S43" t="n">
        <v>5684.745</v>
      </c>
      <c r="T43" t="n">
        <v>4148.351</v>
      </c>
      <c r="U43" t="n">
        <v>3633.141</v>
      </c>
      <c r="V43" t="n">
        <v>3266.994</v>
      </c>
      <c r="W43" t="n">
        <v>4156.42</v>
      </c>
      <c r="X43" t="n">
        <v>2662.656</v>
      </c>
      <c r="Y43" t="n">
        <v>4719.047</v>
      </c>
      <c r="Z43" t="n">
        <v>5054.303</v>
      </c>
      <c r="AA43" t="n">
        <v>2365.342</v>
      </c>
      <c r="AB43" t="n">
        <v>5875.776</v>
      </c>
      <c r="AC43" t="n">
        <v>5130.641</v>
      </c>
      <c r="AD43" t="n">
        <v>2428.634</v>
      </c>
      <c r="AE43" t="n">
        <v>4855.384</v>
      </c>
      <c r="AF43" t="n">
        <v>3255.101</v>
      </c>
      <c r="AG43" t="n">
        <v>4870.667</v>
      </c>
      <c r="AH43" t="n">
        <v>3228.084</v>
      </c>
      <c r="AI43" t="n">
        <v>1506.326</v>
      </c>
      <c r="AJ43" t="n">
        <v>1286.721</v>
      </c>
      <c r="AK43" t="n">
        <v>1548.881</v>
      </c>
      <c r="AL43" t="n">
        <v>1141.127</v>
      </c>
      <c r="AM43" t="n">
        <v>1015.185</v>
      </c>
      <c r="AN43" t="n">
        <v>1349.512</v>
      </c>
      <c r="AO43" t="n">
        <v>1260.409</v>
      </c>
      <c r="AP43" t="n">
        <v>1244.946</v>
      </c>
      <c r="AQ43" t="n">
        <v>1092.042</v>
      </c>
      <c r="AR43" t="n">
        <v>1033.395</v>
      </c>
      <c r="AS43" t="n">
        <v>564.841</v>
      </c>
      <c r="AT43" t="n">
        <v>1081.499</v>
      </c>
      <c r="AU43" t="n">
        <v>905.87</v>
      </c>
      <c r="AV43" t="n">
        <v>1052.683</v>
      </c>
      <c r="AW43" t="n">
        <v>1309.529</v>
      </c>
      <c r="AX43" t="n">
        <v>872.915</v>
      </c>
      <c r="AY43" t="n">
        <v>1249.007</v>
      </c>
      <c r="AZ43" t="n">
        <v>1553.254</v>
      </c>
      <c r="BA43" t="n">
        <v>1156.858</v>
      </c>
      <c r="BB43" t="n">
        <v>1340.375</v>
      </c>
      <c r="BC43" t="n">
        <v>1359.914</v>
      </c>
      <c r="BD43" t="n">
        <v>981.073</v>
      </c>
      <c r="BE43" t="n">
        <v>1246.508</v>
      </c>
      <c r="BF43" t="n">
        <v>1270.264</v>
      </c>
      <c r="BG43" t="n">
        <v>1500.948</v>
      </c>
      <c r="BH43" t="n">
        <v>1764.884</v>
      </c>
      <c r="BI43" t="n">
        <v>1466.588</v>
      </c>
      <c r="BJ43" t="n">
        <v>1237.684</v>
      </c>
      <c r="BK43" t="n">
        <v>1391.447</v>
      </c>
      <c r="BL43" t="n">
        <v>1343.733</v>
      </c>
      <c r="BM43" t="n">
        <v>1427.76</v>
      </c>
      <c r="BN43" t="n">
        <v>1328.583</v>
      </c>
      <c r="BO43" t="n">
        <v>1266.266</v>
      </c>
      <c r="BP43" t="n">
        <v>1245.415</v>
      </c>
      <c r="BQ43" t="n">
        <v>1230.968</v>
      </c>
      <c r="BR43" t="n">
        <v>682.003</v>
      </c>
      <c r="BS43" t="n">
        <v>419.522</v>
      </c>
      <c r="BT43" t="n">
        <v>446.558</v>
      </c>
      <c r="BU43" t="n">
        <v>529.477</v>
      </c>
      <c r="BV43" t="n">
        <v>394.703</v>
      </c>
    </row>
    <row r="44">
      <c r="A44" t="inlineStr">
        <is>
          <t>Elasmobranchii</t>
        </is>
      </c>
      <c r="B44" t="inlineStr">
        <is>
          <t>Sharks, rays, skates</t>
        </is>
      </c>
      <c r="C44" t="inlineStr">
        <is>
          <t>Large sharks (&gt;=90 cm)</t>
        </is>
      </c>
      <c r="D44" t="inlineStr">
        <is>
          <t>Sharks &amp; rays</t>
        </is>
      </c>
      <c r="E44" t="n">
        <v>3228.932</v>
      </c>
      <c r="F44" t="n">
        <v>4856.061</v>
      </c>
      <c r="G44" t="n">
        <v>3070.804</v>
      </c>
      <c r="H44" t="n">
        <v>3530.447</v>
      </c>
      <c r="I44" t="n">
        <v>3610.306</v>
      </c>
      <c r="J44" t="n">
        <v>3197.2</v>
      </c>
      <c r="K44" t="n">
        <v>2773.53</v>
      </c>
      <c r="L44" t="n">
        <v>2439.153</v>
      </c>
      <c r="M44" t="n">
        <v>2744.071</v>
      </c>
      <c r="N44" t="n">
        <v>2630.045</v>
      </c>
      <c r="O44" t="n">
        <v>2129.659</v>
      </c>
      <c r="P44" t="n">
        <v>2993.285</v>
      </c>
      <c r="Q44" t="n">
        <v>2496.18</v>
      </c>
      <c r="R44" t="n">
        <v>3949.975</v>
      </c>
      <c r="S44" t="n">
        <v>2368.264</v>
      </c>
      <c r="T44" t="n">
        <v>2416.341</v>
      </c>
      <c r="U44" t="n">
        <v>3166.856</v>
      </c>
      <c r="V44" t="n">
        <v>3263.863</v>
      </c>
      <c r="W44" t="n">
        <v>3629.524</v>
      </c>
      <c r="X44" t="n">
        <v>2525.908</v>
      </c>
      <c r="Y44" t="n">
        <v>2373.65</v>
      </c>
      <c r="Z44" t="n">
        <v>2555.083</v>
      </c>
      <c r="AA44" t="n">
        <v>2591.911</v>
      </c>
      <c r="AB44" t="n">
        <v>2575.837</v>
      </c>
      <c r="AC44" t="n">
        <v>2147.688</v>
      </c>
      <c r="AD44" t="n">
        <v>2112.018</v>
      </c>
      <c r="AE44" t="n">
        <v>2057.715</v>
      </c>
      <c r="AF44" t="n">
        <v>2399.833</v>
      </c>
      <c r="AG44" t="n">
        <v>2527.311</v>
      </c>
      <c r="AH44" t="n">
        <v>2780.582</v>
      </c>
      <c r="AI44" t="n">
        <v>2298.57</v>
      </c>
      <c r="AJ44" t="n">
        <v>2413.586</v>
      </c>
      <c r="AK44" t="n">
        <v>2732.568</v>
      </c>
      <c r="AL44" t="n">
        <v>2808.476</v>
      </c>
      <c r="AM44" t="n">
        <v>2962.749</v>
      </c>
      <c r="AN44" t="n">
        <v>2788.706</v>
      </c>
      <c r="AO44" t="n">
        <v>2091.588</v>
      </c>
      <c r="AP44" t="n">
        <v>2201.254</v>
      </c>
      <c r="AQ44" t="n">
        <v>2306.909</v>
      </c>
      <c r="AR44" t="n">
        <v>2210.393</v>
      </c>
      <c r="AS44" t="n">
        <v>2734.103</v>
      </c>
      <c r="AT44" t="n">
        <v>2729.045</v>
      </c>
      <c r="AU44" t="n">
        <v>1964.344</v>
      </c>
      <c r="AV44" t="n">
        <v>2165.987</v>
      </c>
      <c r="AW44" t="n">
        <v>1771.19</v>
      </c>
      <c r="AX44" t="n">
        <v>1910.206</v>
      </c>
      <c r="AY44" t="n">
        <v>1514.013</v>
      </c>
      <c r="AZ44" t="n">
        <v>1192.086</v>
      </c>
      <c r="BA44" t="n">
        <v>1424.624</v>
      </c>
      <c r="BB44" t="n">
        <v>1534.595</v>
      </c>
      <c r="BC44" t="n">
        <v>1686.262</v>
      </c>
      <c r="BD44" t="n">
        <v>1621.753</v>
      </c>
      <c r="BE44" t="n">
        <v>1382.624</v>
      </c>
      <c r="BF44" t="n">
        <v>1321.012</v>
      </c>
      <c r="BG44" t="n">
        <v>1235.07</v>
      </c>
      <c r="BH44" t="n">
        <v>1166.233</v>
      </c>
      <c r="BI44" t="n">
        <v>1101.999</v>
      </c>
      <c r="BJ44" t="n">
        <v>945.944</v>
      </c>
      <c r="BK44" t="n">
        <v>1080.24</v>
      </c>
      <c r="BL44" t="n">
        <v>677.0309999999999</v>
      </c>
      <c r="BM44" t="n">
        <v>548.513</v>
      </c>
      <c r="BN44" t="n">
        <v>816.984</v>
      </c>
      <c r="BO44" t="n">
        <v>965.859</v>
      </c>
      <c r="BP44" t="n">
        <v>1037.881</v>
      </c>
      <c r="BQ44" t="n">
        <v>1201.318</v>
      </c>
      <c r="BR44" t="n">
        <v>1052.387</v>
      </c>
      <c r="BS44" t="n">
        <v>1089.129</v>
      </c>
      <c r="BT44" t="n">
        <v>887.901</v>
      </c>
      <c r="BU44" t="n">
        <v>1616.306</v>
      </c>
      <c r="BV44" t="n">
        <v>1255.313</v>
      </c>
    </row>
    <row r="45">
      <c r="A45" t="inlineStr">
        <is>
          <t>Miscellaneous aquatic invertebrates</t>
        </is>
      </c>
      <c r="B45" t="inlineStr">
        <is>
          <t>Aquatic invertebrates</t>
        </is>
      </c>
      <c r="C45" t="inlineStr">
        <is>
          <t>Other demersal invertebrates</t>
        </is>
      </c>
      <c r="D45" t="inlineStr">
        <is>
          <t>Other fishes &amp; inverts</t>
        </is>
      </c>
      <c r="E45" t="n">
        <v>1050.317</v>
      </c>
      <c r="F45" t="n">
        <v>6708.113</v>
      </c>
      <c r="G45" t="n">
        <v>7400.23</v>
      </c>
      <c r="H45" t="n">
        <v>19129.624</v>
      </c>
      <c r="I45" t="n">
        <v>8783.200000000001</v>
      </c>
      <c r="J45" t="n">
        <v>8867.025</v>
      </c>
      <c r="K45" t="n">
        <v>12347.207</v>
      </c>
      <c r="L45" t="n">
        <v>9389.123</v>
      </c>
      <c r="M45" t="n">
        <v>6817.321</v>
      </c>
      <c r="N45" t="n">
        <v>4916.118</v>
      </c>
      <c r="O45" t="n">
        <v>3950.38</v>
      </c>
      <c r="P45" t="n">
        <v>699.803</v>
      </c>
      <c r="Q45" t="n">
        <v>712.799</v>
      </c>
      <c r="R45" t="n">
        <v>850.034</v>
      </c>
      <c r="S45" t="n">
        <v>696.823</v>
      </c>
      <c r="T45" t="n">
        <v>906.503</v>
      </c>
      <c r="U45" t="n">
        <v>1431.579</v>
      </c>
      <c r="V45" t="n">
        <v>1238.9</v>
      </c>
      <c r="W45" t="n">
        <v>2087.643</v>
      </c>
      <c r="X45" t="n">
        <v>2289.893</v>
      </c>
      <c r="Y45" t="n">
        <v>1177.697</v>
      </c>
      <c r="Z45" t="n">
        <v>1087.128</v>
      </c>
      <c r="AA45" t="n">
        <v>1193.041</v>
      </c>
      <c r="AB45" t="n">
        <v>1279.594</v>
      </c>
      <c r="AC45" t="n">
        <v>1194.432</v>
      </c>
      <c r="AD45" t="n">
        <v>1092.299</v>
      </c>
      <c r="AE45" t="n">
        <v>1017.015</v>
      </c>
      <c r="AF45" t="n">
        <v>915.085</v>
      </c>
      <c r="AG45" t="n">
        <v>659.4690000000001</v>
      </c>
      <c r="AH45" t="n">
        <v>818.827</v>
      </c>
      <c r="AI45" t="n">
        <v>875.095</v>
      </c>
      <c r="AJ45" t="n">
        <v>898.797</v>
      </c>
      <c r="AK45" t="n">
        <v>1166.635</v>
      </c>
      <c r="AL45" t="n">
        <v>1087.485</v>
      </c>
      <c r="AM45" t="n">
        <v>1164.439</v>
      </c>
      <c r="AN45" t="n">
        <v>1308.81</v>
      </c>
      <c r="AO45" t="n">
        <v>1230.247</v>
      </c>
      <c r="AP45" t="n">
        <v>1166.566</v>
      </c>
      <c r="AQ45" t="n">
        <v>1152.254</v>
      </c>
      <c r="AR45" t="n">
        <v>1235.13</v>
      </c>
      <c r="AS45" t="n">
        <v>1195.369</v>
      </c>
      <c r="AT45" t="n">
        <v>1132.811</v>
      </c>
      <c r="AU45" t="n">
        <v>901.1660000000001</v>
      </c>
      <c r="AV45" t="n">
        <v>901.963</v>
      </c>
      <c r="AW45" t="n">
        <v>945.872</v>
      </c>
      <c r="AX45" t="n">
        <v>834.9059999999999</v>
      </c>
      <c r="AY45" t="n">
        <v>695.069</v>
      </c>
      <c r="AZ45" t="n">
        <v>646.381</v>
      </c>
      <c r="BA45" t="n">
        <v>617.59</v>
      </c>
      <c r="BB45" t="n">
        <v>736.795</v>
      </c>
      <c r="BC45" t="n">
        <v>690.296</v>
      </c>
      <c r="BD45" t="n">
        <v>655.174</v>
      </c>
      <c r="BE45" t="n">
        <v>581.772</v>
      </c>
      <c r="BF45" t="n">
        <v>586.895</v>
      </c>
      <c r="BG45" t="n">
        <v>539.953</v>
      </c>
      <c r="BH45" t="n">
        <v>541.768</v>
      </c>
      <c r="BI45" t="n">
        <v>494.407</v>
      </c>
      <c r="BJ45" t="n">
        <v>471.67</v>
      </c>
      <c r="BK45" t="n">
        <v>471.943</v>
      </c>
      <c r="BL45" t="n">
        <v>515.056</v>
      </c>
      <c r="BM45" t="n">
        <v>583.397</v>
      </c>
      <c r="BN45" t="n">
        <v>546.073</v>
      </c>
      <c r="BO45" t="n">
        <v>582.283</v>
      </c>
      <c r="BP45" t="n">
        <v>600.575</v>
      </c>
      <c r="BQ45" t="n">
        <v>533.515</v>
      </c>
      <c r="BR45" t="n">
        <v>551.717</v>
      </c>
      <c r="BS45" t="n">
        <v>560.878</v>
      </c>
      <c r="BT45" t="n">
        <v>424.466</v>
      </c>
      <c r="BU45" t="n">
        <v>552.579</v>
      </c>
      <c r="BV45" t="n">
        <v>419.111</v>
      </c>
    </row>
    <row r="46">
      <c r="A46" t="inlineStr">
        <is>
          <t>Anguilla anguilla</t>
        </is>
      </c>
      <c r="B46" t="inlineStr">
        <is>
          <t>European eel</t>
        </is>
      </c>
      <c r="C46" t="inlineStr">
        <is>
          <t>Large demersals (&gt;=90 cm)</t>
        </is>
      </c>
      <c r="D46" t="inlineStr">
        <is>
          <t>Other fishes &amp; inverts</t>
        </is>
      </c>
      <c r="E46" t="n">
        <v>3358.921</v>
      </c>
      <c r="F46" t="n">
        <v>3664.63</v>
      </c>
      <c r="G46" t="n">
        <v>2717.01</v>
      </c>
      <c r="H46" t="n">
        <v>3338.101</v>
      </c>
      <c r="I46" t="n">
        <v>2941.413</v>
      </c>
      <c r="J46" t="n">
        <v>3865.174</v>
      </c>
      <c r="K46" t="n">
        <v>2695.333</v>
      </c>
      <c r="L46" t="n">
        <v>2985.587</v>
      </c>
      <c r="M46" t="n">
        <v>2736.557</v>
      </c>
      <c r="N46" t="n">
        <v>3208.602</v>
      </c>
      <c r="O46" t="n">
        <v>3337.304</v>
      </c>
      <c r="P46" t="n">
        <v>3201.925</v>
      </c>
      <c r="Q46" t="n">
        <v>2898.248</v>
      </c>
      <c r="R46" t="n">
        <v>3415.848</v>
      </c>
      <c r="S46" t="n">
        <v>3017.426</v>
      </c>
      <c r="T46" t="n">
        <v>3005.654</v>
      </c>
      <c r="U46" t="n">
        <v>3495.639</v>
      </c>
      <c r="V46" t="n">
        <v>3410.967</v>
      </c>
      <c r="W46" t="n">
        <v>3960.322</v>
      </c>
      <c r="X46" t="n">
        <v>3857.418</v>
      </c>
      <c r="Y46" t="n">
        <v>3275.125</v>
      </c>
      <c r="Z46" t="n">
        <v>2952.183</v>
      </c>
      <c r="AA46" t="n">
        <v>2900.992</v>
      </c>
      <c r="AB46" t="n">
        <v>3056.857</v>
      </c>
      <c r="AC46" t="n">
        <v>2581.596</v>
      </c>
      <c r="AD46" t="n">
        <v>2942.656</v>
      </c>
      <c r="AE46" t="n">
        <v>2767.983</v>
      </c>
      <c r="AF46" t="n">
        <v>2591.027</v>
      </c>
      <c r="AG46" t="n">
        <v>2542.787</v>
      </c>
      <c r="AH46" t="n">
        <v>2310.158</v>
      </c>
      <c r="AI46" t="n">
        <v>2602.628</v>
      </c>
      <c r="AJ46" t="n">
        <v>2779.204</v>
      </c>
      <c r="AK46" t="n">
        <v>3162.826</v>
      </c>
      <c r="AL46" t="n">
        <v>2999.743</v>
      </c>
      <c r="AM46" t="n">
        <v>2027.027</v>
      </c>
      <c r="AN46" t="n">
        <v>1879.793</v>
      </c>
      <c r="AO46" t="n">
        <v>1766.745</v>
      </c>
      <c r="AP46" t="n">
        <v>1565.448</v>
      </c>
      <c r="AQ46" t="n">
        <v>2274.948</v>
      </c>
      <c r="AR46" t="n">
        <v>2183.568</v>
      </c>
      <c r="AS46" t="n">
        <v>1686.018</v>
      </c>
      <c r="AT46" t="n">
        <v>1581.483</v>
      </c>
      <c r="AU46" t="n">
        <v>1549.432</v>
      </c>
      <c r="AV46" t="n">
        <v>1469.145</v>
      </c>
      <c r="AW46" t="n">
        <v>1810.413</v>
      </c>
      <c r="AX46" t="n">
        <v>1530.54</v>
      </c>
      <c r="AY46" t="n">
        <v>1214.217</v>
      </c>
      <c r="AZ46" t="n">
        <v>1465.877</v>
      </c>
      <c r="BA46" t="n">
        <v>967.338</v>
      </c>
      <c r="BB46" t="n">
        <v>1082.149</v>
      </c>
      <c r="BC46" t="n">
        <v>749.0170000000001</v>
      </c>
      <c r="BD46" t="n">
        <v>805.321</v>
      </c>
      <c r="BE46" t="n">
        <v>827.974</v>
      </c>
      <c r="BF46" t="n">
        <v>702.774</v>
      </c>
      <c r="BG46" t="n">
        <v>724.027</v>
      </c>
      <c r="BH46" t="n">
        <v>709.48</v>
      </c>
      <c r="BI46" t="n">
        <v>801.653</v>
      </c>
      <c r="BJ46" t="n">
        <v>605.708</v>
      </c>
      <c r="BK46" t="n">
        <v>579.655</v>
      </c>
      <c r="BL46" t="n">
        <v>359.229</v>
      </c>
      <c r="BM46" t="n">
        <v>344.008</v>
      </c>
      <c r="BN46" t="n">
        <v>280.107</v>
      </c>
      <c r="BO46" t="n">
        <v>164.328</v>
      </c>
      <c r="BP46" t="n">
        <v>183.761</v>
      </c>
      <c r="BQ46" t="n">
        <v>164.383</v>
      </c>
      <c r="BR46" t="n">
        <v>157.756</v>
      </c>
      <c r="BS46" t="n">
        <v>163.779</v>
      </c>
      <c r="BT46" t="n">
        <v>167.194</v>
      </c>
      <c r="BU46" t="n">
        <v>171.259</v>
      </c>
      <c r="BV46" t="n">
        <v>151.245</v>
      </c>
    </row>
    <row r="47">
      <c r="A47" t="inlineStr">
        <is>
          <t>Squalidae</t>
        </is>
      </c>
      <c r="B47" t="inlineStr">
        <is>
          <t>Dogfish sharks</t>
        </is>
      </c>
      <c r="C47" t="inlineStr">
        <is>
          <t>Large sharks (&gt;=90 cm)</t>
        </is>
      </c>
      <c r="D47" t="inlineStr">
        <is>
          <t>Sharks &amp; rays</t>
        </is>
      </c>
      <c r="E47" t="n">
        <v>2353.849</v>
      </c>
      <c r="F47" t="n">
        <v>4414.324</v>
      </c>
      <c r="G47" t="n">
        <v>2994.039</v>
      </c>
      <c r="H47" t="n">
        <v>2666.419</v>
      </c>
      <c r="I47" t="n">
        <v>2815.702</v>
      </c>
      <c r="J47" t="n">
        <v>3021.021</v>
      </c>
      <c r="K47" t="n">
        <v>3060.397</v>
      </c>
      <c r="L47" t="n">
        <v>2912.034</v>
      </c>
      <c r="M47" t="n">
        <v>2747.76</v>
      </c>
      <c r="N47" t="n">
        <v>2595.223</v>
      </c>
      <c r="O47" t="n">
        <v>1914.497</v>
      </c>
      <c r="P47" t="n">
        <v>2537.437</v>
      </c>
      <c r="Q47" t="n">
        <v>1193.856</v>
      </c>
      <c r="R47" t="n">
        <v>1260.827</v>
      </c>
      <c r="S47" t="n">
        <v>2430.484</v>
      </c>
      <c r="T47" t="n">
        <v>3316.262</v>
      </c>
      <c r="U47" t="n">
        <v>3088.476</v>
      </c>
      <c r="V47" t="n">
        <v>5445.165</v>
      </c>
      <c r="W47" t="n">
        <v>4446.465</v>
      </c>
      <c r="X47" t="n">
        <v>8663.941999999999</v>
      </c>
      <c r="Y47" t="n">
        <v>3517.814</v>
      </c>
      <c r="Z47" t="n">
        <v>4146.163</v>
      </c>
      <c r="AA47" t="n">
        <v>3991.786</v>
      </c>
      <c r="AB47" t="n">
        <v>1650.327</v>
      </c>
      <c r="AC47" t="n">
        <v>3943.826</v>
      </c>
      <c r="AD47" t="n">
        <v>4083.022</v>
      </c>
      <c r="AE47" t="n">
        <v>1380.53</v>
      </c>
      <c r="AF47" t="n">
        <v>1373.553</v>
      </c>
      <c r="AG47" t="n">
        <v>3477.142</v>
      </c>
      <c r="AH47" t="n">
        <v>3858.309</v>
      </c>
      <c r="AI47" t="n">
        <v>2906.59</v>
      </c>
      <c r="AJ47" t="n">
        <v>1737.343</v>
      </c>
      <c r="AK47" t="n">
        <v>1807.336</v>
      </c>
      <c r="AL47" t="n">
        <v>1689.751</v>
      </c>
      <c r="AM47" t="n">
        <v>1684.96</v>
      </c>
      <c r="AN47" t="n">
        <v>1339.652</v>
      </c>
      <c r="AO47" t="n">
        <v>1343.036</v>
      </c>
      <c r="AP47" t="n">
        <v>1266.677</v>
      </c>
      <c r="AQ47" t="n">
        <v>1186.026</v>
      </c>
      <c r="AR47" t="n">
        <v>1064.223</v>
      </c>
      <c r="AS47" t="n">
        <v>940.379</v>
      </c>
      <c r="AT47" t="n">
        <v>663.59</v>
      </c>
      <c r="AU47" t="n">
        <v>448.773</v>
      </c>
      <c r="AV47" t="n">
        <v>567.461</v>
      </c>
      <c r="AW47" t="n">
        <v>476.272</v>
      </c>
      <c r="AX47" t="n">
        <v>880.909</v>
      </c>
      <c r="AY47" t="n">
        <v>547.061</v>
      </c>
      <c r="AZ47" t="n">
        <v>697.851</v>
      </c>
      <c r="BA47" t="n">
        <v>609.244</v>
      </c>
      <c r="BB47" t="n">
        <v>725.926</v>
      </c>
      <c r="BC47" t="n">
        <v>818.2430000000001</v>
      </c>
      <c r="BD47" t="n">
        <v>845.333</v>
      </c>
      <c r="BE47" t="n">
        <v>862.797</v>
      </c>
      <c r="BF47" t="n">
        <v>762.5359999999999</v>
      </c>
      <c r="BG47" t="n">
        <v>689.886</v>
      </c>
      <c r="BH47" t="n">
        <v>689.0890000000001</v>
      </c>
      <c r="BI47" t="n">
        <v>909.543</v>
      </c>
      <c r="BJ47" t="n">
        <v>718.399</v>
      </c>
      <c r="BK47" t="n">
        <v>759.723</v>
      </c>
      <c r="BL47" t="n">
        <v>418.218</v>
      </c>
      <c r="BM47" t="n">
        <v>227.647</v>
      </c>
      <c r="BN47" t="n">
        <v>517.631</v>
      </c>
      <c r="BO47" t="n">
        <v>674.6559999999999</v>
      </c>
      <c r="BP47" t="n">
        <v>662.783</v>
      </c>
      <c r="BQ47" t="n">
        <v>780.107</v>
      </c>
      <c r="BR47" t="n">
        <v>304.905</v>
      </c>
      <c r="BS47" t="n">
        <v>226.312</v>
      </c>
      <c r="BT47" t="n">
        <v>235.417</v>
      </c>
      <c r="BU47" t="n">
        <v>953.39</v>
      </c>
      <c r="BV47" t="n">
        <v>744.096</v>
      </c>
    </row>
    <row r="48">
      <c r="A48" t="inlineStr">
        <is>
          <t>Cyclopterus lumpus</t>
        </is>
      </c>
      <c r="B48" t="inlineStr">
        <is>
          <t>Lumpfish</t>
        </is>
      </c>
      <c r="C48" t="inlineStr">
        <is>
          <t>Medium benthopelagics (30 - 89 cm)</t>
        </is>
      </c>
      <c r="D48" t="inlineStr">
        <is>
          <t>Scorpionfishes</t>
        </is>
      </c>
      <c r="E48" t="n">
        <v>0.001</v>
      </c>
      <c r="F48" t="n">
        <v>0.001</v>
      </c>
      <c r="G48" t="n">
        <v>0.001</v>
      </c>
      <c r="H48" t="n">
        <v>0.001</v>
      </c>
      <c r="I48" t="n">
        <v>0.001</v>
      </c>
      <c r="J48" t="n">
        <v>0.001</v>
      </c>
      <c r="K48" t="n">
        <v>0.001</v>
      </c>
      <c r="L48" t="n">
        <v>0.001</v>
      </c>
      <c r="M48" t="n">
        <v>0.001</v>
      </c>
      <c r="N48" t="n">
        <v>0.001</v>
      </c>
      <c r="O48" t="n">
        <v>0.001</v>
      </c>
      <c r="P48" t="n">
        <v>0.001</v>
      </c>
      <c r="Q48" t="n">
        <v>5379.118</v>
      </c>
      <c r="R48" t="n">
        <v>1979.52</v>
      </c>
      <c r="S48" t="n">
        <v>4563.795</v>
      </c>
      <c r="T48" t="n">
        <v>7048.872</v>
      </c>
      <c r="U48" t="n">
        <v>0.004</v>
      </c>
      <c r="V48" t="n">
        <v>3359.016</v>
      </c>
      <c r="W48" t="n">
        <v>0.003</v>
      </c>
      <c r="X48" t="n">
        <v>2996.501</v>
      </c>
      <c r="Y48" t="n">
        <v>3082.312</v>
      </c>
      <c r="Z48" t="n">
        <v>1746.948</v>
      </c>
      <c r="AA48" t="n">
        <v>1680.275</v>
      </c>
      <c r="AB48" t="n">
        <v>2382.871</v>
      </c>
      <c r="AC48" t="n">
        <v>2923.288</v>
      </c>
      <c r="AD48" t="n">
        <v>2513.116</v>
      </c>
      <c r="AE48" t="n">
        <v>2102.849</v>
      </c>
      <c r="AF48" t="n">
        <v>2545.784</v>
      </c>
      <c r="AG48" t="n">
        <v>1257.928</v>
      </c>
      <c r="AH48" t="n">
        <v>1698.756</v>
      </c>
      <c r="AI48" t="n">
        <v>2829.777</v>
      </c>
      <c r="AJ48" t="n">
        <v>4084.815</v>
      </c>
      <c r="AK48" t="n">
        <v>2343.096</v>
      </c>
      <c r="AL48" t="n">
        <v>1914.911</v>
      </c>
      <c r="AM48" t="n">
        <v>3204.185</v>
      </c>
      <c r="AN48" t="n">
        <v>3176.239</v>
      </c>
      <c r="AO48" t="n">
        <v>3235.93</v>
      </c>
      <c r="AP48" t="n">
        <v>2384.867</v>
      </c>
      <c r="AQ48" t="n">
        <v>3513.648</v>
      </c>
      <c r="AR48" t="n">
        <v>6044.158</v>
      </c>
      <c r="AS48" t="n">
        <v>3182.844</v>
      </c>
      <c r="AT48" t="n">
        <v>3486.226</v>
      </c>
      <c r="AU48" t="n">
        <v>3435.458</v>
      </c>
      <c r="AV48" t="n">
        <v>2494.994</v>
      </c>
      <c r="AW48" t="n">
        <v>3949.296</v>
      </c>
      <c r="AX48" t="n">
        <v>2787.52</v>
      </c>
      <c r="AY48" t="n">
        <v>4603.522</v>
      </c>
      <c r="AZ48" t="n">
        <v>4904.657</v>
      </c>
      <c r="BA48" t="n">
        <v>584.199</v>
      </c>
      <c r="BB48" t="n">
        <v>2024.88</v>
      </c>
      <c r="BC48" t="n">
        <v>1100.241</v>
      </c>
      <c r="BD48" t="n">
        <v>926.908</v>
      </c>
      <c r="BE48" t="n">
        <v>1476.604</v>
      </c>
      <c r="BF48" t="n">
        <v>2588.531</v>
      </c>
      <c r="BG48" t="n">
        <v>1257.784</v>
      </c>
      <c r="BH48" t="n">
        <v>566.681</v>
      </c>
      <c r="BI48" t="n">
        <v>531.5839999999999</v>
      </c>
      <c r="BJ48" t="n">
        <v>736.654</v>
      </c>
      <c r="BK48" t="n">
        <v>482.21</v>
      </c>
      <c r="BL48" t="n">
        <v>285.919</v>
      </c>
      <c r="BM48" t="n">
        <v>623.427</v>
      </c>
      <c r="BN48" t="n">
        <v>968.053</v>
      </c>
      <c r="BO48" t="n">
        <v>282.458</v>
      </c>
      <c r="BP48" t="n">
        <v>574.985</v>
      </c>
      <c r="BQ48" t="n">
        <v>1858.022</v>
      </c>
      <c r="BR48" t="n">
        <v>381.93</v>
      </c>
      <c r="BS48" t="n">
        <v>146.876</v>
      </c>
      <c r="BT48" t="n">
        <v>129.454</v>
      </c>
      <c r="BU48" t="n">
        <v>398.777</v>
      </c>
      <c r="BV48" t="n">
        <v>193.784</v>
      </c>
    </row>
    <row r="49">
      <c r="A49" t="inlineStr">
        <is>
          <t>Thunnus thynnus</t>
        </is>
      </c>
      <c r="B49" t="inlineStr">
        <is>
          <t>Atlantic bluefin tuna</t>
        </is>
      </c>
      <c r="C49" t="inlineStr">
        <is>
          <t>Large pelagics (&gt;=90 cm)</t>
        </is>
      </c>
      <c r="D49" t="inlineStr">
        <is>
          <t>Tuna &amp; billfishes</t>
        </is>
      </c>
      <c r="E49" t="n">
        <v>3414.97</v>
      </c>
      <c r="F49" t="n">
        <v>7829.48</v>
      </c>
      <c r="G49" t="n">
        <v>16325.37</v>
      </c>
      <c r="H49" t="n">
        <v>10437.739</v>
      </c>
      <c r="I49" t="n">
        <v>11558.533</v>
      </c>
      <c r="J49" t="n">
        <v>15683.775</v>
      </c>
      <c r="K49" t="n">
        <v>5488.258</v>
      </c>
      <c r="L49" t="n">
        <v>6754.724</v>
      </c>
      <c r="M49" t="n">
        <v>4457.549</v>
      </c>
      <c r="N49" t="n">
        <v>4206.352</v>
      </c>
      <c r="O49" t="n">
        <v>5059.168</v>
      </c>
      <c r="P49" t="n">
        <v>7561.55</v>
      </c>
      <c r="Q49" t="n">
        <v>7786.933</v>
      </c>
      <c r="R49" t="n">
        <v>207.19</v>
      </c>
      <c r="S49" t="n">
        <v>1725.226</v>
      </c>
      <c r="T49" t="n">
        <v>2935.946</v>
      </c>
      <c r="U49" t="n">
        <v>1213.8</v>
      </c>
      <c r="V49" t="n">
        <v>2436.321</v>
      </c>
      <c r="W49" t="n">
        <v>723.783</v>
      </c>
      <c r="X49" t="n">
        <v>352.392</v>
      </c>
      <c r="Y49" t="n">
        <v>500.956</v>
      </c>
      <c r="Z49" t="n">
        <v>777.944</v>
      </c>
      <c r="AA49" t="n">
        <v>115.583</v>
      </c>
      <c r="AB49" t="n">
        <v>83.27800000000001</v>
      </c>
      <c r="AC49" t="n">
        <v>1046.606</v>
      </c>
      <c r="AD49" t="n">
        <v>1184.838</v>
      </c>
      <c r="AE49" t="n">
        <v>646.628</v>
      </c>
      <c r="AF49" t="n">
        <v>933.908</v>
      </c>
      <c r="AG49" t="n">
        <v>270.741</v>
      </c>
      <c r="AH49" t="n">
        <v>74.22799999999999</v>
      </c>
      <c r="AI49" t="n">
        <v>319.622</v>
      </c>
      <c r="AJ49" t="n">
        <v>220.343</v>
      </c>
      <c r="AK49" t="n">
        <v>51.915</v>
      </c>
      <c r="AL49" t="n">
        <v>1.492</v>
      </c>
      <c r="AM49" t="n">
        <v>315.809</v>
      </c>
      <c r="AN49" t="n">
        <v>37.703</v>
      </c>
      <c r="AO49" t="n">
        <v>30.723</v>
      </c>
      <c r="AP49" t="n">
        <v>0.19</v>
      </c>
      <c r="AQ49" t="n">
        <v>0.948</v>
      </c>
      <c r="AR49" t="n">
        <v>0</v>
      </c>
      <c r="AS49" t="n">
        <v>0.157</v>
      </c>
      <c r="AT49" t="n">
        <v>0.094</v>
      </c>
      <c r="AU49" t="n">
        <v>0</v>
      </c>
      <c r="AV49" t="n">
        <v>45.919</v>
      </c>
      <c r="AW49" t="n">
        <v>0</v>
      </c>
      <c r="AX49" t="n">
        <v>0.277</v>
      </c>
      <c r="AY49" t="n">
        <v>0.41</v>
      </c>
      <c r="AZ49" t="n">
        <v>0</v>
      </c>
      <c r="BA49" t="n">
        <v>0.928</v>
      </c>
      <c r="BB49" t="n">
        <v>5.493</v>
      </c>
      <c r="BC49" t="n">
        <v>0.434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0.003</v>
      </c>
      <c r="BJ49" t="n">
        <v>0</v>
      </c>
      <c r="BK49" t="n">
        <v>0.012</v>
      </c>
      <c r="BL49" t="n">
        <v>0.538</v>
      </c>
      <c r="BM49" t="n">
        <v>0</v>
      </c>
      <c r="BN49" t="n">
        <v>0</v>
      </c>
      <c r="BO49" t="n">
        <v>0</v>
      </c>
      <c r="BP49" t="n">
        <v>0.065</v>
      </c>
      <c r="BQ49" t="n">
        <v>0.081</v>
      </c>
      <c r="BR49" t="n">
        <v>0.02</v>
      </c>
      <c r="BS49" t="n">
        <v>21.798</v>
      </c>
      <c r="BT49" t="n">
        <v>26.147</v>
      </c>
      <c r="BU49" t="n">
        <v>7.859</v>
      </c>
      <c r="BV49" t="n">
        <v>47.185</v>
      </c>
    </row>
    <row r="50">
      <c r="A50" t="inlineStr">
        <is>
          <t>Marine pelagic fishes not identified</t>
        </is>
      </c>
      <c r="B50" t="inlineStr">
        <is>
          <t>Pelagic fishes</t>
        </is>
      </c>
      <c r="C50" t="inlineStr">
        <is>
          <t>Medium pelagics (30 - 89 cm)</t>
        </is>
      </c>
      <c r="D50" t="inlineStr">
        <is>
          <t>Other fishes &amp; inverts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52.732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0.054</v>
      </c>
      <c r="AK50" t="n">
        <v>43122.665</v>
      </c>
      <c r="AL50" t="n">
        <v>30591.095</v>
      </c>
      <c r="AM50" t="n">
        <v>42234.974</v>
      </c>
      <c r="AN50" t="n">
        <v>198.428</v>
      </c>
      <c r="AO50" t="n">
        <v>610.103</v>
      </c>
      <c r="AP50" t="n">
        <v>746.292</v>
      </c>
      <c r="AQ50" t="n">
        <v>967.749</v>
      </c>
      <c r="AR50" t="n">
        <v>1335.127</v>
      </c>
      <c r="AS50" t="n">
        <v>1337.345</v>
      </c>
      <c r="AT50" t="n">
        <v>0.219</v>
      </c>
      <c r="AU50" t="n">
        <v>0.07199999999999999</v>
      </c>
      <c r="AV50" t="n">
        <v>0</v>
      </c>
      <c r="AW50" t="n">
        <v>0.134</v>
      </c>
      <c r="AX50" t="n">
        <v>0.145</v>
      </c>
      <c r="AY50" t="n">
        <v>0.217</v>
      </c>
      <c r="AZ50" t="n">
        <v>0.07199999999999999</v>
      </c>
      <c r="BA50" t="n">
        <v>0.089</v>
      </c>
      <c r="BB50" t="n">
        <v>0.128</v>
      </c>
      <c r="BC50" t="n">
        <v>0.241</v>
      </c>
      <c r="BD50" t="n">
        <v>26.279</v>
      </c>
      <c r="BE50" t="n">
        <v>0.017</v>
      </c>
      <c r="BF50" t="n">
        <v>0</v>
      </c>
      <c r="BG50" t="n">
        <v>0</v>
      </c>
      <c r="BH50" t="n">
        <v>0</v>
      </c>
      <c r="BI50" t="n">
        <v>3.821</v>
      </c>
      <c r="BJ50" t="n">
        <v>11.595</v>
      </c>
      <c r="BK50" t="n">
        <v>0.866</v>
      </c>
      <c r="BL50" t="n">
        <v>85.289</v>
      </c>
      <c r="BM50" t="n">
        <v>2.502</v>
      </c>
      <c r="BN50" t="n">
        <v>32.766</v>
      </c>
      <c r="BO50" t="n">
        <v>1.224</v>
      </c>
      <c r="BP50" t="n">
        <v>41.567</v>
      </c>
      <c r="BQ50" t="n">
        <v>15.868</v>
      </c>
      <c r="BR50" t="n">
        <v>5.476</v>
      </c>
      <c r="BS50" t="n">
        <v>0.378</v>
      </c>
      <c r="BT50" t="n">
        <v>3.702</v>
      </c>
      <c r="BU50" t="n">
        <v>1.042</v>
      </c>
      <c r="BV50" t="n">
        <v>2.693</v>
      </c>
    </row>
    <row r="51">
      <c r="A51" t="inlineStr">
        <is>
          <t>Carcinus maenas</t>
        </is>
      </c>
      <c r="B51" t="inlineStr">
        <is>
          <t>Green crab</t>
        </is>
      </c>
      <c r="C51" t="inlineStr">
        <is>
          <t>Lobsters, crabs</t>
        </is>
      </c>
      <c r="D51" t="inlineStr">
        <is>
          <t>Crustaceans</t>
        </is>
      </c>
      <c r="E51" t="n">
        <v>2520.821</v>
      </c>
      <c r="F51" t="n">
        <v>2052.475</v>
      </c>
      <c r="G51" t="n">
        <v>1870.981</v>
      </c>
      <c r="H51" t="n">
        <v>3054.127</v>
      </c>
      <c r="I51" t="n">
        <v>2514.203</v>
      </c>
      <c r="J51" t="n">
        <v>3279.019</v>
      </c>
      <c r="K51" t="n">
        <v>2554.921</v>
      </c>
      <c r="L51" t="n">
        <v>2655.434</v>
      </c>
      <c r="M51" t="n">
        <v>2166.614</v>
      </c>
      <c r="N51" t="n">
        <v>1963.199</v>
      </c>
      <c r="O51" t="n">
        <v>1835.434</v>
      </c>
      <c r="P51" t="n">
        <v>2112.359</v>
      </c>
      <c r="Q51" t="n">
        <v>1897.489</v>
      </c>
      <c r="R51" t="n">
        <v>3234.961</v>
      </c>
      <c r="S51" t="n">
        <v>2190.553</v>
      </c>
      <c r="T51" t="n">
        <v>2166.297</v>
      </c>
      <c r="U51" t="n">
        <v>2932.139</v>
      </c>
      <c r="V51" t="n">
        <v>1861.849</v>
      </c>
      <c r="W51" t="n">
        <v>2528.341</v>
      </c>
      <c r="X51" t="n">
        <v>2109.915</v>
      </c>
      <c r="Y51" t="n">
        <v>2895.167</v>
      </c>
      <c r="Z51" t="n">
        <v>1810.312</v>
      </c>
      <c r="AA51" t="n">
        <v>1913.813</v>
      </c>
      <c r="AB51" t="n">
        <v>2261.77</v>
      </c>
      <c r="AC51" t="n">
        <v>2189.987</v>
      </c>
      <c r="AD51" t="n">
        <v>1572.311</v>
      </c>
      <c r="AE51" t="n">
        <v>2019.691</v>
      </c>
      <c r="AF51" t="n">
        <v>1387.984</v>
      </c>
      <c r="AG51" t="n">
        <v>1276.848</v>
      </c>
      <c r="AH51" t="n">
        <v>1490.419</v>
      </c>
      <c r="AI51" t="n">
        <v>1176.474</v>
      </c>
      <c r="AJ51" t="n">
        <v>1097.549</v>
      </c>
      <c r="AK51" t="n">
        <v>1513.929</v>
      </c>
      <c r="AL51" t="n">
        <v>981.604</v>
      </c>
      <c r="AM51" t="n">
        <v>892.679</v>
      </c>
      <c r="AN51" t="n">
        <v>1319.058</v>
      </c>
      <c r="AO51" t="n">
        <v>1231.966</v>
      </c>
      <c r="AP51" t="n">
        <v>1216.853</v>
      </c>
      <c r="AQ51" t="n">
        <v>1067.398</v>
      </c>
      <c r="AR51" t="n">
        <v>1269.29</v>
      </c>
      <c r="AS51" t="n">
        <v>734.22</v>
      </c>
      <c r="AT51" t="n">
        <v>1210.603</v>
      </c>
      <c r="AU51" t="n">
        <v>1005.782</v>
      </c>
      <c r="AV51" t="n">
        <v>1208.677</v>
      </c>
      <c r="AW51" t="n">
        <v>1462.573</v>
      </c>
      <c r="AX51" t="n">
        <v>1080.058</v>
      </c>
      <c r="AY51" t="n">
        <v>1361.032</v>
      </c>
      <c r="AZ51" t="n">
        <v>1758.62</v>
      </c>
      <c r="BA51" t="n">
        <v>1409.336</v>
      </c>
      <c r="BB51" t="n">
        <v>1507.455</v>
      </c>
      <c r="BC51" t="n">
        <v>1495.355</v>
      </c>
      <c r="BD51" t="n">
        <v>1232.164</v>
      </c>
      <c r="BE51" t="n">
        <v>1518.961</v>
      </c>
      <c r="BF51" t="n">
        <v>1417.544</v>
      </c>
      <c r="BG51" t="n">
        <v>1693.027</v>
      </c>
      <c r="BH51" t="n">
        <v>1863.45</v>
      </c>
      <c r="BI51" t="n">
        <v>1605.571</v>
      </c>
      <c r="BJ51" t="n">
        <v>1350.976</v>
      </c>
      <c r="BK51" t="n">
        <v>1522.085</v>
      </c>
      <c r="BL51" t="n">
        <v>1480.293</v>
      </c>
      <c r="BM51" t="n">
        <v>1570.518</v>
      </c>
      <c r="BN51" t="n">
        <v>1507.49</v>
      </c>
      <c r="BO51" t="n">
        <v>1447.599</v>
      </c>
      <c r="BP51" t="n">
        <v>1402.665</v>
      </c>
      <c r="BQ51" t="n">
        <v>1366.245</v>
      </c>
      <c r="BR51" t="n">
        <v>811.241</v>
      </c>
      <c r="BS51" t="n">
        <v>522.6799999999999</v>
      </c>
      <c r="BT51" t="n">
        <v>544.798</v>
      </c>
      <c r="BU51" t="n">
        <v>635.1849999999999</v>
      </c>
      <c r="BV51" t="n">
        <v>497.682</v>
      </c>
    </row>
    <row r="52">
      <c r="A52" t="inlineStr">
        <is>
          <t>Rajiformes</t>
        </is>
      </c>
      <c r="B52" t="inlineStr">
        <is>
          <t>Skates and rays</t>
        </is>
      </c>
      <c r="C52" t="inlineStr">
        <is>
          <t>Large rays (&gt;=90 cm)</t>
        </is>
      </c>
      <c r="D52" t="inlineStr">
        <is>
          <t>Sharks &amp; rays</t>
        </is>
      </c>
      <c r="E52" t="n">
        <v>4377.052</v>
      </c>
      <c r="F52" t="n">
        <v>3919.141</v>
      </c>
      <c r="G52" t="n">
        <v>3847.991</v>
      </c>
      <c r="H52" t="n">
        <v>3742.608</v>
      </c>
      <c r="I52" t="n">
        <v>3535.646</v>
      </c>
      <c r="J52" t="n">
        <v>3855.365</v>
      </c>
      <c r="K52" t="n">
        <v>3625.973</v>
      </c>
      <c r="L52" t="n">
        <v>3498.075</v>
      </c>
      <c r="M52" t="n">
        <v>3664.175</v>
      </c>
      <c r="N52" t="n">
        <v>3930.172</v>
      </c>
      <c r="O52" t="n">
        <v>3700.645</v>
      </c>
      <c r="P52" t="n">
        <v>3898.386</v>
      </c>
      <c r="Q52" t="n">
        <v>3712.673</v>
      </c>
      <c r="R52" t="n">
        <v>4343.761</v>
      </c>
      <c r="S52" t="n">
        <v>3274.148</v>
      </c>
      <c r="T52" t="n">
        <v>2923.02</v>
      </c>
      <c r="U52" t="n">
        <v>3009.322</v>
      </c>
      <c r="V52" t="n">
        <v>2969.818</v>
      </c>
      <c r="W52" t="n">
        <v>3086.614</v>
      </c>
      <c r="X52" t="n">
        <v>2929.042</v>
      </c>
      <c r="Y52" t="n">
        <v>2228.453</v>
      </c>
      <c r="Z52" t="n">
        <v>2274.313</v>
      </c>
      <c r="AA52" t="n">
        <v>2120.963</v>
      </c>
      <c r="AB52" t="n">
        <v>1875.093</v>
      </c>
      <c r="AC52" t="n">
        <v>1474.414</v>
      </c>
      <c r="AD52" t="n">
        <v>1316.187</v>
      </c>
      <c r="AE52" t="n">
        <v>940.304</v>
      </c>
      <c r="AF52" t="n">
        <v>1096.619</v>
      </c>
      <c r="AG52" t="n">
        <v>1315.101</v>
      </c>
      <c r="AH52" t="n">
        <v>1322.441</v>
      </c>
      <c r="AI52" t="n">
        <v>988.828</v>
      </c>
      <c r="AJ52" t="n">
        <v>860.687</v>
      </c>
      <c r="AK52" t="n">
        <v>1041.036</v>
      </c>
      <c r="AL52" t="n">
        <v>1494.375</v>
      </c>
      <c r="AM52" t="n">
        <v>1808.584</v>
      </c>
      <c r="AN52" t="n">
        <v>1706.18</v>
      </c>
      <c r="AO52" t="n">
        <v>977.8390000000001</v>
      </c>
      <c r="AP52" t="n">
        <v>1070.528</v>
      </c>
      <c r="AQ52" t="n">
        <v>1016.988</v>
      </c>
      <c r="AR52" t="n">
        <v>822.72</v>
      </c>
      <c r="AS52" t="n">
        <v>1083.843</v>
      </c>
      <c r="AT52" t="n">
        <v>1339.282</v>
      </c>
      <c r="AU52" t="n">
        <v>1184.288</v>
      </c>
      <c r="AV52" t="n">
        <v>1403.147</v>
      </c>
      <c r="AW52" t="n">
        <v>1056.863</v>
      </c>
      <c r="AX52" t="n">
        <v>922.169</v>
      </c>
      <c r="AY52" t="n">
        <v>981.355</v>
      </c>
      <c r="AZ52" t="n">
        <v>606.708</v>
      </c>
      <c r="BA52" t="n">
        <v>615.941</v>
      </c>
      <c r="BB52" t="n">
        <v>596.503</v>
      </c>
      <c r="BC52" t="n">
        <v>609.722</v>
      </c>
      <c r="BD52" t="n">
        <v>611.0650000000001</v>
      </c>
      <c r="BE52" t="n">
        <v>568.6130000000001</v>
      </c>
      <c r="BF52" t="n">
        <v>546.583</v>
      </c>
      <c r="BG52" t="n">
        <v>502.951</v>
      </c>
      <c r="BH52" t="n">
        <v>485.579</v>
      </c>
      <c r="BI52" t="n">
        <v>465.36</v>
      </c>
      <c r="BJ52" t="n">
        <v>389.891</v>
      </c>
      <c r="BK52" t="n">
        <v>271.257</v>
      </c>
      <c r="BL52" t="n">
        <v>267.999</v>
      </c>
      <c r="BM52" t="n">
        <v>246.742</v>
      </c>
      <c r="BN52" t="n">
        <v>145.69</v>
      </c>
      <c r="BO52" t="n">
        <v>140.184</v>
      </c>
      <c r="BP52" t="n">
        <v>171.361</v>
      </c>
      <c r="BQ52" t="n">
        <v>197.776</v>
      </c>
      <c r="BR52" t="n">
        <v>281.797</v>
      </c>
      <c r="BS52" t="n">
        <v>308.176</v>
      </c>
      <c r="BT52" t="n">
        <v>235.133</v>
      </c>
      <c r="BU52" t="n">
        <v>252.907</v>
      </c>
      <c r="BV52" t="n">
        <v>182.199</v>
      </c>
    </row>
    <row r="53">
      <c r="A53" t="inlineStr">
        <is>
          <t>Buglossidium luteum</t>
        </is>
      </c>
      <c r="B53" t="inlineStr">
        <is>
          <t>Solenette</t>
        </is>
      </c>
      <c r="C53" t="inlineStr">
        <is>
          <t>Small to medium flatfishes (&lt;90 cm)</t>
        </is>
      </c>
      <c r="D53" t="inlineStr">
        <is>
          <t>Flatfishes</t>
        </is>
      </c>
      <c r="E53" t="n">
        <v>693.208</v>
      </c>
      <c r="F53" t="n">
        <v>660.729</v>
      </c>
      <c r="G53" t="n">
        <v>693.804</v>
      </c>
      <c r="H53" t="n">
        <v>802.022</v>
      </c>
      <c r="I53" t="n">
        <v>700.0700000000001</v>
      </c>
      <c r="J53" t="n">
        <v>611.304</v>
      </c>
      <c r="K53" t="n">
        <v>668.712</v>
      </c>
      <c r="L53" t="n">
        <v>770.321</v>
      </c>
      <c r="M53" t="n">
        <v>833.428</v>
      </c>
      <c r="N53" t="n">
        <v>854.021</v>
      </c>
      <c r="O53" t="n">
        <v>983.568</v>
      </c>
      <c r="P53" t="n">
        <v>1160.798</v>
      </c>
      <c r="Q53" t="n">
        <v>1366.35</v>
      </c>
      <c r="R53" t="n">
        <v>1384.072</v>
      </c>
      <c r="S53" t="n">
        <v>1242.843</v>
      </c>
      <c r="T53" t="n">
        <v>1354.956</v>
      </c>
      <c r="U53" t="n">
        <v>1879.743</v>
      </c>
      <c r="V53" t="n">
        <v>1318.436</v>
      </c>
      <c r="W53" t="n">
        <v>1930.208</v>
      </c>
      <c r="X53" t="n">
        <v>2275.412</v>
      </c>
      <c r="Y53" t="n">
        <v>2310.376</v>
      </c>
      <c r="Z53" t="n">
        <v>2331.794</v>
      </c>
      <c r="AA53" t="n">
        <v>2571.181</v>
      </c>
      <c r="AB53" t="n">
        <v>2743.262</v>
      </c>
      <c r="AC53" t="n">
        <v>2565.597</v>
      </c>
      <c r="AD53" t="n">
        <v>2442.388</v>
      </c>
      <c r="AE53" t="n">
        <v>2119.958</v>
      </c>
      <c r="AF53" t="n">
        <v>1989.379</v>
      </c>
      <c r="AG53" t="n">
        <v>1330.284</v>
      </c>
      <c r="AH53" t="n">
        <v>1724.888</v>
      </c>
      <c r="AI53" t="n">
        <v>1947.006</v>
      </c>
      <c r="AJ53" t="n">
        <v>2041.569</v>
      </c>
      <c r="AK53" t="n">
        <v>2662.403</v>
      </c>
      <c r="AL53" t="n">
        <v>2610.076</v>
      </c>
      <c r="AM53" t="n">
        <v>2840.448</v>
      </c>
      <c r="AN53" t="n">
        <v>3133.307</v>
      </c>
      <c r="AO53" t="n">
        <v>2942.186</v>
      </c>
      <c r="AP53" t="n">
        <v>2771.197</v>
      </c>
      <c r="AQ53" t="n">
        <v>2766.052</v>
      </c>
      <c r="AR53" t="n">
        <v>2964.819</v>
      </c>
      <c r="AS53" t="n">
        <v>2930.154</v>
      </c>
      <c r="AT53" t="n">
        <v>2650.674</v>
      </c>
      <c r="AU53" t="n">
        <v>2088.416</v>
      </c>
      <c r="AV53" t="n">
        <v>2058.017</v>
      </c>
      <c r="AW53" t="n">
        <v>2126.491</v>
      </c>
      <c r="AX53" t="n">
        <v>1927.479</v>
      </c>
      <c r="AY53" t="n">
        <v>1481.222</v>
      </c>
      <c r="AZ53" t="n">
        <v>1288.597</v>
      </c>
      <c r="BA53" t="n">
        <v>1320.686</v>
      </c>
      <c r="BB53" t="n">
        <v>1593.133</v>
      </c>
      <c r="BC53" t="n">
        <v>1455.188</v>
      </c>
      <c r="BD53" t="n">
        <v>1385.291</v>
      </c>
      <c r="BE53" t="n">
        <v>1189.616</v>
      </c>
      <c r="BF53" t="n">
        <v>1152.341</v>
      </c>
      <c r="BG53" t="n">
        <v>1025.881</v>
      </c>
      <c r="BH53" t="n">
        <v>966.946</v>
      </c>
      <c r="BI53" t="n">
        <v>913.457</v>
      </c>
      <c r="BJ53" t="n">
        <v>920.08</v>
      </c>
      <c r="BK53" t="n">
        <v>875.038</v>
      </c>
      <c r="BL53" t="n">
        <v>1003.623</v>
      </c>
      <c r="BM53" t="n">
        <v>1155.407</v>
      </c>
      <c r="BN53" t="n">
        <v>1078.568</v>
      </c>
      <c r="BO53" t="n">
        <v>1188.975</v>
      </c>
      <c r="BP53" t="n">
        <v>1232.449</v>
      </c>
      <c r="BQ53" t="n">
        <v>1066.757</v>
      </c>
      <c r="BR53" t="n">
        <v>1202.866</v>
      </c>
      <c r="BS53" t="n">
        <v>1287.954</v>
      </c>
      <c r="BT53" t="n">
        <v>605.96</v>
      </c>
      <c r="BU53" t="n">
        <v>881.186</v>
      </c>
      <c r="BV53" t="n">
        <v>701.261</v>
      </c>
    </row>
    <row r="54">
      <c r="A54" t="inlineStr">
        <is>
          <t>Trisopterus luscus</t>
        </is>
      </c>
      <c r="B54" t="inlineStr">
        <is>
          <t>Pouting</t>
        </is>
      </c>
      <c r="C54" t="inlineStr">
        <is>
          <t>Medium benthopelagics (30 - 89 cm)</t>
        </is>
      </c>
      <c r="D54" t="inlineStr">
        <is>
          <t>Cod-likes</t>
        </is>
      </c>
      <c r="E54" t="n">
        <v>1007.902</v>
      </c>
      <c r="F54" t="n">
        <v>1049.812</v>
      </c>
      <c r="G54" t="n">
        <v>958.498</v>
      </c>
      <c r="H54" t="n">
        <v>1139.383</v>
      </c>
      <c r="I54" t="n">
        <v>1053.448</v>
      </c>
      <c r="J54" t="n">
        <v>845.808</v>
      </c>
      <c r="K54" t="n">
        <v>713.252</v>
      </c>
      <c r="L54" t="n">
        <v>608.21</v>
      </c>
      <c r="M54" t="n">
        <v>755.578</v>
      </c>
      <c r="N54" t="n">
        <v>717.788</v>
      </c>
      <c r="O54" t="n">
        <v>1032.525</v>
      </c>
      <c r="P54" t="n">
        <v>663.669</v>
      </c>
      <c r="Q54" t="n">
        <v>1052.277</v>
      </c>
      <c r="R54" t="n">
        <v>1410.78</v>
      </c>
      <c r="S54" t="n">
        <v>290.675</v>
      </c>
      <c r="T54" t="n">
        <v>410.799</v>
      </c>
      <c r="U54" t="n">
        <v>963.248</v>
      </c>
      <c r="V54" t="n">
        <v>1068.852</v>
      </c>
      <c r="W54" t="n">
        <v>913.611</v>
      </c>
      <c r="X54" t="n">
        <v>637.347</v>
      </c>
      <c r="Y54" t="n">
        <v>578.1319999999999</v>
      </c>
      <c r="Z54" t="n">
        <v>3936.544</v>
      </c>
      <c r="AA54" t="n">
        <v>4997.888</v>
      </c>
      <c r="AB54" t="n">
        <v>5757.423</v>
      </c>
      <c r="AC54" t="n">
        <v>6289.715</v>
      </c>
      <c r="AD54" t="n">
        <v>6861.521</v>
      </c>
      <c r="AE54" t="n">
        <v>2176.44</v>
      </c>
      <c r="AF54" t="n">
        <v>2372.751</v>
      </c>
      <c r="AG54" t="n">
        <v>2311.743</v>
      </c>
      <c r="AH54" t="n">
        <v>1952.426</v>
      </c>
      <c r="AI54" t="n">
        <v>1742.117</v>
      </c>
      <c r="AJ54" t="n">
        <v>2172.205</v>
      </c>
      <c r="AK54" t="n">
        <v>2727.327</v>
      </c>
      <c r="AL54" t="n">
        <v>2577.201</v>
      </c>
      <c r="AM54" t="n">
        <v>1713.527</v>
      </c>
      <c r="AN54" t="n">
        <v>1596.879</v>
      </c>
      <c r="AO54" t="n">
        <v>1070.987</v>
      </c>
      <c r="AP54" t="n">
        <v>945.277</v>
      </c>
      <c r="AQ54" t="n">
        <v>1173.437</v>
      </c>
      <c r="AR54" t="n">
        <v>1156.258</v>
      </c>
      <c r="AS54" t="n">
        <v>1449.17</v>
      </c>
      <c r="AT54" t="n">
        <v>1742.939</v>
      </c>
      <c r="AU54" t="n">
        <v>1372.33</v>
      </c>
      <c r="AV54" t="n">
        <v>1407.808</v>
      </c>
      <c r="AW54" t="n">
        <v>1110.025</v>
      </c>
      <c r="AX54" t="n">
        <v>1075.19</v>
      </c>
      <c r="AY54" t="n">
        <v>1065.639</v>
      </c>
      <c r="AZ54" t="n">
        <v>525.688</v>
      </c>
      <c r="BA54" t="n">
        <v>673.417</v>
      </c>
      <c r="BB54" t="n">
        <v>666.779</v>
      </c>
      <c r="BC54" t="n">
        <v>1343.725</v>
      </c>
      <c r="BD54" t="n">
        <v>1387.565</v>
      </c>
      <c r="BE54" t="n">
        <v>1335.241</v>
      </c>
      <c r="BF54" t="n">
        <v>913.264</v>
      </c>
      <c r="BG54" t="n">
        <v>823.407</v>
      </c>
      <c r="BH54" t="n">
        <v>678.433</v>
      </c>
      <c r="BI54" t="n">
        <v>688.705</v>
      </c>
      <c r="BJ54" t="n">
        <v>604.429</v>
      </c>
      <c r="BK54" t="n">
        <v>588.751</v>
      </c>
      <c r="BL54" t="n">
        <v>749.2089999999999</v>
      </c>
      <c r="BM54" t="n">
        <v>668.575</v>
      </c>
      <c r="BN54" t="n">
        <v>486.77</v>
      </c>
      <c r="BO54" t="n">
        <v>423.948</v>
      </c>
      <c r="BP54" t="n">
        <v>400.771</v>
      </c>
      <c r="BQ54" t="n">
        <v>419.356</v>
      </c>
      <c r="BR54" t="n">
        <v>635.048</v>
      </c>
      <c r="BS54" t="n">
        <v>816.328</v>
      </c>
      <c r="BT54" t="n">
        <v>692.9829999999999</v>
      </c>
      <c r="BU54" t="n">
        <v>782.313</v>
      </c>
      <c r="BV54" t="n">
        <v>603.994</v>
      </c>
    </row>
    <row r="55">
      <c r="A55" t="inlineStr">
        <is>
          <t>Miscellaneous marine crustaceans</t>
        </is>
      </c>
      <c r="B55" t="inlineStr">
        <is>
          <t>Marine crabs, shrimps, lobsters nei</t>
        </is>
      </c>
      <c r="C55" t="inlineStr">
        <is>
          <t>Shrimps</t>
        </is>
      </c>
      <c r="D55" t="inlineStr">
        <is>
          <t>Crustaceans</t>
        </is>
      </c>
      <c r="E55" t="n">
        <v>926.058</v>
      </c>
      <c r="F55" t="n">
        <v>2122.926</v>
      </c>
      <c r="G55" t="n">
        <v>885.527</v>
      </c>
      <c r="H55" t="n">
        <v>985.784</v>
      </c>
      <c r="I55" t="n">
        <v>1180.323</v>
      </c>
      <c r="J55" t="n">
        <v>1246.755</v>
      </c>
      <c r="K55" t="n">
        <v>1128.27</v>
      </c>
      <c r="L55" t="n">
        <v>1050.867</v>
      </c>
      <c r="M55" t="n">
        <v>1039.577</v>
      </c>
      <c r="N55" t="n">
        <v>1038.94</v>
      </c>
      <c r="O55" t="n">
        <v>399.489</v>
      </c>
      <c r="P55" t="n">
        <v>1198.608</v>
      </c>
      <c r="Q55" t="n">
        <v>1030.125</v>
      </c>
      <c r="R55" t="n">
        <v>825.245</v>
      </c>
      <c r="S55" t="n">
        <v>2009.451</v>
      </c>
      <c r="T55" t="n">
        <v>3102.194</v>
      </c>
      <c r="U55" t="n">
        <v>2645.96</v>
      </c>
      <c r="V55" t="n">
        <v>3655.234</v>
      </c>
      <c r="W55" t="n">
        <v>2416.421</v>
      </c>
      <c r="X55" t="n">
        <v>3228.692</v>
      </c>
      <c r="Y55" t="n">
        <v>2076.689</v>
      </c>
      <c r="Z55" t="n">
        <v>2918.074</v>
      </c>
      <c r="AA55" t="n">
        <v>2374.268</v>
      </c>
      <c r="AB55" t="n">
        <v>1905.159</v>
      </c>
      <c r="AC55" t="n">
        <v>3027.243</v>
      </c>
      <c r="AD55" t="n">
        <v>1293.528</v>
      </c>
      <c r="AE55" t="n">
        <v>2045.771</v>
      </c>
      <c r="AF55" t="n">
        <v>1248.638</v>
      </c>
      <c r="AG55" t="n">
        <v>1315.669</v>
      </c>
      <c r="AH55" t="n">
        <v>1471.082</v>
      </c>
      <c r="AI55" t="n">
        <v>1366.149</v>
      </c>
      <c r="AJ55" t="n">
        <v>1611.672</v>
      </c>
      <c r="AK55" t="n">
        <v>2377.987</v>
      </c>
      <c r="AL55" t="n">
        <v>1561.676</v>
      </c>
      <c r="AM55" t="n">
        <v>1472.604</v>
      </c>
      <c r="AN55" t="n">
        <v>5279.855</v>
      </c>
      <c r="AO55" t="n">
        <v>1828.972</v>
      </c>
      <c r="AP55" t="n">
        <v>1559.61</v>
      </c>
      <c r="AQ55" t="n">
        <v>2848.132</v>
      </c>
      <c r="AR55" t="n">
        <v>1167.248</v>
      </c>
      <c r="AS55" t="n">
        <v>892.3339999999999</v>
      </c>
      <c r="AT55" t="n">
        <v>2093.46</v>
      </c>
      <c r="AU55" t="n">
        <v>697.853</v>
      </c>
      <c r="AV55" t="n">
        <v>538.897</v>
      </c>
      <c r="AW55" t="n">
        <v>6524.218</v>
      </c>
      <c r="AX55" t="n">
        <v>1280.115</v>
      </c>
      <c r="AY55" t="n">
        <v>626.3920000000001</v>
      </c>
      <c r="AZ55" t="n">
        <v>500.821</v>
      </c>
      <c r="BA55" t="n">
        <v>614.877</v>
      </c>
      <c r="BB55" t="n">
        <v>609.752</v>
      </c>
      <c r="BC55" t="n">
        <v>722.4400000000001</v>
      </c>
      <c r="BD55" t="n">
        <v>754.186</v>
      </c>
      <c r="BE55" t="n">
        <v>775.254</v>
      </c>
      <c r="BF55" t="n">
        <v>665.577</v>
      </c>
      <c r="BG55" t="n">
        <v>594.419</v>
      </c>
      <c r="BH55" t="n">
        <v>583.226</v>
      </c>
      <c r="BI55" t="n">
        <v>672.742</v>
      </c>
      <c r="BJ55" t="n">
        <v>547.821</v>
      </c>
      <c r="BK55" t="n">
        <v>544.3869999999999</v>
      </c>
      <c r="BL55" t="n">
        <v>277.263</v>
      </c>
      <c r="BM55" t="n">
        <v>276.612</v>
      </c>
      <c r="BN55" t="n">
        <v>418.045</v>
      </c>
      <c r="BO55" t="n">
        <v>502.185</v>
      </c>
      <c r="BP55" t="n">
        <v>506.105</v>
      </c>
      <c r="BQ55" t="n">
        <v>571.019</v>
      </c>
      <c r="BR55" t="n">
        <v>188.355</v>
      </c>
      <c r="BS55" t="n">
        <v>181.868</v>
      </c>
      <c r="BT55" t="n">
        <v>179.133</v>
      </c>
      <c r="BU55" t="n">
        <v>673.997</v>
      </c>
      <c r="BV55" t="n">
        <v>563.457</v>
      </c>
    </row>
    <row r="56">
      <c r="A56" t="inlineStr">
        <is>
          <t>Chelidonichthys lucerna</t>
        </is>
      </c>
      <c r="B56" t="inlineStr">
        <is>
          <t>Tub gurnard</t>
        </is>
      </c>
      <c r="C56" t="inlineStr">
        <is>
          <t>Medium demersals (30 - 89 cm)</t>
        </is>
      </c>
      <c r="D56" t="inlineStr">
        <is>
          <t>Scorpionfishes</t>
        </is>
      </c>
      <c r="E56" t="n">
        <v>761.198</v>
      </c>
      <c r="F56" t="n">
        <v>669.148</v>
      </c>
      <c r="G56" t="n">
        <v>584.226</v>
      </c>
      <c r="H56" t="n">
        <v>707.947</v>
      </c>
      <c r="I56" t="n">
        <v>609.768</v>
      </c>
      <c r="J56" t="n">
        <v>611.4640000000001</v>
      </c>
      <c r="K56" t="n">
        <v>518.575</v>
      </c>
      <c r="L56" t="n">
        <v>553.259</v>
      </c>
      <c r="M56" t="n">
        <v>591.263</v>
      </c>
      <c r="N56" t="n">
        <v>736.611</v>
      </c>
      <c r="O56" t="n">
        <v>727.025</v>
      </c>
      <c r="P56" t="n">
        <v>868.052</v>
      </c>
      <c r="Q56" t="n">
        <v>876.804</v>
      </c>
      <c r="R56" t="n">
        <v>756.171</v>
      </c>
      <c r="S56" t="n">
        <v>634.914</v>
      </c>
      <c r="T56" t="n">
        <v>718.638</v>
      </c>
      <c r="U56" t="n">
        <v>1007.652</v>
      </c>
      <c r="V56" t="n">
        <v>855.276</v>
      </c>
      <c r="W56" t="n">
        <v>1222.261</v>
      </c>
      <c r="X56" t="n">
        <v>1251.102</v>
      </c>
      <c r="Y56" t="n">
        <v>1218.536</v>
      </c>
      <c r="Z56" t="n">
        <v>1130.159</v>
      </c>
      <c r="AA56" t="n">
        <v>1253.336</v>
      </c>
      <c r="AB56" t="n">
        <v>1319.146</v>
      </c>
      <c r="AC56" t="n">
        <v>1198.543</v>
      </c>
      <c r="AD56" t="n">
        <v>1198.561</v>
      </c>
      <c r="AE56" t="n">
        <v>980.585</v>
      </c>
      <c r="AF56" t="n">
        <v>987.925</v>
      </c>
      <c r="AG56" t="n">
        <v>735.782</v>
      </c>
      <c r="AH56" t="n">
        <v>907.048</v>
      </c>
      <c r="AI56" t="n">
        <v>940.671</v>
      </c>
      <c r="AJ56" t="n">
        <v>949.626</v>
      </c>
      <c r="AK56" t="n">
        <v>1213.141</v>
      </c>
      <c r="AL56" t="n">
        <v>1182.799</v>
      </c>
      <c r="AM56" t="n">
        <v>1347.597</v>
      </c>
      <c r="AN56" t="n">
        <v>1222.967</v>
      </c>
      <c r="AO56" t="n">
        <v>1239.55</v>
      </c>
      <c r="AP56" t="n">
        <v>1140.888</v>
      </c>
      <c r="AQ56" t="n">
        <v>1114.889</v>
      </c>
      <c r="AR56" t="n">
        <v>1327.422</v>
      </c>
      <c r="AS56" t="n">
        <v>1339.859</v>
      </c>
      <c r="AT56" t="n">
        <v>1138.924</v>
      </c>
      <c r="AU56" t="n">
        <v>962.471</v>
      </c>
      <c r="AV56" t="n">
        <v>970.778</v>
      </c>
      <c r="AW56" t="n">
        <v>1084.664</v>
      </c>
      <c r="AX56" t="n">
        <v>964.245</v>
      </c>
      <c r="AY56" t="n">
        <v>704.631</v>
      </c>
      <c r="AZ56" t="n">
        <v>594.758</v>
      </c>
      <c r="BA56" t="n">
        <v>632.143</v>
      </c>
      <c r="BB56" t="n">
        <v>644.04</v>
      </c>
      <c r="BC56" t="n">
        <v>2005.439</v>
      </c>
      <c r="BD56" t="n">
        <v>802.999</v>
      </c>
      <c r="BE56" t="n">
        <v>2198.668</v>
      </c>
      <c r="BF56" t="n">
        <v>1804.256</v>
      </c>
      <c r="BG56" t="n">
        <v>1984.383</v>
      </c>
      <c r="BH56" t="n">
        <v>2033.558</v>
      </c>
      <c r="BI56" t="n">
        <v>2087.182</v>
      </c>
      <c r="BJ56" t="n">
        <v>2286.864</v>
      </c>
      <c r="BK56" t="n">
        <v>1792.074</v>
      </c>
      <c r="BL56" t="n">
        <v>2033.231</v>
      </c>
      <c r="BM56" t="n">
        <v>594.448</v>
      </c>
      <c r="BN56" t="n">
        <v>1814.308</v>
      </c>
      <c r="BO56" t="n">
        <v>1782.261</v>
      </c>
      <c r="BP56" t="n">
        <v>2052.248</v>
      </c>
      <c r="BQ56" t="n">
        <v>2500.22</v>
      </c>
      <c r="BR56" t="n">
        <v>3087.311</v>
      </c>
      <c r="BS56" t="n">
        <v>4059.017</v>
      </c>
      <c r="BT56" t="n">
        <v>3679.62</v>
      </c>
      <c r="BU56" t="n">
        <v>2772.923</v>
      </c>
      <c r="BV56" t="n">
        <v>2346.448</v>
      </c>
    </row>
    <row r="57">
      <c r="A57" t="inlineStr">
        <is>
          <t>Scophthalmus rhombus</t>
        </is>
      </c>
      <c r="B57" t="inlineStr">
        <is>
          <t>Brill</t>
        </is>
      </c>
      <c r="C57" t="inlineStr">
        <is>
          <t>Small to medium flatfishes (&lt;90 cm)</t>
        </is>
      </c>
      <c r="D57" t="inlineStr">
        <is>
          <t>Flatfishes</t>
        </is>
      </c>
      <c r="E57" t="n">
        <v>897.222</v>
      </c>
      <c r="F57" t="n">
        <v>1024.098</v>
      </c>
      <c r="G57" t="n">
        <v>950.8630000000001</v>
      </c>
      <c r="H57" t="n">
        <v>992.744</v>
      </c>
      <c r="I57" t="n">
        <v>896.3869999999999</v>
      </c>
      <c r="J57" t="n">
        <v>924.204</v>
      </c>
      <c r="K57" t="n">
        <v>875.904</v>
      </c>
      <c r="L57" t="n">
        <v>725.015</v>
      </c>
      <c r="M57" t="n">
        <v>814.806</v>
      </c>
      <c r="N57" t="n">
        <v>791</v>
      </c>
      <c r="O57" t="n">
        <v>969.793</v>
      </c>
      <c r="P57" t="n">
        <v>1058.839</v>
      </c>
      <c r="Q57" t="n">
        <v>954.878</v>
      </c>
      <c r="R57" t="n">
        <v>853.254</v>
      </c>
      <c r="S57" t="n">
        <v>765.542</v>
      </c>
      <c r="T57" t="n">
        <v>803.405</v>
      </c>
      <c r="U57" t="n">
        <v>863.145</v>
      </c>
      <c r="V57" t="n">
        <v>732.36</v>
      </c>
      <c r="W57" t="n">
        <v>837.9349999999999</v>
      </c>
      <c r="X57" t="n">
        <v>850.847</v>
      </c>
      <c r="Y57" t="n">
        <v>819.034</v>
      </c>
      <c r="Z57" t="n">
        <v>1288.08</v>
      </c>
      <c r="AA57" t="n">
        <v>1206.459</v>
      </c>
      <c r="AB57" t="n">
        <v>1220.36</v>
      </c>
      <c r="AC57" t="n">
        <v>1494.097</v>
      </c>
      <c r="AD57" t="n">
        <v>1527.703</v>
      </c>
      <c r="AE57" t="n">
        <v>1546.68</v>
      </c>
      <c r="AF57" t="n">
        <v>1963.795</v>
      </c>
      <c r="AG57" t="n">
        <v>1728.539</v>
      </c>
      <c r="AH57" t="n">
        <v>1671.223</v>
      </c>
      <c r="AI57" t="n">
        <v>1201.597</v>
      </c>
      <c r="AJ57" t="n">
        <v>1331.447</v>
      </c>
      <c r="AK57" t="n">
        <v>1422.409</v>
      </c>
      <c r="AL57" t="n">
        <v>1586.289</v>
      </c>
      <c r="AM57" t="n">
        <v>497.163</v>
      </c>
      <c r="AN57" t="n">
        <v>525.929</v>
      </c>
      <c r="AO57" t="n">
        <v>448.028</v>
      </c>
      <c r="AP57" t="n">
        <v>431.363</v>
      </c>
      <c r="AQ57" t="n">
        <v>499.092</v>
      </c>
      <c r="AR57" t="n">
        <v>623.867</v>
      </c>
      <c r="AS57" t="n">
        <v>1141.584</v>
      </c>
      <c r="AT57" t="n">
        <v>1837.652</v>
      </c>
      <c r="AU57" t="n">
        <v>1997.624</v>
      </c>
      <c r="AV57" t="n">
        <v>2712.312</v>
      </c>
      <c r="AW57" t="n">
        <v>2224.349</v>
      </c>
      <c r="AX57" t="n">
        <v>1688.834</v>
      </c>
      <c r="AY57" t="n">
        <v>1403.163</v>
      </c>
      <c r="AZ57" t="n">
        <v>1084.68</v>
      </c>
      <c r="BA57" t="n">
        <v>1440.683</v>
      </c>
      <c r="BB57" t="n">
        <v>1492.096</v>
      </c>
      <c r="BC57" t="n">
        <v>1687.931</v>
      </c>
      <c r="BD57" t="n">
        <v>1699.002</v>
      </c>
      <c r="BE57" t="n">
        <v>1409.928</v>
      </c>
      <c r="BF57" t="n">
        <v>1508.192</v>
      </c>
      <c r="BG57" t="n">
        <v>1439.643</v>
      </c>
      <c r="BH57" t="n">
        <v>1320.046</v>
      </c>
      <c r="BI57" t="n">
        <v>1353.656</v>
      </c>
      <c r="BJ57" t="n">
        <v>1447.281</v>
      </c>
      <c r="BK57" t="n">
        <v>1270.176</v>
      </c>
      <c r="BL57" t="n">
        <v>1384.773</v>
      </c>
      <c r="BM57" t="n">
        <v>1688.838</v>
      </c>
      <c r="BN57" t="n">
        <v>1681.942</v>
      </c>
      <c r="BO57" t="n">
        <v>1687.281</v>
      </c>
      <c r="BP57" t="n">
        <v>1527.852</v>
      </c>
      <c r="BQ57" t="n">
        <v>1358.771</v>
      </c>
      <c r="BR57" t="n">
        <v>1801.837</v>
      </c>
      <c r="BS57" t="n">
        <v>1652.385</v>
      </c>
      <c r="BT57" t="n">
        <v>1649.875</v>
      </c>
      <c r="BU57" t="n">
        <v>1407.315</v>
      </c>
      <c r="BV57" t="n">
        <v>1586.269</v>
      </c>
    </row>
    <row r="58">
      <c r="A58" t="inlineStr">
        <is>
          <t>Gadidae</t>
        </is>
      </c>
      <c r="B58" t="inlineStr">
        <is>
          <t>Cods, haddocks</t>
        </is>
      </c>
      <c r="C58" t="inlineStr">
        <is>
          <t>Medium demersals (30 - 89 cm)</t>
        </is>
      </c>
      <c r="D58" t="inlineStr">
        <is>
          <t>Cod-likes</t>
        </is>
      </c>
      <c r="E58" t="n">
        <v>1084.757</v>
      </c>
      <c r="F58" t="n">
        <v>2401.378</v>
      </c>
      <c r="G58" t="n">
        <v>1006.521</v>
      </c>
      <c r="H58" t="n">
        <v>1115.145</v>
      </c>
      <c r="I58" t="n">
        <v>1456.22</v>
      </c>
      <c r="J58" t="n">
        <v>1542.981</v>
      </c>
      <c r="K58" t="n">
        <v>1454.022</v>
      </c>
      <c r="L58" t="n">
        <v>1391.91</v>
      </c>
      <c r="M58" t="n">
        <v>1385.503</v>
      </c>
      <c r="N58" t="n">
        <v>1380.319</v>
      </c>
      <c r="O58" t="n">
        <v>471.095</v>
      </c>
      <c r="P58" t="n">
        <v>1580.03</v>
      </c>
      <c r="Q58" t="n">
        <v>445.268</v>
      </c>
      <c r="R58" t="n">
        <v>547.8200000000001</v>
      </c>
      <c r="S58" t="n">
        <v>2138.232</v>
      </c>
      <c r="T58" t="n">
        <v>2322.273</v>
      </c>
      <c r="U58" t="n">
        <v>1626.866</v>
      </c>
      <c r="V58" t="n">
        <v>1407.267</v>
      </c>
      <c r="W58" t="n">
        <v>2389.72</v>
      </c>
      <c r="X58" t="n">
        <v>1815.365</v>
      </c>
      <c r="Y58" t="n">
        <v>2173.424</v>
      </c>
      <c r="Z58" t="n">
        <v>2257.754</v>
      </c>
      <c r="AA58" t="n">
        <v>2025.042</v>
      </c>
      <c r="AB58" t="n">
        <v>1994.026</v>
      </c>
      <c r="AC58" t="n">
        <v>1822.542</v>
      </c>
      <c r="AD58" t="n">
        <v>1657.694</v>
      </c>
      <c r="AE58" t="n">
        <v>1735.62</v>
      </c>
      <c r="AF58" t="n">
        <v>1786.428</v>
      </c>
      <c r="AG58" t="n">
        <v>1878.14</v>
      </c>
      <c r="AH58" t="n">
        <v>2113.507</v>
      </c>
      <c r="AI58" t="n">
        <v>1946.62</v>
      </c>
      <c r="AJ58" t="n">
        <v>2282.131</v>
      </c>
      <c r="AK58" t="n">
        <v>2331.948</v>
      </c>
      <c r="AL58" t="n">
        <v>2162.114</v>
      </c>
      <c r="AM58" t="n">
        <v>2090.774</v>
      </c>
      <c r="AN58" t="n">
        <v>1680.833</v>
      </c>
      <c r="AO58" t="n">
        <v>1605.072</v>
      </c>
      <c r="AP58" t="n">
        <v>1573.061</v>
      </c>
      <c r="AQ58" t="n">
        <v>1426.403</v>
      </c>
      <c r="AR58" t="n">
        <v>1241.611</v>
      </c>
      <c r="AS58" t="n">
        <v>1138.127</v>
      </c>
      <c r="AT58" t="n">
        <v>778.899</v>
      </c>
      <c r="AU58" t="n">
        <v>605.325</v>
      </c>
      <c r="AV58" t="n">
        <v>701.183</v>
      </c>
      <c r="AW58" t="n">
        <v>625.347</v>
      </c>
      <c r="AX58" t="n">
        <v>869.665</v>
      </c>
      <c r="AY58" t="n">
        <v>652.468</v>
      </c>
      <c r="AZ58" t="n">
        <v>636.342</v>
      </c>
      <c r="BA58" t="n">
        <v>656.162</v>
      </c>
      <c r="BB58" t="n">
        <v>768.569</v>
      </c>
      <c r="BC58" t="n">
        <v>910.495</v>
      </c>
      <c r="BD58" t="n">
        <v>941.177</v>
      </c>
      <c r="BE58" t="n">
        <v>988.417</v>
      </c>
      <c r="BF58" t="n">
        <v>822.111</v>
      </c>
      <c r="BG58" t="n">
        <v>708.331</v>
      </c>
      <c r="BH58" t="n">
        <v>685.737</v>
      </c>
      <c r="BI58" t="n">
        <v>818.383</v>
      </c>
      <c r="BJ58" t="n">
        <v>693.14</v>
      </c>
      <c r="BK58" t="n">
        <v>692.272</v>
      </c>
      <c r="BL58" t="n">
        <v>374.514</v>
      </c>
      <c r="BM58" t="n">
        <v>324.8</v>
      </c>
      <c r="BN58" t="n">
        <v>580.228</v>
      </c>
      <c r="BO58" t="n">
        <v>661.659</v>
      </c>
      <c r="BP58" t="n">
        <v>632.626</v>
      </c>
      <c r="BQ58" t="n">
        <v>716.005</v>
      </c>
      <c r="BR58" t="n">
        <v>262.402</v>
      </c>
      <c r="BS58" t="n">
        <v>253.931</v>
      </c>
      <c r="BT58" t="n">
        <v>250.474</v>
      </c>
      <c r="BU58" t="n">
        <v>855.331</v>
      </c>
      <c r="BV58" t="n">
        <v>719.349</v>
      </c>
    </row>
    <row r="59">
      <c r="A59" t="inlineStr">
        <is>
          <t>Lophiidae</t>
        </is>
      </c>
      <c r="B59" t="inlineStr">
        <is>
          <t>Goosefishes</t>
        </is>
      </c>
      <c r="C59" t="inlineStr">
        <is>
          <t>Medium bathydemersals (30 - 89 cm)</t>
        </is>
      </c>
      <c r="D59" t="inlineStr">
        <is>
          <t>Other fishes &amp; inverts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68.843</v>
      </c>
      <c r="X59" t="n">
        <v>73.095</v>
      </c>
      <c r="Y59" t="n">
        <v>66.20399999999999</v>
      </c>
      <c r="Z59" t="n">
        <v>48.017</v>
      </c>
      <c r="AA59" t="n">
        <v>67.617</v>
      </c>
      <c r="AB59" t="n">
        <v>438.833</v>
      </c>
      <c r="AC59" t="n">
        <v>206.638</v>
      </c>
      <c r="AD59" t="n">
        <v>210.701</v>
      </c>
      <c r="AE59" t="n">
        <v>386.467</v>
      </c>
      <c r="AF59" t="n">
        <v>304.148</v>
      </c>
      <c r="AG59" t="n">
        <v>324.471</v>
      </c>
      <c r="AH59" t="n">
        <v>327.84</v>
      </c>
      <c r="AI59" t="n">
        <v>299.113</v>
      </c>
      <c r="AJ59" t="n">
        <v>199.971</v>
      </c>
      <c r="AK59" t="n">
        <v>249.635</v>
      </c>
      <c r="AL59" t="n">
        <v>319.105</v>
      </c>
      <c r="AM59" t="n">
        <v>604.2430000000001</v>
      </c>
      <c r="AN59" t="n">
        <v>431.828</v>
      </c>
      <c r="AO59" t="n">
        <v>424.77</v>
      </c>
      <c r="AP59" t="n">
        <v>433.001</v>
      </c>
      <c r="AQ59" t="n">
        <v>343.117</v>
      </c>
      <c r="AR59" t="n">
        <v>111.213</v>
      </c>
      <c r="AS59" t="n">
        <v>127.652</v>
      </c>
      <c r="AT59" t="n">
        <v>111.739</v>
      </c>
      <c r="AU59" t="n">
        <v>326.121</v>
      </c>
      <c r="AV59" t="n">
        <v>213.146</v>
      </c>
      <c r="AW59" t="n">
        <v>169.24</v>
      </c>
      <c r="AX59" t="n">
        <v>172.844</v>
      </c>
      <c r="AY59" t="n">
        <v>176.577</v>
      </c>
      <c r="AZ59" t="n">
        <v>127.477</v>
      </c>
      <c r="BA59" t="n">
        <v>109.021</v>
      </c>
      <c r="BB59" t="n">
        <v>551.3150000000001</v>
      </c>
      <c r="BC59" t="n">
        <v>303.295</v>
      </c>
      <c r="BD59" t="n">
        <v>175.467</v>
      </c>
      <c r="BE59" t="n">
        <v>174.276</v>
      </c>
      <c r="BF59" t="n">
        <v>160.382</v>
      </c>
      <c r="BG59" t="n">
        <v>136.315</v>
      </c>
      <c r="BH59" t="n">
        <v>214.245</v>
      </c>
      <c r="BI59" t="n">
        <v>417.39</v>
      </c>
      <c r="BJ59" t="n">
        <v>494.27</v>
      </c>
      <c r="BK59" t="n">
        <v>665.949</v>
      </c>
      <c r="BL59" t="n">
        <v>476.175</v>
      </c>
      <c r="BM59" t="n">
        <v>366.988</v>
      </c>
      <c r="BN59" t="n">
        <v>6896.312</v>
      </c>
      <c r="BO59" t="n">
        <v>5574.764</v>
      </c>
      <c r="BP59" t="n">
        <v>5358.011</v>
      </c>
      <c r="BQ59" t="n">
        <v>6745.258</v>
      </c>
      <c r="BR59" t="n">
        <v>9165.049999999999</v>
      </c>
      <c r="BS59" t="n">
        <v>10329.694</v>
      </c>
      <c r="BT59" t="n">
        <v>11351.205</v>
      </c>
      <c r="BU59" t="n">
        <v>10478.472</v>
      </c>
      <c r="BV59" t="n">
        <v>8915.305</v>
      </c>
    </row>
    <row r="60">
      <c r="A60" t="inlineStr">
        <is>
          <t>Portunidae</t>
        </is>
      </c>
      <c r="B60" t="inlineStr">
        <is>
          <t>Swimming crabs</t>
        </is>
      </c>
      <c r="C60" t="inlineStr">
        <is>
          <t>Lobsters, crabs</t>
        </is>
      </c>
      <c r="D60" t="inlineStr">
        <is>
          <t>Crustaceans</t>
        </is>
      </c>
      <c r="E60" t="n">
        <v>531.63</v>
      </c>
      <c r="F60" t="n">
        <v>506.993</v>
      </c>
      <c r="G60" t="n">
        <v>532.141</v>
      </c>
      <c r="H60" t="n">
        <v>615.244</v>
      </c>
      <c r="I60" t="n">
        <v>536.631</v>
      </c>
      <c r="J60" t="n">
        <v>468.782</v>
      </c>
      <c r="K60" t="n">
        <v>512.954</v>
      </c>
      <c r="L60" t="n">
        <v>590.941</v>
      </c>
      <c r="M60" t="n">
        <v>639.309</v>
      </c>
      <c r="N60" t="n">
        <v>655.24</v>
      </c>
      <c r="O60" t="n">
        <v>754.481</v>
      </c>
      <c r="P60" t="n">
        <v>890.567</v>
      </c>
      <c r="Q60" t="n">
        <v>1048.699</v>
      </c>
      <c r="R60" t="n">
        <v>1062.997</v>
      </c>
      <c r="S60" t="n">
        <v>954.535</v>
      </c>
      <c r="T60" t="n">
        <v>1040.673</v>
      </c>
      <c r="U60" t="n">
        <v>1443.583</v>
      </c>
      <c r="V60" t="n">
        <v>1011.941</v>
      </c>
      <c r="W60" t="n">
        <v>1482.359</v>
      </c>
      <c r="X60" t="n">
        <v>1748.136</v>
      </c>
      <c r="Y60" t="n">
        <v>1775.178</v>
      </c>
      <c r="Z60" t="n">
        <v>1791.804</v>
      </c>
      <c r="AA60" t="n">
        <v>1975.923</v>
      </c>
      <c r="AB60" t="n">
        <v>2108.036</v>
      </c>
      <c r="AC60" t="n">
        <v>1971.932</v>
      </c>
      <c r="AD60" t="n">
        <v>1877.075</v>
      </c>
      <c r="AE60" t="n">
        <v>1629.034</v>
      </c>
      <c r="AF60" t="n">
        <v>1528.306</v>
      </c>
      <c r="AG60" t="n">
        <v>1021.542</v>
      </c>
      <c r="AH60" t="n">
        <v>1325.187</v>
      </c>
      <c r="AI60" t="n">
        <v>1495.912</v>
      </c>
      <c r="AJ60" t="n">
        <v>1568.848</v>
      </c>
      <c r="AK60" t="n">
        <v>2046.189</v>
      </c>
      <c r="AL60" t="n">
        <v>2006.059</v>
      </c>
      <c r="AM60" t="n">
        <v>2183.191</v>
      </c>
      <c r="AN60" t="n">
        <v>2408.178</v>
      </c>
      <c r="AO60" t="n">
        <v>2262.134</v>
      </c>
      <c r="AP60" t="n">
        <v>2129.226</v>
      </c>
      <c r="AQ60" t="n">
        <v>2125.054</v>
      </c>
      <c r="AR60" t="n">
        <v>2277.709</v>
      </c>
      <c r="AS60" t="n">
        <v>2248.933</v>
      </c>
      <c r="AT60" t="n">
        <v>2034.347</v>
      </c>
      <c r="AU60" t="n">
        <v>1602.064</v>
      </c>
      <c r="AV60" t="n">
        <v>1579.761</v>
      </c>
      <c r="AW60" t="n">
        <v>1631.8</v>
      </c>
      <c r="AX60" t="n">
        <v>1479.135</v>
      </c>
      <c r="AY60" t="n">
        <v>1136.727</v>
      </c>
      <c r="AZ60" t="n">
        <v>988.793</v>
      </c>
      <c r="BA60" t="n">
        <v>1013.683</v>
      </c>
      <c r="BB60" t="n">
        <v>1222.526</v>
      </c>
      <c r="BC60" t="n">
        <v>1116.537</v>
      </c>
      <c r="BD60" t="n">
        <v>1062.871</v>
      </c>
      <c r="BE60" t="n">
        <v>912.616</v>
      </c>
      <c r="BF60" t="n">
        <v>884.019</v>
      </c>
      <c r="BG60" t="n">
        <v>786.551</v>
      </c>
      <c r="BH60" t="n">
        <v>741.424</v>
      </c>
      <c r="BI60" t="n">
        <v>699.7380000000001</v>
      </c>
      <c r="BJ60" t="n">
        <v>704.872</v>
      </c>
      <c r="BK60" t="n">
        <v>670.253</v>
      </c>
      <c r="BL60" t="n">
        <v>768.984</v>
      </c>
      <c r="BM60" t="n">
        <v>885.88</v>
      </c>
      <c r="BN60" t="n">
        <v>828.62</v>
      </c>
      <c r="BO60" t="n">
        <v>913.48</v>
      </c>
      <c r="BP60" t="n">
        <v>946.6609999999999</v>
      </c>
      <c r="BQ60" t="n">
        <v>819.407</v>
      </c>
      <c r="BR60" t="n">
        <v>923.248</v>
      </c>
      <c r="BS60" t="n">
        <v>988.602</v>
      </c>
      <c r="BT60" t="n">
        <v>465.026</v>
      </c>
      <c r="BU60" t="n">
        <v>676.2619999999999</v>
      </c>
      <c r="BV60" t="n">
        <v>538.22</v>
      </c>
    </row>
    <row r="61">
      <c r="A61" t="inlineStr">
        <is>
          <t>Callionymus lyra</t>
        </is>
      </c>
      <c r="B61" t="inlineStr">
        <is>
          <t>Dragonet</t>
        </is>
      </c>
      <c r="C61" t="inlineStr">
        <is>
          <t>Large reef assoc. fish (&gt;=90 cm)</t>
        </is>
      </c>
      <c r="D61" t="inlineStr">
        <is>
          <t>Perch-likes</t>
        </is>
      </c>
      <c r="E61" t="n">
        <v>497.446</v>
      </c>
      <c r="F61" t="n">
        <v>468.536</v>
      </c>
      <c r="G61" t="n">
        <v>493.592</v>
      </c>
      <c r="H61" t="n">
        <v>570.002</v>
      </c>
      <c r="I61" t="n">
        <v>498.707</v>
      </c>
      <c r="J61" t="n">
        <v>438.133</v>
      </c>
      <c r="K61" t="n">
        <v>480.134</v>
      </c>
      <c r="L61" t="n">
        <v>559.605</v>
      </c>
      <c r="M61" t="n">
        <v>600.401</v>
      </c>
      <c r="N61" t="n">
        <v>613.629</v>
      </c>
      <c r="O61" t="n">
        <v>703.109</v>
      </c>
      <c r="P61" t="n">
        <v>826.178</v>
      </c>
      <c r="Q61" t="n">
        <v>965.523</v>
      </c>
      <c r="R61" t="n">
        <v>982.133</v>
      </c>
      <c r="S61" t="n">
        <v>888.789</v>
      </c>
      <c r="T61" t="n">
        <v>964.953</v>
      </c>
      <c r="U61" t="n">
        <v>1334.609</v>
      </c>
      <c r="V61" t="n">
        <v>951.354</v>
      </c>
      <c r="W61" t="n">
        <v>1370.532</v>
      </c>
      <c r="X61" t="n">
        <v>1605.13</v>
      </c>
      <c r="Y61" t="n">
        <v>1630.465</v>
      </c>
      <c r="Z61" t="n">
        <v>1636.511</v>
      </c>
      <c r="AA61" t="n">
        <v>1808.117</v>
      </c>
      <c r="AB61" t="n">
        <v>1930.517</v>
      </c>
      <c r="AC61" t="n">
        <v>1795.866</v>
      </c>
      <c r="AD61" t="n">
        <v>1713.005</v>
      </c>
      <c r="AE61" t="n">
        <v>1502.746</v>
      </c>
      <c r="AF61" t="n">
        <v>1418.714</v>
      </c>
      <c r="AG61" t="n">
        <v>961.454</v>
      </c>
      <c r="AH61" t="n">
        <v>1228.959</v>
      </c>
      <c r="AI61" t="n">
        <v>1379.861</v>
      </c>
      <c r="AJ61" t="n">
        <v>1439.571</v>
      </c>
      <c r="AK61" t="n">
        <v>1874.136</v>
      </c>
      <c r="AL61" t="n">
        <v>1829.459</v>
      </c>
      <c r="AM61" t="n">
        <v>1969.209</v>
      </c>
      <c r="AN61" t="n">
        <v>2213.405</v>
      </c>
      <c r="AO61" t="n">
        <v>2028.133</v>
      </c>
      <c r="AP61" t="n">
        <v>2001.943</v>
      </c>
      <c r="AQ61" t="n">
        <v>1996.573</v>
      </c>
      <c r="AR61" t="n">
        <v>2111.176</v>
      </c>
      <c r="AS61" t="n">
        <v>2153.624</v>
      </c>
      <c r="AT61" t="n">
        <v>1951.418</v>
      </c>
      <c r="AU61" t="n">
        <v>1574.522</v>
      </c>
      <c r="AV61" t="n">
        <v>1505.62</v>
      </c>
      <c r="AW61" t="n">
        <v>1587.739</v>
      </c>
      <c r="AX61" t="n">
        <v>1428.799</v>
      </c>
      <c r="AY61" t="n">
        <v>1118.394</v>
      </c>
      <c r="AZ61" t="n">
        <v>984.776</v>
      </c>
      <c r="BA61" t="n">
        <v>987.527</v>
      </c>
      <c r="BB61" t="n">
        <v>1188.717</v>
      </c>
      <c r="BC61" t="n">
        <v>1093.036</v>
      </c>
      <c r="BD61" t="n">
        <v>1049.524</v>
      </c>
      <c r="BE61" t="n">
        <v>914.376</v>
      </c>
      <c r="BF61" t="n">
        <v>885.1130000000001</v>
      </c>
      <c r="BG61" t="n">
        <v>813.027</v>
      </c>
      <c r="BH61" t="n">
        <v>763.107</v>
      </c>
      <c r="BI61" t="n">
        <v>772.5170000000001</v>
      </c>
      <c r="BJ61" t="n">
        <v>774.751</v>
      </c>
      <c r="BK61" t="n">
        <v>737.051</v>
      </c>
      <c r="BL61" t="n">
        <v>836.753</v>
      </c>
      <c r="BM61" t="n">
        <v>926.216</v>
      </c>
      <c r="BN61" t="n">
        <v>758.7809999999999</v>
      </c>
      <c r="BO61" t="n">
        <v>834.818</v>
      </c>
      <c r="BP61" t="n">
        <v>869.6369999999999</v>
      </c>
      <c r="BQ61" t="n">
        <v>751.4450000000001</v>
      </c>
      <c r="BR61" t="n">
        <v>865.019</v>
      </c>
      <c r="BS61" t="n">
        <v>925.134</v>
      </c>
      <c r="BT61" t="n">
        <v>437.471</v>
      </c>
      <c r="BU61" t="n">
        <v>639.148</v>
      </c>
      <c r="BV61" t="n">
        <v>505.245</v>
      </c>
    </row>
    <row r="62">
      <c r="A62" t="inlineStr">
        <is>
          <t>Lepidorhombus whiffiagonis</t>
        </is>
      </c>
      <c r="B62" t="inlineStr">
        <is>
          <t>Megrim</t>
        </is>
      </c>
      <c r="C62" t="inlineStr">
        <is>
          <t>Small to medium flatfishes (&lt;90 cm)</t>
        </is>
      </c>
      <c r="D62" t="inlineStr">
        <is>
          <t>Flatfishes</t>
        </is>
      </c>
      <c r="E62" t="n">
        <v>769.371</v>
      </c>
      <c r="F62" t="n">
        <v>1093.513</v>
      </c>
      <c r="G62" t="n">
        <v>1141.123</v>
      </c>
      <c r="H62" t="n">
        <v>854.244</v>
      </c>
      <c r="I62" t="n">
        <v>956.145</v>
      </c>
      <c r="J62" t="n">
        <v>1300.811</v>
      </c>
      <c r="K62" t="n">
        <v>1166.453</v>
      </c>
      <c r="L62" t="n">
        <v>1164.223</v>
      </c>
      <c r="M62" t="n">
        <v>1068.585</v>
      </c>
      <c r="N62" t="n">
        <v>1266.547</v>
      </c>
      <c r="O62" t="n">
        <v>899.159</v>
      </c>
      <c r="P62" t="n">
        <v>931.191</v>
      </c>
      <c r="Q62" t="n">
        <v>699.831</v>
      </c>
      <c r="R62" t="n">
        <v>860.3200000000001</v>
      </c>
      <c r="S62" t="n">
        <v>1142.749</v>
      </c>
      <c r="T62" t="n">
        <v>799.369</v>
      </c>
      <c r="U62" t="n">
        <v>970.526</v>
      </c>
      <c r="V62" t="n">
        <v>874.577</v>
      </c>
      <c r="W62" t="n">
        <v>1313.814</v>
      </c>
      <c r="X62" t="n">
        <v>1251.685</v>
      </c>
      <c r="Y62" t="n">
        <v>531.453</v>
      </c>
      <c r="Z62" t="n">
        <v>543.516</v>
      </c>
      <c r="AA62" t="n">
        <v>703.803</v>
      </c>
      <c r="AB62" t="n">
        <v>590.998</v>
      </c>
      <c r="AC62" t="n">
        <v>578.716</v>
      </c>
      <c r="AD62" t="n">
        <v>391.498</v>
      </c>
      <c r="AE62" t="n">
        <v>353.455</v>
      </c>
      <c r="AF62" t="n">
        <v>557.716</v>
      </c>
      <c r="AG62" t="n">
        <v>596.346</v>
      </c>
      <c r="AH62" t="n">
        <v>650.985</v>
      </c>
      <c r="AI62" t="n">
        <v>764.679</v>
      </c>
      <c r="AJ62" t="n">
        <v>620.11</v>
      </c>
      <c r="AK62" t="n">
        <v>436.477</v>
      </c>
      <c r="AL62" t="n">
        <v>513.331</v>
      </c>
      <c r="AM62" t="n">
        <v>1117.924</v>
      </c>
      <c r="AN62" t="n">
        <v>1449.781</v>
      </c>
      <c r="AO62" t="n">
        <v>1021.896</v>
      </c>
      <c r="AP62" t="n">
        <v>1756.953</v>
      </c>
      <c r="AQ62" t="n">
        <v>1810.433</v>
      </c>
      <c r="AR62" t="n">
        <v>1449.822</v>
      </c>
      <c r="AS62" t="n">
        <v>1353.708</v>
      </c>
      <c r="AT62" t="n">
        <v>1410.108</v>
      </c>
      <c r="AU62" t="n">
        <v>1690.233</v>
      </c>
      <c r="AV62" t="n">
        <v>2038.208</v>
      </c>
      <c r="AW62" t="n">
        <v>2393.862</v>
      </c>
      <c r="AX62" t="n">
        <v>2651.745</v>
      </c>
      <c r="AY62" t="n">
        <v>3607.944</v>
      </c>
      <c r="AZ62" t="n">
        <v>3472.24</v>
      </c>
      <c r="BA62" t="n">
        <v>2990.815</v>
      </c>
      <c r="BB62" t="n">
        <v>2495.917</v>
      </c>
      <c r="BC62" t="n">
        <v>2337.179</v>
      </c>
      <c r="BD62" t="n">
        <v>2171.219</v>
      </c>
      <c r="BE62" t="n">
        <v>1882.453</v>
      </c>
      <c r="BF62" t="n">
        <v>1511.391</v>
      </c>
      <c r="BG62" t="n">
        <v>1471.786</v>
      </c>
      <c r="BH62" t="n">
        <v>1167.582</v>
      </c>
      <c r="BI62" t="n">
        <v>1600.792</v>
      </c>
      <c r="BJ62" t="n">
        <v>1757.575</v>
      </c>
      <c r="BK62" t="n">
        <v>248.636</v>
      </c>
      <c r="BL62" t="n">
        <v>312.123</v>
      </c>
      <c r="BM62" t="n">
        <v>260.065</v>
      </c>
      <c r="BN62" t="n">
        <v>217.285</v>
      </c>
      <c r="BO62" t="n">
        <v>295.012</v>
      </c>
      <c r="BP62" t="n">
        <v>402.857</v>
      </c>
      <c r="BQ62" t="n">
        <v>377.349</v>
      </c>
      <c r="BR62" t="n">
        <v>444.537</v>
      </c>
      <c r="BS62" t="n">
        <v>405.196</v>
      </c>
      <c r="BT62" t="n">
        <v>411.491</v>
      </c>
      <c r="BU62" t="n">
        <v>358.069</v>
      </c>
      <c r="BV62" t="n">
        <v>359.654</v>
      </c>
    </row>
    <row r="63">
      <c r="A63" t="inlineStr">
        <is>
          <t>Marine groundfishes not identified</t>
        </is>
      </c>
      <c r="B63" t="inlineStr">
        <is>
          <t>Groundfishes</t>
        </is>
      </c>
      <c r="C63" t="inlineStr">
        <is>
          <t>Medium demersals (30 - 89 cm)</t>
        </is>
      </c>
      <c r="D63" t="inlineStr">
        <is>
          <t>Other fishes &amp; inverts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0.994</v>
      </c>
      <c r="Y63" t="n">
        <v>0.994</v>
      </c>
      <c r="Z63" t="n">
        <v>37.757</v>
      </c>
      <c r="AA63" t="n">
        <v>0.994</v>
      </c>
      <c r="AB63" t="n">
        <v>0.248</v>
      </c>
      <c r="AC63" t="n">
        <v>0.248</v>
      </c>
      <c r="AD63" t="n">
        <v>0.248</v>
      </c>
      <c r="AE63" t="n">
        <v>0</v>
      </c>
      <c r="AF63" t="n">
        <v>0</v>
      </c>
      <c r="AG63" t="n">
        <v>31775.536</v>
      </c>
      <c r="AH63" t="n">
        <v>20590.093</v>
      </c>
      <c r="AI63" t="n">
        <v>22260.492</v>
      </c>
      <c r="AJ63" t="n">
        <v>0</v>
      </c>
      <c r="AK63" t="n">
        <v>53.586</v>
      </c>
      <c r="AL63" t="n">
        <v>2.349</v>
      </c>
      <c r="AM63" t="n">
        <v>0</v>
      </c>
      <c r="AN63" t="n">
        <v>16.887</v>
      </c>
      <c r="AO63" t="n">
        <v>31.569</v>
      </c>
      <c r="AP63" t="n">
        <v>3.331</v>
      </c>
      <c r="AQ63" t="n">
        <v>5.939</v>
      </c>
      <c r="AR63" t="n">
        <v>0.746</v>
      </c>
      <c r="AS63" t="n">
        <v>0.746</v>
      </c>
      <c r="AT63" t="n">
        <v>147.798</v>
      </c>
      <c r="AU63" t="n">
        <v>2.771</v>
      </c>
      <c r="AV63" t="n">
        <v>2.658</v>
      </c>
      <c r="AW63" t="n">
        <v>1.626</v>
      </c>
      <c r="AX63" t="n">
        <v>0.948</v>
      </c>
      <c r="AY63" t="n">
        <v>7.716</v>
      </c>
      <c r="AZ63" t="n">
        <v>1.016</v>
      </c>
      <c r="BA63" t="n">
        <v>4.99</v>
      </c>
      <c r="BB63" t="n">
        <v>1.347</v>
      </c>
      <c r="BC63" t="n">
        <v>49.376</v>
      </c>
      <c r="BD63" t="n">
        <v>0</v>
      </c>
      <c r="BE63" t="n">
        <v>0</v>
      </c>
      <c r="BF63" t="n">
        <v>0</v>
      </c>
      <c r="BG63" t="n">
        <v>0.404</v>
      </c>
      <c r="BH63" t="n">
        <v>0</v>
      </c>
      <c r="BI63" t="n">
        <v>0</v>
      </c>
      <c r="BJ63" t="n">
        <v>169.684</v>
      </c>
      <c r="BK63" t="n">
        <v>33.265</v>
      </c>
      <c r="BL63" t="n">
        <v>206.696</v>
      </c>
      <c r="BM63" t="n">
        <v>58.606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inlineStr">
        <is>
          <t>Scombridae</t>
        </is>
      </c>
      <c r="B64" t="inlineStr">
        <is>
          <t>Mackerels, tunas, bonitos</t>
        </is>
      </c>
      <c r="C64" t="inlineStr">
        <is>
          <t>Medium pelagics (30 - 89 cm)</t>
        </is>
      </c>
      <c r="D64" t="inlineStr">
        <is>
          <t>Perch-likes</t>
        </is>
      </c>
      <c r="E64" t="n">
        <v>1125.454</v>
      </c>
      <c r="F64" t="n">
        <v>2696.65</v>
      </c>
      <c r="G64" t="n">
        <v>1070.722</v>
      </c>
      <c r="H64" t="n">
        <v>1148.549</v>
      </c>
      <c r="I64" t="n">
        <v>1436.903</v>
      </c>
      <c r="J64" t="n">
        <v>1491.203</v>
      </c>
      <c r="K64" t="n">
        <v>1350.642</v>
      </c>
      <c r="L64" t="n">
        <v>1243.95</v>
      </c>
      <c r="M64" t="n">
        <v>1224.044</v>
      </c>
      <c r="N64" t="n">
        <v>1205.548</v>
      </c>
      <c r="O64" t="n">
        <v>465.079</v>
      </c>
      <c r="P64" t="n">
        <v>1342.493</v>
      </c>
      <c r="Q64" t="n">
        <v>514.658</v>
      </c>
      <c r="R64" t="n">
        <v>676.005</v>
      </c>
      <c r="S64" t="n">
        <v>1803.056</v>
      </c>
      <c r="T64" t="n">
        <v>1849.643</v>
      </c>
      <c r="U64" t="n">
        <v>1285.985</v>
      </c>
      <c r="V64" t="n">
        <v>1134.71</v>
      </c>
      <c r="W64" t="n">
        <v>1907.743</v>
      </c>
      <c r="X64" t="n">
        <v>1478.927</v>
      </c>
      <c r="Y64" t="n">
        <v>1718.342</v>
      </c>
      <c r="Z64" t="n">
        <v>1815.979</v>
      </c>
      <c r="AA64" t="n">
        <v>1611.587</v>
      </c>
      <c r="AB64" t="n">
        <v>1624.575</v>
      </c>
      <c r="AC64" t="n">
        <v>1524.745</v>
      </c>
      <c r="AD64" t="n">
        <v>1341.731</v>
      </c>
      <c r="AE64" t="n">
        <v>1417.001</v>
      </c>
      <c r="AF64" t="n">
        <v>1406.193</v>
      </c>
      <c r="AG64" t="n">
        <v>1472.414</v>
      </c>
      <c r="AH64" t="n">
        <v>1657.075</v>
      </c>
      <c r="AI64" t="n">
        <v>1538.616</v>
      </c>
      <c r="AJ64" t="n">
        <v>1770.532</v>
      </c>
      <c r="AK64" t="n">
        <v>1844.199</v>
      </c>
      <c r="AL64" t="n">
        <v>1708.766</v>
      </c>
      <c r="AM64" t="n">
        <v>1669.578</v>
      </c>
      <c r="AN64" t="n">
        <v>1328.528</v>
      </c>
      <c r="AO64" t="n">
        <v>1267.455</v>
      </c>
      <c r="AP64" t="n">
        <v>1221.556</v>
      </c>
      <c r="AQ64" t="n">
        <v>1155.625</v>
      </c>
      <c r="AR64" t="n">
        <v>1043.133</v>
      </c>
      <c r="AS64" t="n">
        <v>937.069</v>
      </c>
      <c r="AT64" t="n">
        <v>654.9589999999999</v>
      </c>
      <c r="AU64" t="n">
        <v>441.842</v>
      </c>
      <c r="AV64" t="n">
        <v>522.682</v>
      </c>
      <c r="AW64" t="n">
        <v>462.341</v>
      </c>
      <c r="AX64" t="n">
        <v>795.864</v>
      </c>
      <c r="AY64" t="n">
        <v>514.97</v>
      </c>
      <c r="AZ64" t="n">
        <v>553.8</v>
      </c>
      <c r="BA64" t="n">
        <v>587.516</v>
      </c>
      <c r="BB64" t="n">
        <v>689.97</v>
      </c>
      <c r="BC64" t="n">
        <v>794.177</v>
      </c>
      <c r="BD64" t="n">
        <v>828.961</v>
      </c>
      <c r="BE64" t="n">
        <v>854.027</v>
      </c>
      <c r="BF64" t="n">
        <v>762.634</v>
      </c>
      <c r="BG64" t="n">
        <v>691.047</v>
      </c>
      <c r="BH64" t="n">
        <v>688.072</v>
      </c>
      <c r="BI64" t="n">
        <v>797.985</v>
      </c>
      <c r="BJ64" t="n">
        <v>613.436</v>
      </c>
      <c r="BK64" t="n">
        <v>612.298</v>
      </c>
      <c r="BL64" t="n">
        <v>260.73</v>
      </c>
      <c r="BM64" t="n">
        <v>196.893</v>
      </c>
      <c r="BN64" t="n">
        <v>511.829</v>
      </c>
      <c r="BO64" t="n">
        <v>673.032</v>
      </c>
      <c r="BP64" t="n">
        <v>664.071</v>
      </c>
      <c r="BQ64" t="n">
        <v>758.701</v>
      </c>
      <c r="BR64" t="n">
        <v>259.846</v>
      </c>
      <c r="BS64" t="n">
        <v>251.442</v>
      </c>
      <c r="BT64" t="n">
        <v>248.029</v>
      </c>
      <c r="BU64" t="n">
        <v>926.355</v>
      </c>
      <c r="BV64" t="n">
        <v>781.701</v>
      </c>
    </row>
    <row r="65">
      <c r="A65" t="inlineStr">
        <is>
          <t>Crangon</t>
        </is>
      </c>
      <c r="B65" t="inlineStr">
        <is>
          <t>Snapping shrimps</t>
        </is>
      </c>
      <c r="C65" t="inlineStr">
        <is>
          <t>Shrimps</t>
        </is>
      </c>
      <c r="D65" t="inlineStr">
        <is>
          <t>Crustaceans</t>
        </is>
      </c>
      <c r="E65" t="n">
        <v>1624.097</v>
      </c>
      <c r="F65" t="n">
        <v>1321.729</v>
      </c>
      <c r="G65" t="n">
        <v>1204.65</v>
      </c>
      <c r="H65" t="n">
        <v>1967.067</v>
      </c>
      <c r="I65" t="n">
        <v>1619.57</v>
      </c>
      <c r="J65" t="n">
        <v>2112.394</v>
      </c>
      <c r="K65" t="n">
        <v>1645.554</v>
      </c>
      <c r="L65" t="n">
        <v>1710.418</v>
      </c>
      <c r="M65" t="n">
        <v>1395.156</v>
      </c>
      <c r="N65" t="n">
        <v>1264.1</v>
      </c>
      <c r="O65" t="n">
        <v>1181.864</v>
      </c>
      <c r="P65" t="n">
        <v>1360.411</v>
      </c>
      <c r="Q65" t="n">
        <v>1222.121</v>
      </c>
      <c r="R65" t="n">
        <v>2084.49</v>
      </c>
      <c r="S65" t="n">
        <v>1411.101</v>
      </c>
      <c r="T65" t="n">
        <v>1394.713</v>
      </c>
      <c r="U65" t="n">
        <v>1888.325</v>
      </c>
      <c r="V65" t="n">
        <v>1198.351</v>
      </c>
      <c r="W65" t="n">
        <v>1627.837</v>
      </c>
      <c r="X65" t="n">
        <v>1357.36</v>
      </c>
      <c r="Y65" t="n">
        <v>1864.604</v>
      </c>
      <c r="Z65" t="n">
        <v>1164.984</v>
      </c>
      <c r="AA65" t="n">
        <v>1232.357</v>
      </c>
      <c r="AB65" t="n">
        <v>1456.525</v>
      </c>
      <c r="AC65" t="n">
        <v>1410.264</v>
      </c>
      <c r="AD65" t="n">
        <v>1012.077</v>
      </c>
      <c r="AE65" t="n">
        <v>1302.191</v>
      </c>
      <c r="AF65" t="n">
        <v>894.9</v>
      </c>
      <c r="AG65" t="n">
        <v>823.245</v>
      </c>
      <c r="AH65" t="n">
        <v>960.944</v>
      </c>
      <c r="AI65" t="n">
        <v>758.529</v>
      </c>
      <c r="AJ65" t="n">
        <v>707.6420000000001</v>
      </c>
      <c r="AK65" t="n">
        <v>976.102</v>
      </c>
      <c r="AL65" t="n">
        <v>632.8869999999999</v>
      </c>
      <c r="AM65" t="n">
        <v>575.553</v>
      </c>
      <c r="AN65" t="n">
        <v>850.46</v>
      </c>
      <c r="AO65" t="n">
        <v>794.307</v>
      </c>
      <c r="AP65" t="n">
        <v>784.563</v>
      </c>
      <c r="AQ65" t="n">
        <v>688.203</v>
      </c>
      <c r="AR65" t="n">
        <v>651.2430000000001</v>
      </c>
      <c r="AS65" t="n">
        <v>355.962</v>
      </c>
      <c r="AT65" t="n">
        <v>681.559</v>
      </c>
      <c r="AU65" t="n">
        <v>570.877</v>
      </c>
      <c r="AV65" t="n">
        <v>663.399</v>
      </c>
      <c r="AW65" t="n">
        <v>825.2619999999999</v>
      </c>
      <c r="AX65" t="n">
        <v>550.109</v>
      </c>
      <c r="AY65" t="n">
        <v>787.122</v>
      </c>
      <c r="AZ65" t="n">
        <v>978.8579999999999</v>
      </c>
      <c r="BA65" t="n">
        <v>729.05</v>
      </c>
      <c r="BB65" t="n">
        <v>844.702</v>
      </c>
      <c r="BC65" t="n">
        <v>856.8579999999999</v>
      </c>
      <c r="BD65" t="n">
        <v>618.27</v>
      </c>
      <c r="BE65" t="n">
        <v>785.547</v>
      </c>
      <c r="BF65" t="n">
        <v>800.36</v>
      </c>
      <c r="BG65" t="n">
        <v>945.737</v>
      </c>
      <c r="BH65" t="n">
        <v>1112.227</v>
      </c>
      <c r="BI65" t="n">
        <v>924.083</v>
      </c>
      <c r="BJ65" t="n">
        <v>779.986</v>
      </c>
      <c r="BK65" t="n">
        <v>876.888</v>
      </c>
      <c r="BL65" t="n">
        <v>846.818</v>
      </c>
      <c r="BM65" t="n">
        <v>899.772</v>
      </c>
      <c r="BN65" t="n">
        <v>837.271</v>
      </c>
      <c r="BO65" t="n">
        <v>797.998</v>
      </c>
      <c r="BP65" t="n">
        <v>784.8579999999999</v>
      </c>
      <c r="BQ65" t="n">
        <v>775.754</v>
      </c>
      <c r="BR65" t="n">
        <v>429.797</v>
      </c>
      <c r="BS65" t="n">
        <v>264.382</v>
      </c>
      <c r="BT65" t="n">
        <v>281.42</v>
      </c>
      <c r="BU65" t="n">
        <v>333.676</v>
      </c>
      <c r="BV65" t="n">
        <v>248.741</v>
      </c>
    </row>
    <row r="66">
      <c r="A66" t="inlineStr">
        <is>
          <t>Squaliformes</t>
        </is>
      </c>
      <c r="B66" t="inlineStr">
        <is>
          <t>Bramble, sleeper, dogfish sharks</t>
        </is>
      </c>
      <c r="C66" t="inlineStr">
        <is>
          <t>Large sharks (&gt;=90 cm)</t>
        </is>
      </c>
      <c r="D66" t="inlineStr">
        <is>
          <t>Sharks &amp; rays</t>
        </is>
      </c>
      <c r="E66" t="n">
        <v>1529.717</v>
      </c>
      <c r="F66" t="n">
        <v>2532.432</v>
      </c>
      <c r="G66" t="n">
        <v>1244.367</v>
      </c>
      <c r="H66" t="n">
        <v>1255.607</v>
      </c>
      <c r="I66" t="n">
        <v>1642.022</v>
      </c>
      <c r="J66" t="n">
        <v>1426.931</v>
      </c>
      <c r="K66" t="n">
        <v>1734.285</v>
      </c>
      <c r="L66" t="n">
        <v>1614.902</v>
      </c>
      <c r="M66" t="n">
        <v>1610.119</v>
      </c>
      <c r="N66" t="n">
        <v>1890.334</v>
      </c>
      <c r="O66" t="n">
        <v>1274.466</v>
      </c>
      <c r="P66" t="n">
        <v>1128.606</v>
      </c>
      <c r="Q66" t="n">
        <v>362.547</v>
      </c>
      <c r="R66" t="n">
        <v>461.508</v>
      </c>
      <c r="S66" t="n">
        <v>1503.231</v>
      </c>
      <c r="T66" t="n">
        <v>1595.97</v>
      </c>
      <c r="U66" t="n">
        <v>1101.394</v>
      </c>
      <c r="V66" t="n">
        <v>959.003</v>
      </c>
      <c r="W66" t="n">
        <v>1668.558</v>
      </c>
      <c r="X66" t="n">
        <v>1235.765</v>
      </c>
      <c r="Y66" t="n">
        <v>1461.315</v>
      </c>
      <c r="Z66" t="n">
        <v>1539.32</v>
      </c>
      <c r="AA66" t="n">
        <v>1374.034</v>
      </c>
      <c r="AB66" t="n">
        <v>1339.994</v>
      </c>
      <c r="AC66" t="n">
        <v>1247.952</v>
      </c>
      <c r="AD66" t="n">
        <v>1121.255</v>
      </c>
      <c r="AE66" t="n">
        <v>1179.381</v>
      </c>
      <c r="AF66" t="n">
        <v>1193.922</v>
      </c>
      <c r="AG66" t="n">
        <v>1253.85</v>
      </c>
      <c r="AH66" t="n">
        <v>1415.716</v>
      </c>
      <c r="AI66" t="n">
        <v>1309.461</v>
      </c>
      <c r="AJ66" t="n">
        <v>1512.226</v>
      </c>
      <c r="AK66" t="n">
        <v>1558.483</v>
      </c>
      <c r="AL66" t="n">
        <v>1442.912</v>
      </c>
      <c r="AM66" t="n">
        <v>1415.682</v>
      </c>
      <c r="AN66" t="n">
        <v>1136.436</v>
      </c>
      <c r="AO66" t="n">
        <v>1073.126</v>
      </c>
      <c r="AP66" t="n">
        <v>1047.305</v>
      </c>
      <c r="AQ66" t="n">
        <v>974.478</v>
      </c>
      <c r="AR66" t="n">
        <v>864.835</v>
      </c>
      <c r="AS66" t="n">
        <v>788.049</v>
      </c>
      <c r="AT66" t="n">
        <v>556.17</v>
      </c>
      <c r="AU66" t="n">
        <v>414.797</v>
      </c>
      <c r="AV66" t="n">
        <v>465.032</v>
      </c>
      <c r="AW66" t="n">
        <v>411.095</v>
      </c>
      <c r="AX66" t="n">
        <v>641.595</v>
      </c>
      <c r="AY66" t="n">
        <v>443.302</v>
      </c>
      <c r="AZ66" t="n">
        <v>455.895</v>
      </c>
      <c r="BA66" t="n">
        <v>472.833</v>
      </c>
      <c r="BB66" t="n">
        <v>554.157</v>
      </c>
      <c r="BC66" t="n">
        <v>639.397</v>
      </c>
      <c r="BD66" t="n">
        <v>666.1420000000001</v>
      </c>
      <c r="BE66" t="n">
        <v>691.23</v>
      </c>
      <c r="BF66" t="n">
        <v>597.3390000000001</v>
      </c>
      <c r="BG66" t="n">
        <v>528.433</v>
      </c>
      <c r="BH66" t="n">
        <v>522.385</v>
      </c>
      <c r="BI66" t="n">
        <v>616.754</v>
      </c>
      <c r="BJ66" t="n">
        <v>486.605</v>
      </c>
      <c r="BK66" t="n">
        <v>486.863</v>
      </c>
      <c r="BL66" t="n">
        <v>348.637</v>
      </c>
      <c r="BM66" t="n">
        <v>265.408</v>
      </c>
      <c r="BN66" t="n">
        <v>447.545</v>
      </c>
      <c r="BO66" t="n">
        <v>545.64</v>
      </c>
      <c r="BP66" t="n">
        <v>501.179</v>
      </c>
      <c r="BQ66" t="n">
        <v>567.23</v>
      </c>
      <c r="BR66" t="n">
        <v>182.974</v>
      </c>
      <c r="BS66" t="n">
        <v>176.304</v>
      </c>
      <c r="BT66" t="n">
        <v>175.613</v>
      </c>
      <c r="BU66" t="n">
        <v>693.069</v>
      </c>
      <c r="BV66" t="n">
        <v>590.789</v>
      </c>
    </row>
    <row r="67">
      <c r="A67" t="inlineStr">
        <is>
          <t>Dicentrarchus labrax</t>
        </is>
      </c>
      <c r="B67" t="inlineStr">
        <is>
          <t>European seabass</t>
        </is>
      </c>
      <c r="C67" t="inlineStr">
        <is>
          <t>Large demersals (&gt;=90 cm)</t>
        </is>
      </c>
      <c r="D67" t="inlineStr">
        <is>
          <t>Perch-likes</t>
        </is>
      </c>
      <c r="E67" t="n">
        <v>1517.248</v>
      </c>
      <c r="F67" t="n">
        <v>1486.422</v>
      </c>
      <c r="G67" t="n">
        <v>1461.068</v>
      </c>
      <c r="H67" t="n">
        <v>1445.141</v>
      </c>
      <c r="I67" t="n">
        <v>1398.8</v>
      </c>
      <c r="J67" t="n">
        <v>1377.952</v>
      </c>
      <c r="K67" t="n">
        <v>1309.1</v>
      </c>
      <c r="L67" t="n">
        <v>1257.573</v>
      </c>
      <c r="M67" t="n">
        <v>1216.599</v>
      </c>
      <c r="N67" t="n">
        <v>1217.424</v>
      </c>
      <c r="O67" t="n">
        <v>1171.812</v>
      </c>
      <c r="P67" t="n">
        <v>1153.105</v>
      </c>
      <c r="Q67" t="n">
        <v>1139.392</v>
      </c>
      <c r="R67" t="n">
        <v>1110.421</v>
      </c>
      <c r="S67" t="n">
        <v>1132.359</v>
      </c>
      <c r="T67" t="n">
        <v>1334.234</v>
      </c>
      <c r="U67" t="n">
        <v>1416.501</v>
      </c>
      <c r="V67" t="n">
        <v>1265.77</v>
      </c>
      <c r="W67" t="n">
        <v>1215.516</v>
      </c>
      <c r="X67" t="n">
        <v>1233.032</v>
      </c>
      <c r="Y67" t="n">
        <v>1174.047</v>
      </c>
      <c r="Z67" t="n">
        <v>1222.529</v>
      </c>
      <c r="AA67" t="n">
        <v>1265.99</v>
      </c>
      <c r="AB67" t="n">
        <v>2030.869</v>
      </c>
      <c r="AC67" t="n">
        <v>1381.121</v>
      </c>
      <c r="AD67" t="n">
        <v>1281.381</v>
      </c>
      <c r="AE67" t="n">
        <v>700.246</v>
      </c>
      <c r="AF67" t="n">
        <v>678.3200000000001</v>
      </c>
      <c r="AG67" t="n">
        <v>533.734</v>
      </c>
      <c r="AH67" t="n">
        <v>629.414</v>
      </c>
      <c r="AI67" t="n">
        <v>719.0700000000001</v>
      </c>
      <c r="AJ67" t="n">
        <v>520.9690000000001</v>
      </c>
      <c r="AK67" t="n">
        <v>901.486</v>
      </c>
      <c r="AL67" t="n">
        <v>758.692</v>
      </c>
      <c r="AM67" t="n">
        <v>1038.005</v>
      </c>
      <c r="AN67" t="n">
        <v>1018.964</v>
      </c>
      <c r="AO67" t="n">
        <v>1126.502</v>
      </c>
      <c r="AP67" t="n">
        <v>853.509</v>
      </c>
      <c r="AQ67" t="n">
        <v>969.535</v>
      </c>
      <c r="AR67" t="n">
        <v>1059.813</v>
      </c>
      <c r="AS67" t="n">
        <v>748.5599999999999</v>
      </c>
      <c r="AT67" t="n">
        <v>797.473</v>
      </c>
      <c r="AU67" t="n">
        <v>697.981</v>
      </c>
      <c r="AV67" t="n">
        <v>690.691</v>
      </c>
      <c r="AW67" t="n">
        <v>613.586</v>
      </c>
      <c r="AX67" t="n">
        <v>586.4829999999999</v>
      </c>
      <c r="AY67" t="n">
        <v>516.696</v>
      </c>
      <c r="AZ67" t="n">
        <v>512.207</v>
      </c>
      <c r="BA67" t="n">
        <v>487.77</v>
      </c>
      <c r="BB67" t="n">
        <v>470.123</v>
      </c>
      <c r="BC67" t="n">
        <v>556.843</v>
      </c>
      <c r="BD67" t="n">
        <v>658.881</v>
      </c>
      <c r="BE67" t="n">
        <v>684.86</v>
      </c>
      <c r="BF67" t="n">
        <v>806.196</v>
      </c>
      <c r="BG67" t="n">
        <v>775.037</v>
      </c>
      <c r="BH67" t="n">
        <v>861.896</v>
      </c>
      <c r="BI67" t="n">
        <v>906.2190000000001</v>
      </c>
      <c r="BJ67" t="n">
        <v>866.599</v>
      </c>
      <c r="BK67" t="n">
        <v>850.55</v>
      </c>
      <c r="BL67" t="n">
        <v>971.521</v>
      </c>
      <c r="BM67" t="n">
        <v>978.496</v>
      </c>
      <c r="BN67" t="n">
        <v>888.225</v>
      </c>
      <c r="BO67" t="n">
        <v>794.3579999999999</v>
      </c>
      <c r="BP67" t="n">
        <v>769.199</v>
      </c>
      <c r="BQ67" t="n">
        <v>769.3440000000001</v>
      </c>
      <c r="BR67" t="n">
        <v>581.462</v>
      </c>
      <c r="BS67" t="n">
        <v>491.357</v>
      </c>
      <c r="BT67" t="n">
        <v>451.628</v>
      </c>
      <c r="BU67" t="n">
        <v>499.544</v>
      </c>
      <c r="BV67" t="n">
        <v>490.268</v>
      </c>
    </row>
    <row r="68">
      <c r="A68" t="inlineStr">
        <is>
          <t>Homarus gammarus</t>
        </is>
      </c>
      <c r="B68" t="inlineStr">
        <is>
          <t>European lobster</t>
        </is>
      </c>
      <c r="C68" t="inlineStr">
        <is>
          <t>Lobsters, crabs</t>
        </is>
      </c>
      <c r="D68" t="inlineStr">
        <is>
          <t>Crustaceans</t>
        </is>
      </c>
      <c r="E68" t="n">
        <v>849.048</v>
      </c>
      <c r="F68" t="n">
        <v>940.843</v>
      </c>
      <c r="G68" t="n">
        <v>912.657</v>
      </c>
      <c r="H68" t="n">
        <v>1008.802</v>
      </c>
      <c r="I68" t="n">
        <v>934.434</v>
      </c>
      <c r="J68" t="n">
        <v>941.677</v>
      </c>
      <c r="K68" t="n">
        <v>946.59</v>
      </c>
      <c r="L68" t="n">
        <v>917.028</v>
      </c>
      <c r="M68" t="n">
        <v>963.322</v>
      </c>
      <c r="N68" t="n">
        <v>1055.395</v>
      </c>
      <c r="O68" t="n">
        <v>1112.549</v>
      </c>
      <c r="P68" t="n">
        <v>1331.175</v>
      </c>
      <c r="Q68" t="n">
        <v>1025.419</v>
      </c>
      <c r="R68" t="n">
        <v>935.182</v>
      </c>
      <c r="S68" t="n">
        <v>919.569</v>
      </c>
      <c r="T68" t="n">
        <v>746.255</v>
      </c>
      <c r="U68" t="n">
        <v>659.436</v>
      </c>
      <c r="V68" t="n">
        <v>641.091</v>
      </c>
      <c r="W68" t="n">
        <v>634.696</v>
      </c>
      <c r="X68" t="n">
        <v>536.1609999999999</v>
      </c>
      <c r="Y68" t="n">
        <v>611.3150000000001</v>
      </c>
      <c r="Z68" t="n">
        <v>598.975</v>
      </c>
      <c r="AA68" t="n">
        <v>535.053</v>
      </c>
      <c r="AB68" t="n">
        <v>498.789</v>
      </c>
      <c r="AC68" t="n">
        <v>470.871</v>
      </c>
      <c r="AD68" t="n">
        <v>453.221</v>
      </c>
      <c r="AE68" t="n">
        <v>468.507</v>
      </c>
      <c r="AF68" t="n">
        <v>529.538</v>
      </c>
      <c r="AG68" t="n">
        <v>470.301</v>
      </c>
      <c r="AH68" t="n">
        <v>416.324</v>
      </c>
      <c r="AI68" t="n">
        <v>402.469</v>
      </c>
      <c r="AJ68" t="n">
        <v>373.806</v>
      </c>
      <c r="AK68" t="n">
        <v>421.412</v>
      </c>
      <c r="AL68" t="n">
        <v>472.1</v>
      </c>
      <c r="AM68" t="n">
        <v>560.308</v>
      </c>
      <c r="AN68" t="n">
        <v>527.84</v>
      </c>
      <c r="AO68" t="n">
        <v>473.325</v>
      </c>
      <c r="AP68" t="n">
        <v>490.452</v>
      </c>
      <c r="AQ68" t="n">
        <v>575.748</v>
      </c>
      <c r="AR68" t="n">
        <v>629.747</v>
      </c>
      <c r="AS68" t="n">
        <v>657.437</v>
      </c>
      <c r="AT68" t="n">
        <v>706.01</v>
      </c>
      <c r="AU68" t="n">
        <v>440.36</v>
      </c>
      <c r="AV68" t="n">
        <v>449.199</v>
      </c>
      <c r="AW68" t="n">
        <v>663.3099999999999</v>
      </c>
      <c r="AX68" t="n">
        <v>695.9</v>
      </c>
      <c r="AY68" t="n">
        <v>682.616</v>
      </c>
      <c r="AZ68" t="n">
        <v>892.641</v>
      </c>
      <c r="BA68" t="n">
        <v>826.176</v>
      </c>
      <c r="BB68" t="n">
        <v>904.6130000000001</v>
      </c>
      <c r="BC68" t="n">
        <v>714.623</v>
      </c>
      <c r="BD68" t="n">
        <v>624.804</v>
      </c>
      <c r="BE68" t="n">
        <v>634.159</v>
      </c>
      <c r="BF68" t="n">
        <v>712.9690000000001</v>
      </c>
      <c r="BG68" t="n">
        <v>789.22</v>
      </c>
      <c r="BH68" t="n">
        <v>633.324</v>
      </c>
      <c r="BI68" t="n">
        <v>1295.378</v>
      </c>
      <c r="BJ68" t="n">
        <v>1467.664</v>
      </c>
      <c r="BK68" t="n">
        <v>1565.579</v>
      </c>
      <c r="BL68" t="n">
        <v>1797.548</v>
      </c>
      <c r="BM68" t="n">
        <v>1688.065</v>
      </c>
      <c r="BN68" t="n">
        <v>2094.052</v>
      </c>
      <c r="BO68" t="n">
        <v>2010.077</v>
      </c>
      <c r="BP68" t="n">
        <v>2076.105</v>
      </c>
      <c r="BQ68" t="n">
        <v>2314.277</v>
      </c>
      <c r="BR68" t="n">
        <v>2043.02</v>
      </c>
      <c r="BS68" t="n">
        <v>2168.893</v>
      </c>
      <c r="BT68" t="n">
        <v>2299.859</v>
      </c>
      <c r="BU68" t="n">
        <v>1815.162</v>
      </c>
      <c r="BV68" t="n">
        <v>2122.535</v>
      </c>
    </row>
    <row r="69">
      <c r="A69" t="inlineStr">
        <is>
          <t>Pleuronectidae</t>
        </is>
      </c>
      <c r="B69" t="inlineStr">
        <is>
          <t>Righteye flounders</t>
        </is>
      </c>
      <c r="C69" t="inlineStr">
        <is>
          <t>Small to medium flatfishes (&lt;90 cm)</t>
        </is>
      </c>
      <c r="D69" t="inlineStr">
        <is>
          <t>Flatfishes</t>
        </is>
      </c>
      <c r="E69" t="n">
        <v>924.26</v>
      </c>
      <c r="F69" t="n">
        <v>2120.143</v>
      </c>
      <c r="G69" t="n">
        <v>884.083</v>
      </c>
      <c r="H69" t="n">
        <v>984.527</v>
      </c>
      <c r="I69" t="n">
        <v>1178.333</v>
      </c>
      <c r="J69" t="n">
        <v>1244.743</v>
      </c>
      <c r="K69" t="n">
        <v>1125.245</v>
      </c>
      <c r="L69" t="n">
        <v>1048.367</v>
      </c>
      <c r="M69" t="n">
        <v>1035.683</v>
      </c>
      <c r="N69" t="n">
        <v>1034.984</v>
      </c>
      <c r="O69" t="n">
        <v>393.187</v>
      </c>
      <c r="P69" t="n">
        <v>1148.739</v>
      </c>
      <c r="Q69" t="n">
        <v>399.781</v>
      </c>
      <c r="R69" t="n">
        <v>501.524</v>
      </c>
      <c r="S69" t="n">
        <v>1555.755</v>
      </c>
      <c r="T69" t="n">
        <v>1677.189</v>
      </c>
      <c r="U69" t="n">
        <v>1151.594</v>
      </c>
      <c r="V69" t="n">
        <v>1009.48</v>
      </c>
      <c r="W69" t="n">
        <v>1726.966</v>
      </c>
      <c r="X69" t="n">
        <v>1317.095</v>
      </c>
      <c r="Y69" t="n">
        <v>1502.365</v>
      </c>
      <c r="Z69" t="n">
        <v>1552.387</v>
      </c>
      <c r="AA69" t="n">
        <v>1359.091</v>
      </c>
      <c r="AB69" t="n">
        <v>1416.092</v>
      </c>
      <c r="AC69" t="n">
        <v>1291.792</v>
      </c>
      <c r="AD69" t="n">
        <v>1172.416</v>
      </c>
      <c r="AE69" t="n">
        <v>1191.126</v>
      </c>
      <c r="AF69" t="n">
        <v>1198.334</v>
      </c>
      <c r="AG69" t="n">
        <v>1272.727</v>
      </c>
      <c r="AH69" t="n">
        <v>1436.443</v>
      </c>
      <c r="AI69" t="n">
        <v>1332.254</v>
      </c>
      <c r="AJ69" t="n">
        <v>1575.759</v>
      </c>
      <c r="AK69" t="n">
        <v>1605.055</v>
      </c>
      <c r="AL69" t="n">
        <v>1488.514</v>
      </c>
      <c r="AM69" t="n">
        <v>1420.093</v>
      </c>
      <c r="AN69" t="n">
        <v>1148.366</v>
      </c>
      <c r="AO69" t="n">
        <v>1087.044</v>
      </c>
      <c r="AP69" t="n">
        <v>1078.98</v>
      </c>
      <c r="AQ69" t="n">
        <v>1014.566</v>
      </c>
      <c r="AR69" t="n">
        <v>909.904</v>
      </c>
      <c r="AS69" t="n">
        <v>829.864</v>
      </c>
      <c r="AT69" t="n">
        <v>578.409</v>
      </c>
      <c r="AU69" t="n">
        <v>445.584</v>
      </c>
      <c r="AV69" t="n">
        <v>501.118</v>
      </c>
      <c r="AW69" t="n">
        <v>442.236</v>
      </c>
      <c r="AX69" t="n">
        <v>690.9349999999999</v>
      </c>
      <c r="AY69" t="n">
        <v>484.25</v>
      </c>
      <c r="AZ69" t="n">
        <v>478.742</v>
      </c>
      <c r="BA69" t="n">
        <v>508.014</v>
      </c>
      <c r="BB69" t="n">
        <v>588.731</v>
      </c>
      <c r="BC69" t="n">
        <v>692.873</v>
      </c>
      <c r="BD69" t="n">
        <v>717.429</v>
      </c>
      <c r="BE69" t="n">
        <v>746.599</v>
      </c>
      <c r="BF69" t="n">
        <v>642.087</v>
      </c>
      <c r="BG69" t="n">
        <v>567.886</v>
      </c>
      <c r="BH69" t="n">
        <v>560.449</v>
      </c>
      <c r="BI69" t="n">
        <v>649.239</v>
      </c>
      <c r="BJ69" t="n">
        <v>524.376</v>
      </c>
      <c r="BK69" t="n">
        <v>521.13</v>
      </c>
      <c r="BL69" t="n">
        <v>257.769</v>
      </c>
      <c r="BM69" t="n">
        <v>256.577</v>
      </c>
      <c r="BN69" t="n">
        <v>403.308</v>
      </c>
      <c r="BO69" t="n">
        <v>489.029</v>
      </c>
      <c r="BP69" t="n">
        <v>490.515</v>
      </c>
      <c r="BQ69" t="n">
        <v>552.985</v>
      </c>
      <c r="BR69" t="n">
        <v>180.76</v>
      </c>
      <c r="BS69" t="n">
        <v>174.284</v>
      </c>
      <c r="BT69" t="n">
        <v>171.616</v>
      </c>
      <c r="BU69" t="n">
        <v>650.3049999999999</v>
      </c>
      <c r="BV69" t="n">
        <v>541.997</v>
      </c>
    </row>
    <row r="70">
      <c r="A70" t="inlineStr">
        <is>
          <t>Ostrea edulis</t>
        </is>
      </c>
      <c r="B70" t="inlineStr">
        <is>
          <t>European flat oyster</t>
        </is>
      </c>
      <c r="C70" t="inlineStr">
        <is>
          <t>Other demersal invertebrates</t>
        </is>
      </c>
      <c r="D70" t="inlineStr">
        <is>
          <t>Molluscs</t>
        </is>
      </c>
      <c r="E70" t="n">
        <v>1548.56</v>
      </c>
      <c r="F70" t="n">
        <v>1963.128</v>
      </c>
      <c r="G70" t="n">
        <v>2126.917</v>
      </c>
      <c r="H70" t="n">
        <v>2027.057</v>
      </c>
      <c r="I70" t="n">
        <v>2113.956</v>
      </c>
      <c r="J70" t="n">
        <v>2249.124</v>
      </c>
      <c r="K70" t="n">
        <v>3128.508</v>
      </c>
      <c r="L70" t="n">
        <v>3226.681</v>
      </c>
      <c r="M70" t="n">
        <v>2252.834</v>
      </c>
      <c r="N70" t="n">
        <v>2511.094</v>
      </c>
      <c r="O70" t="n">
        <v>3038.837</v>
      </c>
      <c r="P70" t="n">
        <v>2794.996</v>
      </c>
      <c r="Q70" t="n">
        <v>2260.026</v>
      </c>
      <c r="R70" t="n">
        <v>494.94</v>
      </c>
      <c r="S70" t="n">
        <v>601.647</v>
      </c>
      <c r="T70" t="n">
        <v>788.723</v>
      </c>
      <c r="U70" t="n">
        <v>828.436</v>
      </c>
      <c r="V70" t="n">
        <v>892.515</v>
      </c>
      <c r="W70" t="n">
        <v>883.258</v>
      </c>
      <c r="X70" t="n">
        <v>885.684</v>
      </c>
      <c r="Y70" t="n">
        <v>905.269</v>
      </c>
      <c r="Z70" t="n">
        <v>1021.398</v>
      </c>
      <c r="AA70" t="n">
        <v>1030.028</v>
      </c>
      <c r="AB70" t="n">
        <v>1145.842</v>
      </c>
      <c r="AC70" t="n">
        <v>1384.086</v>
      </c>
      <c r="AD70" t="n">
        <v>1485.071</v>
      </c>
      <c r="AE70" t="n">
        <v>1416.073</v>
      </c>
      <c r="AF70" t="n">
        <v>1271.838</v>
      </c>
      <c r="AG70" t="n">
        <v>1238.371</v>
      </c>
      <c r="AH70" t="n">
        <v>1198.619</v>
      </c>
      <c r="AI70" t="n">
        <v>811.881</v>
      </c>
      <c r="AJ70" t="n">
        <v>716.549</v>
      </c>
      <c r="AK70" t="n">
        <v>105.916</v>
      </c>
      <c r="AL70" t="n">
        <v>99.139</v>
      </c>
      <c r="AM70" t="n">
        <v>98.881</v>
      </c>
      <c r="AN70" t="n">
        <v>76.532</v>
      </c>
      <c r="AO70" t="n">
        <v>36.736</v>
      </c>
      <c r="AP70" t="n">
        <v>38.241</v>
      </c>
      <c r="AQ70" t="n">
        <v>22.209</v>
      </c>
      <c r="AR70" t="n">
        <v>26.578</v>
      </c>
      <c r="AS70" t="n">
        <v>75.02200000000001</v>
      </c>
      <c r="AT70" t="n">
        <v>58.016</v>
      </c>
      <c r="AU70" t="n">
        <v>58.871</v>
      </c>
      <c r="AV70" t="n">
        <v>120.837</v>
      </c>
      <c r="AW70" t="n">
        <v>54.502</v>
      </c>
      <c r="AX70" t="n">
        <v>63.662</v>
      </c>
      <c r="AY70" t="n">
        <v>62.803</v>
      </c>
      <c r="AZ70" t="n">
        <v>63.397</v>
      </c>
      <c r="BA70" t="n">
        <v>52.719</v>
      </c>
      <c r="BB70" t="n">
        <v>52.933</v>
      </c>
      <c r="BC70" t="n">
        <v>32.861</v>
      </c>
      <c r="BD70" t="n">
        <v>44.705</v>
      </c>
      <c r="BE70" t="n">
        <v>545.198</v>
      </c>
      <c r="BF70" t="n">
        <v>897.5309999999999</v>
      </c>
      <c r="BG70" t="n">
        <v>910</v>
      </c>
      <c r="BH70" t="n">
        <v>958.624</v>
      </c>
      <c r="BI70" t="n">
        <v>913.889</v>
      </c>
      <c r="BJ70" t="n">
        <v>1222.324</v>
      </c>
      <c r="BK70" t="n">
        <v>1524.113</v>
      </c>
      <c r="BL70" t="n">
        <v>1223.503</v>
      </c>
      <c r="BM70" t="n">
        <v>1116.174</v>
      </c>
      <c r="BN70" t="n">
        <v>947.645</v>
      </c>
      <c r="BO70" t="n">
        <v>320.932</v>
      </c>
      <c r="BP70" t="n">
        <v>199.32</v>
      </c>
      <c r="BQ70" t="n">
        <v>93.898</v>
      </c>
      <c r="BR70" t="n">
        <v>147.471</v>
      </c>
      <c r="BS70" t="n">
        <v>158.322</v>
      </c>
      <c r="BT70" t="n">
        <v>164.224</v>
      </c>
      <c r="BU70" t="n">
        <v>304.809</v>
      </c>
      <c r="BV70" t="n">
        <v>292.033</v>
      </c>
    </row>
    <row r="71">
      <c r="A71" t="inlineStr">
        <is>
          <t>Argentina</t>
        </is>
      </c>
      <c r="B71" t="inlineStr">
        <is>
          <t>Argentines</t>
        </is>
      </c>
      <c r="C71" t="inlineStr">
        <is>
          <t>Medium bathydemersals (30 - 89 cm)</t>
        </is>
      </c>
      <c r="D71" t="inlineStr">
        <is>
          <t>Salmon, smelts, etc</t>
        </is>
      </c>
      <c r="E71" t="n">
        <v>0.015</v>
      </c>
      <c r="F71" t="n">
        <v>0.056</v>
      </c>
      <c r="G71" t="n">
        <v>0.042</v>
      </c>
      <c r="H71" t="n">
        <v>0.056</v>
      </c>
      <c r="I71" t="n">
        <v>0.044</v>
      </c>
      <c r="J71" t="n">
        <v>1.02</v>
      </c>
      <c r="K71" t="n">
        <v>0.997</v>
      </c>
      <c r="L71" t="n">
        <v>1.316</v>
      </c>
      <c r="M71" t="n">
        <v>0.981</v>
      </c>
      <c r="N71" t="n">
        <v>1.433</v>
      </c>
      <c r="O71" t="n">
        <v>192.071</v>
      </c>
      <c r="P71" t="n">
        <v>1.95</v>
      </c>
      <c r="Q71" t="n">
        <v>1.736</v>
      </c>
      <c r="R71" t="n">
        <v>1.834</v>
      </c>
      <c r="S71" t="n">
        <v>2.54</v>
      </c>
      <c r="T71" t="n">
        <v>2.512</v>
      </c>
      <c r="U71" t="n">
        <v>4.275</v>
      </c>
      <c r="V71" t="n">
        <v>3.641</v>
      </c>
      <c r="W71" t="n">
        <v>3.676</v>
      </c>
      <c r="X71" t="n">
        <v>3.631</v>
      </c>
      <c r="Y71" t="n">
        <v>3.457</v>
      </c>
      <c r="Z71" t="n">
        <v>4.084</v>
      </c>
      <c r="AA71" t="n">
        <v>4.638</v>
      </c>
      <c r="AB71" t="n">
        <v>7.264</v>
      </c>
      <c r="AC71" t="n">
        <v>4.524</v>
      </c>
      <c r="AD71" t="n">
        <v>3.622</v>
      </c>
      <c r="AE71" t="n">
        <v>5.899</v>
      </c>
      <c r="AF71" t="n">
        <v>5.577</v>
      </c>
      <c r="AG71" t="n">
        <v>445.331</v>
      </c>
      <c r="AH71" t="n">
        <v>77.98099999999999</v>
      </c>
      <c r="AI71" t="n">
        <v>27.635</v>
      </c>
      <c r="AJ71" t="n">
        <v>24.054</v>
      </c>
      <c r="AK71" t="n">
        <v>4650.101</v>
      </c>
      <c r="AL71" t="n">
        <v>8500.717000000001</v>
      </c>
      <c r="AM71" t="n">
        <v>6263.906</v>
      </c>
      <c r="AN71" t="n">
        <v>1008.046</v>
      </c>
      <c r="AO71" t="n">
        <v>2.809</v>
      </c>
      <c r="AP71" t="n">
        <v>209.868</v>
      </c>
      <c r="AQ71" t="n">
        <v>1237.463</v>
      </c>
      <c r="AR71" t="n">
        <v>2463.786</v>
      </c>
      <c r="AS71" t="n">
        <v>1383.021</v>
      </c>
      <c r="AT71" t="n">
        <v>1853.89</v>
      </c>
      <c r="AU71" t="n">
        <v>4228.005</v>
      </c>
      <c r="AV71" t="n">
        <v>2806.393</v>
      </c>
      <c r="AW71" t="n">
        <v>1863.554</v>
      </c>
      <c r="AX71" t="n">
        <v>1551.276</v>
      </c>
      <c r="AY71" t="n">
        <v>1936.817</v>
      </c>
      <c r="AZ71" t="n">
        <v>2689.54</v>
      </c>
      <c r="BA71" t="n">
        <v>2127.693</v>
      </c>
      <c r="BB71" t="n">
        <v>2150.045</v>
      </c>
      <c r="BC71" t="n">
        <v>1873.245</v>
      </c>
      <c r="BD71" t="n">
        <v>3482.002</v>
      </c>
      <c r="BE71" t="n">
        <v>1769.133</v>
      </c>
      <c r="BF71" t="n">
        <v>97.786</v>
      </c>
      <c r="BG71" t="n">
        <v>186.41</v>
      </c>
      <c r="BH71" t="n">
        <v>52.489</v>
      </c>
      <c r="BI71" t="n">
        <v>56.747</v>
      </c>
      <c r="BJ71" t="n">
        <v>105.113</v>
      </c>
      <c r="BK71" t="n">
        <v>110.443</v>
      </c>
      <c r="BL71" t="n">
        <v>536.568</v>
      </c>
      <c r="BM71" t="n">
        <v>293.298</v>
      </c>
      <c r="BN71" t="n">
        <v>469.447</v>
      </c>
      <c r="BO71" t="n">
        <v>258.561</v>
      </c>
      <c r="BP71" t="n">
        <v>293.776</v>
      </c>
      <c r="BQ71" t="n">
        <v>206.775</v>
      </c>
      <c r="BR71" t="n">
        <v>280.699</v>
      </c>
      <c r="BS71" t="n">
        <v>248.257</v>
      </c>
      <c r="BT71" t="n">
        <v>229.954</v>
      </c>
      <c r="BU71" t="n">
        <v>205.965</v>
      </c>
      <c r="BV71" t="n">
        <v>578.3</v>
      </c>
    </row>
    <row r="72">
      <c r="A72" t="inlineStr">
        <is>
          <t>Pleuronectiformes</t>
        </is>
      </c>
      <c r="B72" t="inlineStr">
        <is>
          <t>Flatfishes</t>
        </is>
      </c>
      <c r="C72" t="inlineStr">
        <is>
          <t>Small to medium flatfishes (&lt;90 cm)</t>
        </is>
      </c>
      <c r="D72" t="inlineStr">
        <is>
          <t>Flatfishes</t>
        </is>
      </c>
      <c r="E72" t="n">
        <v>201.471</v>
      </c>
      <c r="F72" t="n">
        <v>417.255</v>
      </c>
      <c r="G72" t="n">
        <v>448.944</v>
      </c>
      <c r="H72" t="n">
        <v>480.65</v>
      </c>
      <c r="I72" t="n">
        <v>512.735</v>
      </c>
      <c r="J72" t="n">
        <v>545.824</v>
      </c>
      <c r="K72" t="n">
        <v>579.139</v>
      </c>
      <c r="L72" t="n">
        <v>612.926</v>
      </c>
      <c r="M72" t="n">
        <v>646.614</v>
      </c>
      <c r="N72" t="n">
        <v>680.14</v>
      </c>
      <c r="O72" t="n">
        <v>713.352</v>
      </c>
      <c r="P72" t="n">
        <v>746.126</v>
      </c>
      <c r="Q72" t="n">
        <v>1402.666</v>
      </c>
      <c r="R72" t="n">
        <v>1188.832</v>
      </c>
      <c r="S72" t="n">
        <v>1501.658</v>
      </c>
      <c r="T72" t="n">
        <v>1088.424</v>
      </c>
      <c r="U72" t="n">
        <v>3847.043</v>
      </c>
      <c r="V72" t="n">
        <v>3241.161</v>
      </c>
      <c r="W72" t="n">
        <v>1175.433</v>
      </c>
      <c r="X72" t="n">
        <v>1189.723</v>
      </c>
      <c r="Y72" t="n">
        <v>1213.815</v>
      </c>
      <c r="Z72" t="n">
        <v>1187.11</v>
      </c>
      <c r="AA72" t="n">
        <v>1072.632</v>
      </c>
      <c r="AB72" t="n">
        <v>1022.153</v>
      </c>
      <c r="AC72" t="n">
        <v>1083.35</v>
      </c>
      <c r="AD72" t="n">
        <v>1120.899</v>
      </c>
      <c r="AE72" t="n">
        <v>1373.749</v>
      </c>
      <c r="AF72" t="n">
        <v>1014.832</v>
      </c>
      <c r="AG72" t="n">
        <v>1073.826</v>
      </c>
      <c r="AH72" t="n">
        <v>935.643</v>
      </c>
      <c r="AI72" t="n">
        <v>889.049</v>
      </c>
      <c r="AJ72" t="n">
        <v>873.46</v>
      </c>
      <c r="AK72" t="n">
        <v>3935.715</v>
      </c>
      <c r="AL72" t="n">
        <v>4300.727</v>
      </c>
      <c r="AM72" t="n">
        <v>733.809</v>
      </c>
      <c r="AN72" t="n">
        <v>775.266</v>
      </c>
      <c r="AO72" t="n">
        <v>698.7140000000001</v>
      </c>
      <c r="AP72" t="n">
        <v>925.884</v>
      </c>
      <c r="AQ72" t="n">
        <v>830.365</v>
      </c>
      <c r="AR72" t="n">
        <v>649.3440000000001</v>
      </c>
      <c r="AS72" t="n">
        <v>1009.146</v>
      </c>
      <c r="AT72" t="n">
        <v>1325.103</v>
      </c>
      <c r="AU72" t="n">
        <v>847.724</v>
      </c>
      <c r="AV72" t="n">
        <v>542.7670000000001</v>
      </c>
      <c r="AW72" t="n">
        <v>443.025</v>
      </c>
      <c r="AX72" t="n">
        <v>508.038</v>
      </c>
      <c r="AY72" t="n">
        <v>795.753</v>
      </c>
      <c r="AZ72" t="n">
        <v>864.397</v>
      </c>
      <c r="BA72" t="n">
        <v>555.577</v>
      </c>
      <c r="BB72" t="n">
        <v>321.779</v>
      </c>
      <c r="BC72" t="n">
        <v>884.061</v>
      </c>
      <c r="BD72" t="n">
        <v>806.2089999999999</v>
      </c>
      <c r="BE72" t="n">
        <v>703.981</v>
      </c>
      <c r="BF72" t="n">
        <v>271.346</v>
      </c>
      <c r="BG72" t="n">
        <v>243.005</v>
      </c>
      <c r="BH72" t="n">
        <v>332.342</v>
      </c>
      <c r="BI72" t="n">
        <v>270.709</v>
      </c>
      <c r="BJ72" t="n">
        <v>155.721</v>
      </c>
      <c r="BK72" t="n">
        <v>126.729</v>
      </c>
      <c r="BL72" t="n">
        <v>119.633</v>
      </c>
      <c r="BM72" t="n">
        <v>121.698</v>
      </c>
      <c r="BN72" t="n">
        <v>107.255</v>
      </c>
      <c r="BO72" t="n">
        <v>108.989</v>
      </c>
      <c r="BP72" t="n">
        <v>99.194</v>
      </c>
      <c r="BQ72" t="n">
        <v>99.729</v>
      </c>
      <c r="BR72" t="n">
        <v>100.538</v>
      </c>
      <c r="BS72" t="n">
        <v>101.348</v>
      </c>
      <c r="BT72" t="n">
        <v>102.361</v>
      </c>
      <c r="BU72" t="n">
        <v>94.221</v>
      </c>
      <c r="BV72" t="n">
        <v>94.241</v>
      </c>
    </row>
    <row r="73">
      <c r="A73" t="inlineStr">
        <is>
          <t>Anarhichas lupus</t>
        </is>
      </c>
      <c r="B73" t="inlineStr">
        <is>
          <t>Atlantic wolffish</t>
        </is>
      </c>
      <c r="C73" t="inlineStr">
        <is>
          <t>Large demersals (&gt;=90 cm)</t>
        </is>
      </c>
      <c r="D73" t="inlineStr">
        <is>
          <t>Perch-likes</t>
        </is>
      </c>
      <c r="E73" t="n">
        <v>658.503</v>
      </c>
      <c r="F73" t="n">
        <v>618.734</v>
      </c>
      <c r="G73" t="n">
        <v>475.808</v>
      </c>
      <c r="H73" t="n">
        <v>546.527</v>
      </c>
      <c r="I73" t="n">
        <v>456.606</v>
      </c>
      <c r="J73" t="n">
        <v>506.878</v>
      </c>
      <c r="K73" t="n">
        <v>525.528</v>
      </c>
      <c r="L73" t="n">
        <v>625.644</v>
      </c>
      <c r="M73" t="n">
        <v>614.664</v>
      </c>
      <c r="N73" t="n">
        <v>671.158</v>
      </c>
      <c r="O73" t="n">
        <v>625.5</v>
      </c>
      <c r="P73" t="n">
        <v>673.889</v>
      </c>
      <c r="Q73" t="n">
        <v>457.391</v>
      </c>
      <c r="R73" t="n">
        <v>447.599</v>
      </c>
      <c r="S73" t="n">
        <v>506.227</v>
      </c>
      <c r="T73" t="n">
        <v>385.472</v>
      </c>
      <c r="U73" t="n">
        <v>319.736</v>
      </c>
      <c r="V73" t="n">
        <v>304.937</v>
      </c>
      <c r="W73" t="n">
        <v>281.856</v>
      </c>
      <c r="X73" t="n">
        <v>301.742</v>
      </c>
      <c r="Y73" t="n">
        <v>488.639</v>
      </c>
      <c r="Z73" t="n">
        <v>581.574</v>
      </c>
      <c r="AA73" t="n">
        <v>607.801</v>
      </c>
      <c r="AB73" t="n">
        <v>2211.932</v>
      </c>
      <c r="AC73" t="n">
        <v>2180.27</v>
      </c>
      <c r="AD73" t="n">
        <v>2330.948</v>
      </c>
      <c r="AE73" t="n">
        <v>1799.997</v>
      </c>
      <c r="AF73" t="n">
        <v>1952.839</v>
      </c>
      <c r="AG73" t="n">
        <v>1677.589</v>
      </c>
      <c r="AH73" t="n">
        <v>1531.921</v>
      </c>
      <c r="AI73" t="n">
        <v>1710.702</v>
      </c>
      <c r="AJ73" t="n">
        <v>1569.864</v>
      </c>
      <c r="AK73" t="n">
        <v>1982.341</v>
      </c>
      <c r="AL73" t="n">
        <v>2389.06</v>
      </c>
      <c r="AM73" t="n">
        <v>1992.602</v>
      </c>
      <c r="AN73" t="n">
        <v>1663.665</v>
      </c>
      <c r="AO73" t="n">
        <v>1657.612</v>
      </c>
      <c r="AP73" t="n">
        <v>1803.549</v>
      </c>
      <c r="AQ73" t="n">
        <v>1694.234</v>
      </c>
      <c r="AR73" t="n">
        <v>1657.004</v>
      </c>
      <c r="AS73" t="n">
        <v>2177.588</v>
      </c>
      <c r="AT73" t="n">
        <v>2264.47</v>
      </c>
      <c r="AU73" t="n">
        <v>2147.918</v>
      </c>
      <c r="AV73" t="n">
        <v>1559.132</v>
      </c>
      <c r="AW73" t="n">
        <v>1140.069</v>
      </c>
      <c r="AX73" t="n">
        <v>807.926</v>
      </c>
      <c r="AY73" t="n">
        <v>594.321</v>
      </c>
      <c r="AZ73" t="n">
        <v>660.913</v>
      </c>
      <c r="BA73" t="n">
        <v>774.289</v>
      </c>
      <c r="BB73" t="n">
        <v>470.314</v>
      </c>
      <c r="BC73" t="n">
        <v>507.586</v>
      </c>
      <c r="BD73" t="n">
        <v>313.067</v>
      </c>
      <c r="BE73" t="n">
        <v>303.122</v>
      </c>
      <c r="BF73" t="n">
        <v>159.862</v>
      </c>
      <c r="BG73" t="n">
        <v>163.967</v>
      </c>
      <c r="BH73" t="n">
        <v>192.829</v>
      </c>
      <c r="BI73" t="n">
        <v>106.295</v>
      </c>
      <c r="BJ73" t="n">
        <v>72.182</v>
      </c>
      <c r="BK73" t="n">
        <v>66.02</v>
      </c>
      <c r="BL73" t="n">
        <v>75.944</v>
      </c>
      <c r="BM73" t="n">
        <v>51.252</v>
      </c>
      <c r="BN73" t="n">
        <v>49.765</v>
      </c>
      <c r="BO73" t="n">
        <v>57.773</v>
      </c>
      <c r="BP73" t="n">
        <v>79.301</v>
      </c>
      <c r="BQ73" t="n">
        <v>126.96</v>
      </c>
      <c r="BR73" t="n">
        <v>75.55800000000001</v>
      </c>
      <c r="BS73" t="n">
        <v>93.502</v>
      </c>
      <c r="BT73" t="n">
        <v>118.03</v>
      </c>
      <c r="BU73" t="n">
        <v>44.675</v>
      </c>
      <c r="BV73" t="n">
        <v>157.661</v>
      </c>
    </row>
    <row r="74">
      <c r="A74" t="inlineStr">
        <is>
          <t>Merlucciidae</t>
        </is>
      </c>
      <c r="B74" t="inlineStr">
        <is>
          <t>Merluccid hakes</t>
        </is>
      </c>
      <c r="C74" t="inlineStr">
        <is>
          <t>Large bathydemersals (&gt;=90 cm)</t>
        </is>
      </c>
      <c r="D74" t="inlineStr">
        <is>
          <t>Cod-likes</t>
        </is>
      </c>
      <c r="E74" t="n">
        <v>828.822</v>
      </c>
      <c r="F74" t="n">
        <v>1972.789</v>
      </c>
      <c r="G74" t="n">
        <v>791.954</v>
      </c>
      <c r="H74" t="n">
        <v>861.024</v>
      </c>
      <c r="I74" t="n">
        <v>1078.847</v>
      </c>
      <c r="J74" t="n">
        <v>1123.416</v>
      </c>
      <c r="K74" t="n">
        <v>1022.619</v>
      </c>
      <c r="L74" t="n">
        <v>945.813</v>
      </c>
      <c r="M74" t="n">
        <v>927.409</v>
      </c>
      <c r="N74" t="n">
        <v>923.058</v>
      </c>
      <c r="O74" t="n">
        <v>308.017</v>
      </c>
      <c r="P74" t="n">
        <v>1038.355</v>
      </c>
      <c r="Q74" t="n">
        <v>355.316</v>
      </c>
      <c r="R74" t="n">
        <v>456.935</v>
      </c>
      <c r="S74" t="n">
        <v>1372.377</v>
      </c>
      <c r="T74" t="n">
        <v>1441.97</v>
      </c>
      <c r="U74" t="n">
        <v>988.5309999999999</v>
      </c>
      <c r="V74" t="n">
        <v>863.633</v>
      </c>
      <c r="W74" t="n">
        <v>1519.629</v>
      </c>
      <c r="X74" t="n">
        <v>1113.329</v>
      </c>
      <c r="Y74" t="n">
        <v>1307.714</v>
      </c>
      <c r="Z74" t="n">
        <v>1386.694</v>
      </c>
      <c r="AA74" t="n">
        <v>1231.831</v>
      </c>
      <c r="AB74" t="n">
        <v>1197.676</v>
      </c>
      <c r="AC74" t="n">
        <v>1125.512</v>
      </c>
      <c r="AD74" t="n">
        <v>1006.602</v>
      </c>
      <c r="AE74" t="n">
        <v>1058.741</v>
      </c>
      <c r="AF74" t="n">
        <v>1062.801</v>
      </c>
      <c r="AG74" t="n">
        <v>1116.501</v>
      </c>
      <c r="AH74" t="n">
        <v>1263.19</v>
      </c>
      <c r="AI74" t="n">
        <v>1171.622</v>
      </c>
      <c r="AJ74" t="n">
        <v>1343.541</v>
      </c>
      <c r="AK74" t="n">
        <v>1389.489</v>
      </c>
      <c r="AL74" t="n">
        <v>1285.274</v>
      </c>
      <c r="AM74" t="n">
        <v>1269.125</v>
      </c>
      <c r="AN74" t="n">
        <v>1018.687</v>
      </c>
      <c r="AO74" t="n">
        <v>956.616</v>
      </c>
      <c r="AP74" t="n">
        <v>932.884</v>
      </c>
      <c r="AQ74" t="n">
        <v>880.2619999999999</v>
      </c>
      <c r="AR74" t="n">
        <v>789.021</v>
      </c>
      <c r="AS74" t="n">
        <v>717.457</v>
      </c>
      <c r="AT74" t="n">
        <v>514.606</v>
      </c>
      <c r="AU74" t="n">
        <v>378.325</v>
      </c>
      <c r="AV74" t="n">
        <v>416.904</v>
      </c>
      <c r="AW74" t="n">
        <v>367.648</v>
      </c>
      <c r="AX74" t="n">
        <v>603.722</v>
      </c>
      <c r="AY74" t="n">
        <v>403.232</v>
      </c>
      <c r="AZ74" t="n">
        <v>424.679</v>
      </c>
      <c r="BA74" t="n">
        <v>441.819</v>
      </c>
      <c r="BB74" t="n">
        <v>516.8390000000001</v>
      </c>
      <c r="BC74" t="n">
        <v>588.6609999999999</v>
      </c>
      <c r="BD74" t="n">
        <v>615.428</v>
      </c>
      <c r="BE74" t="n">
        <v>635.402</v>
      </c>
      <c r="BF74" t="n">
        <v>559.698</v>
      </c>
      <c r="BG74" t="n">
        <v>501.475</v>
      </c>
      <c r="BH74" t="n">
        <v>500.449</v>
      </c>
      <c r="BI74" t="n">
        <v>581.109</v>
      </c>
      <c r="BJ74" t="n">
        <v>447.703</v>
      </c>
      <c r="BK74" t="n">
        <v>448.099</v>
      </c>
      <c r="BL74" t="n">
        <v>203.872</v>
      </c>
      <c r="BM74" t="n">
        <v>218.062</v>
      </c>
      <c r="BN74" t="n">
        <v>376.356</v>
      </c>
      <c r="BO74" t="n">
        <v>488.921</v>
      </c>
      <c r="BP74" t="n">
        <v>476.433</v>
      </c>
      <c r="BQ74" t="n">
        <v>547.775</v>
      </c>
      <c r="BR74" t="n">
        <v>0</v>
      </c>
      <c r="BS74" t="n">
        <v>0</v>
      </c>
      <c r="BT74" t="n">
        <v>0</v>
      </c>
      <c r="BU74" t="n">
        <v>674.125</v>
      </c>
      <c r="BV74" t="n">
        <v>566.407</v>
      </c>
    </row>
    <row r="75">
      <c r="A75" t="inlineStr">
        <is>
          <t>Clupeidae</t>
        </is>
      </c>
      <c r="B75" t="inlineStr">
        <is>
          <t>Herrings, sardines, menhadens</t>
        </is>
      </c>
      <c r="C75" t="inlineStr">
        <is>
          <t>Small pelagics (&lt;30 cm)</t>
        </is>
      </c>
      <c r="D75" t="inlineStr">
        <is>
          <t>Herring-likes</t>
        </is>
      </c>
      <c r="E75" t="n">
        <v>969.787</v>
      </c>
      <c r="F75" t="n">
        <v>2419.632</v>
      </c>
      <c r="G75" t="n">
        <v>953.702</v>
      </c>
      <c r="H75" t="n">
        <v>1132.681</v>
      </c>
      <c r="I75" t="n">
        <v>1303.185</v>
      </c>
      <c r="J75" t="n">
        <v>1308.127</v>
      </c>
      <c r="K75" t="n">
        <v>1102.251</v>
      </c>
      <c r="L75" t="n">
        <v>963.293</v>
      </c>
      <c r="M75" t="n">
        <v>924.245</v>
      </c>
      <c r="N75" t="n">
        <v>906.456</v>
      </c>
      <c r="O75" t="n">
        <v>443.152</v>
      </c>
      <c r="P75" t="n">
        <v>951.631</v>
      </c>
      <c r="Q75" t="n">
        <v>499.674</v>
      </c>
      <c r="R75" t="n">
        <v>677.778</v>
      </c>
      <c r="S75" t="n">
        <v>1257.216</v>
      </c>
      <c r="T75" t="n">
        <v>1231.172</v>
      </c>
      <c r="U75" t="n">
        <v>834.708</v>
      </c>
      <c r="V75" t="n">
        <v>761.093</v>
      </c>
      <c r="W75" t="n">
        <v>1318.514</v>
      </c>
      <c r="X75" t="n">
        <v>1040.178</v>
      </c>
      <c r="Y75" t="n">
        <v>1095.688</v>
      </c>
      <c r="Z75" t="n">
        <v>1274.011</v>
      </c>
      <c r="AA75" t="n">
        <v>1022.786</v>
      </c>
      <c r="AB75" t="n">
        <v>1195.021</v>
      </c>
      <c r="AC75" t="n">
        <v>1097.613</v>
      </c>
      <c r="AD75" t="n">
        <v>1023.54</v>
      </c>
      <c r="AE75" t="n">
        <v>1010.562</v>
      </c>
      <c r="AF75" t="n">
        <v>1028.304</v>
      </c>
      <c r="AG75" t="n">
        <v>977.513</v>
      </c>
      <c r="AH75" t="n">
        <v>1119.341</v>
      </c>
      <c r="AI75" t="n">
        <v>934.1660000000001</v>
      </c>
      <c r="AJ75" t="n">
        <v>1199.371</v>
      </c>
      <c r="AK75" t="n">
        <v>1271.079</v>
      </c>
      <c r="AL75" t="n">
        <v>1086.698</v>
      </c>
      <c r="AM75" t="n">
        <v>1077.205</v>
      </c>
      <c r="AN75" t="n">
        <v>926.064</v>
      </c>
      <c r="AO75" t="n">
        <v>768.059</v>
      </c>
      <c r="AP75" t="n">
        <v>738.865</v>
      </c>
      <c r="AQ75" t="n">
        <v>756.76</v>
      </c>
      <c r="AR75" t="n">
        <v>786.062</v>
      </c>
      <c r="AS75" t="n">
        <v>669.783</v>
      </c>
      <c r="AT75" t="n">
        <v>501.622</v>
      </c>
      <c r="AU75" t="n">
        <v>306.494</v>
      </c>
      <c r="AV75" t="n">
        <v>348.256</v>
      </c>
      <c r="AW75" t="n">
        <v>307.757</v>
      </c>
      <c r="AX75" t="n">
        <v>645.487</v>
      </c>
      <c r="AY75" t="n">
        <v>375.049</v>
      </c>
      <c r="AZ75" t="n">
        <v>437.512</v>
      </c>
      <c r="BA75" t="n">
        <v>468.528</v>
      </c>
      <c r="BB75" t="n">
        <v>536.006</v>
      </c>
      <c r="BC75" t="n">
        <v>603.45</v>
      </c>
      <c r="BD75" t="n">
        <v>633.601</v>
      </c>
      <c r="BE75" t="n">
        <v>641.372</v>
      </c>
      <c r="BF75" t="n">
        <v>612.155</v>
      </c>
      <c r="BG75" t="n">
        <v>580.811</v>
      </c>
      <c r="BH75" t="n">
        <v>593.41</v>
      </c>
      <c r="BI75" t="n">
        <v>659.505</v>
      </c>
      <c r="BJ75" t="n">
        <v>474.392</v>
      </c>
      <c r="BK75" t="n">
        <v>474.352</v>
      </c>
      <c r="BL75" t="n">
        <v>178.753</v>
      </c>
      <c r="BM75" t="n">
        <v>164.048</v>
      </c>
      <c r="BN75" t="n">
        <v>344.362</v>
      </c>
      <c r="BO75" t="n">
        <v>508.86</v>
      </c>
      <c r="BP75" t="n">
        <v>531.809</v>
      </c>
      <c r="BQ75" t="n">
        <v>605.191</v>
      </c>
      <c r="BR75" t="n">
        <v>184.248</v>
      </c>
      <c r="BS75" t="n">
        <v>178.089</v>
      </c>
      <c r="BT75" t="n">
        <v>175.582</v>
      </c>
      <c r="BU75" t="n">
        <v>729.883</v>
      </c>
      <c r="BV75" t="n">
        <v>614.029</v>
      </c>
    </row>
    <row r="76">
      <c r="A76" t="inlineStr">
        <is>
          <t>Molva</t>
        </is>
      </c>
      <c r="B76" t="inlineStr">
        <is>
          <t>Lings</t>
        </is>
      </c>
      <c r="C76" t="inlineStr">
        <is>
          <t>Large demersals (&gt;=90 cm)</t>
        </is>
      </c>
      <c r="D76" t="inlineStr">
        <is>
          <t>Cod-likes</t>
        </is>
      </c>
      <c r="E76" t="n">
        <v>5856.473</v>
      </c>
      <c r="F76" t="n">
        <v>4710.26</v>
      </c>
      <c r="G76" t="n">
        <v>3640.087</v>
      </c>
      <c r="H76" t="n">
        <v>3690.855</v>
      </c>
      <c r="I76" t="n">
        <v>3827.761</v>
      </c>
      <c r="J76" t="n">
        <v>3865.578</v>
      </c>
      <c r="K76" t="n">
        <v>3477.033</v>
      </c>
      <c r="L76" t="n">
        <v>4384.323</v>
      </c>
      <c r="M76" t="n">
        <v>3970.696</v>
      </c>
      <c r="N76" t="n">
        <v>4076.429</v>
      </c>
      <c r="O76" t="n">
        <v>2368.891</v>
      </c>
      <c r="P76" t="n">
        <v>915.578</v>
      </c>
      <c r="Q76" t="n">
        <v>615.5890000000001</v>
      </c>
      <c r="R76" t="n">
        <v>711.545</v>
      </c>
      <c r="S76" t="n">
        <v>396.192</v>
      </c>
      <c r="T76" t="n">
        <v>285.938</v>
      </c>
      <c r="U76" t="n">
        <v>273.646</v>
      </c>
      <c r="V76" t="n">
        <v>398.815</v>
      </c>
      <c r="W76" t="n">
        <v>383.029</v>
      </c>
      <c r="X76" t="n">
        <v>310.146</v>
      </c>
      <c r="Y76" t="n">
        <v>248.986</v>
      </c>
      <c r="Z76" t="n">
        <v>216.82</v>
      </c>
      <c r="AA76" t="n">
        <v>203.602</v>
      </c>
      <c r="AB76" t="n">
        <v>177.998</v>
      </c>
      <c r="AC76" t="n">
        <v>181.442</v>
      </c>
      <c r="AD76" t="n">
        <v>638.972</v>
      </c>
      <c r="AE76" t="n">
        <v>630.374</v>
      </c>
      <c r="AF76" t="n">
        <v>149.496</v>
      </c>
      <c r="AG76" t="n">
        <v>430.753</v>
      </c>
      <c r="AH76" t="n">
        <v>466.305</v>
      </c>
      <c r="AI76" t="n">
        <v>290.517</v>
      </c>
      <c r="AJ76" t="n">
        <v>324.508</v>
      </c>
      <c r="AK76" t="n">
        <v>64.649</v>
      </c>
      <c r="AL76" t="n">
        <v>220.812</v>
      </c>
      <c r="AM76" t="n">
        <v>139.775</v>
      </c>
      <c r="AN76" t="n">
        <v>184.37</v>
      </c>
      <c r="AO76" t="n">
        <v>71.79000000000001</v>
      </c>
      <c r="AP76" t="n">
        <v>67.51300000000001</v>
      </c>
      <c r="AQ76" t="n">
        <v>39.674</v>
      </c>
      <c r="AR76" t="n">
        <v>75.184</v>
      </c>
      <c r="AS76" t="n">
        <v>50.746</v>
      </c>
      <c r="AT76" t="n">
        <v>80.05800000000001</v>
      </c>
      <c r="AU76" t="n">
        <v>150.211</v>
      </c>
      <c r="AV76" t="n">
        <v>168.446</v>
      </c>
      <c r="AW76" t="n">
        <v>139.994</v>
      </c>
      <c r="AX76" t="n">
        <v>57.054</v>
      </c>
      <c r="AY76" t="n">
        <v>84.727</v>
      </c>
      <c r="AZ76" t="n">
        <v>70.66200000000001</v>
      </c>
      <c r="BA76" t="n">
        <v>51.62</v>
      </c>
      <c r="BB76" t="n">
        <v>54.17</v>
      </c>
      <c r="BC76" t="n">
        <v>52.878</v>
      </c>
      <c r="BD76" t="n">
        <v>54.996</v>
      </c>
      <c r="BE76" t="n">
        <v>54.838</v>
      </c>
      <c r="BF76" t="n">
        <v>46.717</v>
      </c>
      <c r="BG76" t="n">
        <v>44.329</v>
      </c>
      <c r="BH76" t="n">
        <v>45.345</v>
      </c>
      <c r="BI76" t="n">
        <v>45.245</v>
      </c>
      <c r="BJ76" t="n">
        <v>40.6</v>
      </c>
      <c r="BK76" t="n">
        <v>49.492</v>
      </c>
      <c r="BL76" t="n">
        <v>47.163</v>
      </c>
      <c r="BM76" t="n">
        <v>41.442</v>
      </c>
      <c r="BN76" t="n">
        <v>0</v>
      </c>
      <c r="BO76" t="n">
        <v>0</v>
      </c>
      <c r="BP76" t="n">
        <v>0</v>
      </c>
      <c r="BQ76" t="n">
        <v>0</v>
      </c>
      <c r="BR76" t="n">
        <v>0.004</v>
      </c>
      <c r="BS76" t="n">
        <v>0.08</v>
      </c>
      <c r="BT76" t="n">
        <v>0.052</v>
      </c>
      <c r="BU76" t="n">
        <v>0.001</v>
      </c>
      <c r="BV76" t="n">
        <v>0.001</v>
      </c>
    </row>
    <row r="77">
      <c r="A77" t="inlineStr">
        <is>
          <t>Cetorhinus maximus</t>
        </is>
      </c>
      <c r="B77" t="inlineStr">
        <is>
          <t>Basking shark</t>
        </is>
      </c>
      <c r="C77" t="inlineStr">
        <is>
          <t>Large sharks (&gt;=90 cm)</t>
        </is>
      </c>
      <c r="D77" t="inlineStr">
        <is>
          <t>Sharks &amp; rays</t>
        </is>
      </c>
      <c r="E77" t="n">
        <v>2621.294</v>
      </c>
      <c r="F77" t="n">
        <v>545.941</v>
      </c>
      <c r="G77" t="n">
        <v>0.01</v>
      </c>
      <c r="H77" t="n">
        <v>0.015</v>
      </c>
      <c r="I77" t="n">
        <v>0.018</v>
      </c>
      <c r="J77" t="n">
        <v>0.008</v>
      </c>
      <c r="K77" t="n">
        <v>0.477</v>
      </c>
      <c r="L77" t="n">
        <v>0.007</v>
      </c>
      <c r="M77" t="n">
        <v>0.003</v>
      </c>
      <c r="N77" t="n">
        <v>254.736</v>
      </c>
      <c r="O77" t="n">
        <v>2954.347</v>
      </c>
      <c r="P77" t="n">
        <v>898.343</v>
      </c>
      <c r="Q77" t="n">
        <v>810.3390000000001</v>
      </c>
      <c r="R77" t="n">
        <v>1930.986</v>
      </c>
      <c r="S77" t="n">
        <v>2606.949</v>
      </c>
      <c r="T77" t="n">
        <v>5366.667</v>
      </c>
      <c r="U77" t="n">
        <v>2356.906</v>
      </c>
      <c r="V77" t="n">
        <v>5255.569</v>
      </c>
      <c r="W77" t="n">
        <v>3398.768</v>
      </c>
      <c r="X77" t="n">
        <v>2088.365</v>
      </c>
      <c r="Y77" t="n">
        <v>2844.622</v>
      </c>
      <c r="Z77" t="n">
        <v>2293.173</v>
      </c>
      <c r="AA77" t="n">
        <v>1778.096</v>
      </c>
      <c r="AB77" t="n">
        <v>2074.459</v>
      </c>
      <c r="AC77" t="n">
        <v>2606.95</v>
      </c>
      <c r="AD77" t="n">
        <v>2284.122</v>
      </c>
      <c r="AE77" t="n">
        <v>0.083</v>
      </c>
      <c r="AF77" t="n">
        <v>0.08799999999999999</v>
      </c>
      <c r="AG77" t="n">
        <v>0.081</v>
      </c>
      <c r="AH77" t="n">
        <v>0.123</v>
      </c>
      <c r="AI77" t="n">
        <v>0.08799999999999999</v>
      </c>
      <c r="AJ77" t="n">
        <v>0.043</v>
      </c>
      <c r="AK77" t="n">
        <v>0.048</v>
      </c>
      <c r="AL77" t="n">
        <v>1578.755</v>
      </c>
      <c r="AM77" t="n">
        <v>2554.732</v>
      </c>
      <c r="AN77" t="n">
        <v>0.035</v>
      </c>
      <c r="AO77" t="n">
        <v>0.028</v>
      </c>
      <c r="AP77" t="n">
        <v>0.004</v>
      </c>
      <c r="AQ77" t="n">
        <v>214.556</v>
      </c>
      <c r="AR77" t="n">
        <v>0.014</v>
      </c>
      <c r="AS77" t="n">
        <v>248.423</v>
      </c>
      <c r="AT77" t="n">
        <v>474.032</v>
      </c>
      <c r="AU77" t="n">
        <v>180.665</v>
      </c>
      <c r="AV77" t="n">
        <v>0.033</v>
      </c>
      <c r="AW77" t="n">
        <v>256.486</v>
      </c>
      <c r="AX77" t="n">
        <v>3.993</v>
      </c>
      <c r="AY77" t="n">
        <v>0.022</v>
      </c>
      <c r="AZ77" t="n">
        <v>105.793</v>
      </c>
      <c r="BA77" t="n">
        <v>0.002</v>
      </c>
      <c r="BB77" t="n">
        <v>0.001</v>
      </c>
      <c r="BC77" t="n">
        <v>0.003</v>
      </c>
      <c r="BD77" t="n">
        <v>189.008</v>
      </c>
      <c r="BE77" t="n">
        <v>104.349</v>
      </c>
      <c r="BF77" t="n">
        <v>0.004</v>
      </c>
      <c r="BG77" t="n">
        <v>0.002</v>
      </c>
      <c r="BH77" t="n">
        <v>0.002</v>
      </c>
      <c r="BI77" t="n">
        <v>0</v>
      </c>
      <c r="BJ77" t="n">
        <v>0.001</v>
      </c>
      <c r="BK77" t="n">
        <v>0</v>
      </c>
      <c r="BL77" t="n">
        <v>0.001</v>
      </c>
      <c r="BM77" t="n">
        <v>0</v>
      </c>
      <c r="BN77" t="n">
        <v>0</v>
      </c>
      <c r="BO77" t="n">
        <v>10.992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Trachinus draco</t>
        </is>
      </c>
      <c r="B78" t="inlineStr">
        <is>
          <t>Greater weever</t>
        </is>
      </c>
      <c r="C78" t="inlineStr">
        <is>
          <t>Medium demersals (30 - 89 cm)</t>
        </is>
      </c>
      <c r="D78" t="inlineStr">
        <is>
          <t>Perch-likes</t>
        </is>
      </c>
      <c r="E78" t="n">
        <v>0.115</v>
      </c>
      <c r="F78" t="n">
        <v>0.121</v>
      </c>
      <c r="G78" t="n">
        <v>0.127</v>
      </c>
      <c r="H78" t="n">
        <v>0.14</v>
      </c>
      <c r="I78" t="n">
        <v>0.127</v>
      </c>
      <c r="J78" t="n">
        <v>0.136</v>
      </c>
      <c r="K78" t="n">
        <v>0.103</v>
      </c>
      <c r="L78" t="n">
        <v>0.08400000000000001</v>
      </c>
      <c r="M78" t="n">
        <v>39.973</v>
      </c>
      <c r="N78" t="n">
        <v>28.027</v>
      </c>
      <c r="O78" t="n">
        <v>1584.697</v>
      </c>
      <c r="P78" t="n">
        <v>0.08699999999999999</v>
      </c>
      <c r="Q78" t="n">
        <v>0.095</v>
      </c>
      <c r="R78" t="n">
        <v>0.091</v>
      </c>
      <c r="S78" t="n">
        <v>0.131</v>
      </c>
      <c r="T78" t="n">
        <v>0.321</v>
      </c>
      <c r="U78" t="n">
        <v>0.412</v>
      </c>
      <c r="V78" t="n">
        <v>0.307</v>
      </c>
      <c r="W78" t="n">
        <v>0.286</v>
      </c>
      <c r="X78" t="n">
        <v>0.323</v>
      </c>
      <c r="Y78" t="n">
        <v>0.295</v>
      </c>
      <c r="Z78" t="n">
        <v>1.351</v>
      </c>
      <c r="AA78" t="n">
        <v>480.031</v>
      </c>
      <c r="AB78" t="n">
        <v>354.275</v>
      </c>
      <c r="AC78" t="n">
        <v>18.192</v>
      </c>
      <c r="AD78" t="n">
        <v>0.475</v>
      </c>
      <c r="AE78" t="n">
        <v>24.088</v>
      </c>
      <c r="AF78" t="n">
        <v>14.467</v>
      </c>
      <c r="AG78" t="n">
        <v>19.577</v>
      </c>
      <c r="AH78" t="n">
        <v>7.678</v>
      </c>
      <c r="AI78" t="n">
        <v>34.533</v>
      </c>
      <c r="AJ78" t="n">
        <v>44.31</v>
      </c>
      <c r="AK78" t="n">
        <v>3483.891</v>
      </c>
      <c r="AL78" t="n">
        <v>2697.755</v>
      </c>
      <c r="AM78" t="n">
        <v>585.938</v>
      </c>
      <c r="AN78" t="n">
        <v>4919.78</v>
      </c>
      <c r="AO78" t="n">
        <v>866.2430000000001</v>
      </c>
      <c r="AP78" t="n">
        <v>612.086</v>
      </c>
      <c r="AQ78" t="n">
        <v>2177.548</v>
      </c>
      <c r="AR78" t="n">
        <v>751.995</v>
      </c>
      <c r="AS78" t="n">
        <v>543.38</v>
      </c>
      <c r="AT78" t="n">
        <v>539.802</v>
      </c>
      <c r="AU78" t="n">
        <v>718.3</v>
      </c>
      <c r="AV78" t="n">
        <v>427.291</v>
      </c>
      <c r="AW78" t="n">
        <v>338.258</v>
      </c>
      <c r="AX78" t="n">
        <v>281.503</v>
      </c>
      <c r="AY78" t="n">
        <v>149.634</v>
      </c>
      <c r="AZ78" t="n">
        <v>169.376</v>
      </c>
      <c r="BA78" t="n">
        <v>127.746</v>
      </c>
      <c r="BB78" t="n">
        <v>193.339</v>
      </c>
      <c r="BC78" t="n">
        <v>147.195</v>
      </c>
      <c r="BD78" t="n">
        <v>198.386</v>
      </c>
      <c r="BE78" t="n">
        <v>347.79</v>
      </c>
      <c r="BF78" t="n">
        <v>299.137</v>
      </c>
      <c r="BG78" t="n">
        <v>304.808</v>
      </c>
      <c r="BH78" t="n">
        <v>674.429</v>
      </c>
      <c r="BI78" t="n">
        <v>5873.896</v>
      </c>
      <c r="BJ78" t="n">
        <v>1532.308</v>
      </c>
      <c r="BK78" t="n">
        <v>761.25</v>
      </c>
      <c r="BL78" t="n">
        <v>1205.601</v>
      </c>
      <c r="BM78" t="n">
        <v>261.005</v>
      </c>
      <c r="BN78" t="n">
        <v>2289.782</v>
      </c>
      <c r="BO78" t="n">
        <v>1744.018</v>
      </c>
      <c r="BP78" t="n">
        <v>4015.365</v>
      </c>
      <c r="BQ78" t="n">
        <v>5199.993</v>
      </c>
      <c r="BR78" t="n">
        <v>1254.218</v>
      </c>
      <c r="BS78" t="n">
        <v>791.655</v>
      </c>
      <c r="BT78" t="n">
        <v>818.33</v>
      </c>
      <c r="BU78" t="n">
        <v>234.744</v>
      </c>
      <c r="BV78" t="n">
        <v>486.37</v>
      </c>
    </row>
    <row r="79">
      <c r="A79" t="inlineStr">
        <is>
          <t>Belone belone</t>
        </is>
      </c>
      <c r="B79" t="inlineStr">
        <is>
          <t>Garfish</t>
        </is>
      </c>
      <c r="C79" t="inlineStr">
        <is>
          <t>Medium pelagics (30 - 89 cm)</t>
        </is>
      </c>
      <c r="D79" t="inlineStr">
        <is>
          <t>Other fishes &amp; inverts</t>
        </is>
      </c>
      <c r="E79" t="n">
        <v>1449.965</v>
      </c>
      <c r="F79" t="n">
        <v>1699.566</v>
      </c>
      <c r="G79" t="n">
        <v>1181.567</v>
      </c>
      <c r="H79" t="n">
        <v>1018.889</v>
      </c>
      <c r="I79" t="n">
        <v>1191.764</v>
      </c>
      <c r="J79" t="n">
        <v>1088.213</v>
      </c>
      <c r="K79" t="n">
        <v>1616.995</v>
      </c>
      <c r="L79" t="n">
        <v>1317.635</v>
      </c>
      <c r="M79" t="n">
        <v>1271.089</v>
      </c>
      <c r="N79" t="n">
        <v>921.672</v>
      </c>
      <c r="O79" t="n">
        <v>1101.826</v>
      </c>
      <c r="P79" t="n">
        <v>1326.581</v>
      </c>
      <c r="Q79" t="n">
        <v>1376.294</v>
      </c>
      <c r="R79" t="n">
        <v>996.2329999999999</v>
      </c>
      <c r="S79" t="n">
        <v>823.479</v>
      </c>
      <c r="T79" t="n">
        <v>709.176</v>
      </c>
      <c r="U79" t="n">
        <v>691.598</v>
      </c>
      <c r="V79" t="n">
        <v>748.106</v>
      </c>
      <c r="W79" t="n">
        <v>762.102</v>
      </c>
      <c r="X79" t="n">
        <v>775.303</v>
      </c>
      <c r="Y79" t="n">
        <v>831.193</v>
      </c>
      <c r="Z79" t="n">
        <v>890.706</v>
      </c>
      <c r="AA79" t="n">
        <v>952.029</v>
      </c>
      <c r="AB79" t="n">
        <v>817.047</v>
      </c>
      <c r="AC79" t="n">
        <v>671.093</v>
      </c>
      <c r="AD79" t="n">
        <v>725.428</v>
      </c>
      <c r="AE79" t="n">
        <v>861.558</v>
      </c>
      <c r="AF79" t="n">
        <v>1181.996</v>
      </c>
      <c r="AG79" t="n">
        <v>1022.349</v>
      </c>
      <c r="AH79" t="n">
        <v>711.833</v>
      </c>
      <c r="AI79" t="n">
        <v>575.582</v>
      </c>
      <c r="AJ79" t="n">
        <v>785.803</v>
      </c>
      <c r="AK79" t="n">
        <v>666.285</v>
      </c>
      <c r="AL79" t="n">
        <v>605.9299999999999</v>
      </c>
      <c r="AM79" t="n">
        <v>587.4400000000001</v>
      </c>
      <c r="AN79" t="n">
        <v>619.052</v>
      </c>
      <c r="AO79" t="n">
        <v>468.203</v>
      </c>
      <c r="AP79" t="n">
        <v>522.386</v>
      </c>
      <c r="AQ79" t="n">
        <v>451.035</v>
      </c>
      <c r="AR79" t="n">
        <v>406.011</v>
      </c>
      <c r="AS79" t="n">
        <v>496.462</v>
      </c>
      <c r="AT79" t="n">
        <v>594.364</v>
      </c>
      <c r="AU79" t="n">
        <v>494.42</v>
      </c>
      <c r="AV79" t="n">
        <v>504.315</v>
      </c>
      <c r="AW79" t="n">
        <v>479.314</v>
      </c>
      <c r="AX79" t="n">
        <v>572.931</v>
      </c>
      <c r="AY79" t="n">
        <v>581.649</v>
      </c>
      <c r="AZ79" t="n">
        <v>832.394</v>
      </c>
      <c r="BA79" t="n">
        <v>585.515</v>
      </c>
      <c r="BB79" t="n">
        <v>475.223</v>
      </c>
      <c r="BC79" t="n">
        <v>519.936</v>
      </c>
      <c r="BD79" t="n">
        <v>430.45</v>
      </c>
      <c r="BE79" t="n">
        <v>419.279</v>
      </c>
      <c r="BF79" t="n">
        <v>459.504</v>
      </c>
      <c r="BG79" t="n">
        <v>530.961</v>
      </c>
      <c r="BH79" t="n">
        <v>323.806</v>
      </c>
      <c r="BI79" t="n">
        <v>309.331</v>
      </c>
      <c r="BJ79" t="n">
        <v>280.166</v>
      </c>
      <c r="BK79" t="n">
        <v>306.96</v>
      </c>
      <c r="BL79" t="n">
        <v>317.182</v>
      </c>
      <c r="BM79" t="n">
        <v>330.217</v>
      </c>
      <c r="BN79" t="n">
        <v>331.969</v>
      </c>
      <c r="BO79" t="n">
        <v>326.19</v>
      </c>
      <c r="BP79" t="n">
        <v>318.003</v>
      </c>
      <c r="BQ79" t="n">
        <v>329.893</v>
      </c>
      <c r="BR79" t="n">
        <v>296.938</v>
      </c>
      <c r="BS79" t="n">
        <v>307.673</v>
      </c>
      <c r="BT79" t="n">
        <v>326.095</v>
      </c>
      <c r="BU79" t="n">
        <v>307.916</v>
      </c>
      <c r="BV79" t="n">
        <v>353.253</v>
      </c>
    </row>
    <row r="80">
      <c r="A80" t="inlineStr">
        <is>
          <t>Lamna nasus</t>
        </is>
      </c>
      <c r="B80" t="inlineStr">
        <is>
          <t>Porbeagle</t>
        </is>
      </c>
      <c r="C80" t="inlineStr">
        <is>
          <t>Large sharks (&gt;=90 cm)</t>
        </is>
      </c>
      <c r="D80" t="inlineStr">
        <is>
          <t>Sharks &amp; rays</t>
        </is>
      </c>
      <c r="E80" t="n">
        <v>4644.597</v>
      </c>
      <c r="F80" t="n">
        <v>3776.44</v>
      </c>
      <c r="G80" t="n">
        <v>3785.001</v>
      </c>
      <c r="H80" t="n">
        <v>2623.694</v>
      </c>
      <c r="I80" t="n">
        <v>1760.965</v>
      </c>
      <c r="J80" t="n">
        <v>2461.385</v>
      </c>
      <c r="K80" t="n">
        <v>1291.272</v>
      </c>
      <c r="L80" t="n">
        <v>1951.969</v>
      </c>
      <c r="M80" t="n">
        <v>2083.971</v>
      </c>
      <c r="N80" t="n">
        <v>1719.94</v>
      </c>
      <c r="O80" t="n">
        <v>1526.086</v>
      </c>
      <c r="P80" t="n">
        <v>1503.922</v>
      </c>
      <c r="Q80" t="n">
        <v>932.495</v>
      </c>
      <c r="R80" t="n">
        <v>516.282</v>
      </c>
      <c r="S80" t="n">
        <v>653.579</v>
      </c>
      <c r="T80" t="n">
        <v>584.421</v>
      </c>
      <c r="U80" t="n">
        <v>394.733</v>
      </c>
      <c r="V80" t="n">
        <v>556.004</v>
      </c>
      <c r="W80" t="n">
        <v>268.942</v>
      </c>
      <c r="X80" t="n">
        <v>422.2</v>
      </c>
      <c r="Y80" t="n">
        <v>463.39</v>
      </c>
      <c r="Z80" t="n">
        <v>905.9450000000001</v>
      </c>
      <c r="AA80" t="n">
        <v>1306.861</v>
      </c>
      <c r="AB80" t="n">
        <v>541.566</v>
      </c>
      <c r="AC80" t="n">
        <v>672.1079999999999</v>
      </c>
      <c r="AD80" t="n">
        <v>1131.199</v>
      </c>
      <c r="AE80" t="n">
        <v>984.857</v>
      </c>
      <c r="AF80" t="n">
        <v>684.079</v>
      </c>
      <c r="AG80" t="n">
        <v>318.595</v>
      </c>
      <c r="AH80" t="n">
        <v>259.967</v>
      </c>
      <c r="AI80" t="n">
        <v>514.287</v>
      </c>
      <c r="AJ80" t="n">
        <v>487.217</v>
      </c>
      <c r="AK80" t="n">
        <v>235.44</v>
      </c>
      <c r="AL80" t="n">
        <v>159.043</v>
      </c>
      <c r="AM80" t="n">
        <v>233.53</v>
      </c>
      <c r="AN80" t="n">
        <v>303.764</v>
      </c>
      <c r="AO80" t="n">
        <v>281.606</v>
      </c>
      <c r="AP80" t="n">
        <v>164.55</v>
      </c>
      <c r="AQ80" t="n">
        <v>94.946</v>
      </c>
      <c r="AR80" t="n">
        <v>131.613</v>
      </c>
      <c r="AS80" t="n">
        <v>170.87</v>
      </c>
      <c r="AT80" t="n">
        <v>234.698</v>
      </c>
      <c r="AU80" t="n">
        <v>244.992</v>
      </c>
      <c r="AV80" t="n">
        <v>237.171</v>
      </c>
      <c r="AW80" t="n">
        <v>231.994</v>
      </c>
      <c r="AX80" t="n">
        <v>218.175</v>
      </c>
      <c r="AY80" t="n">
        <v>191.799</v>
      </c>
      <c r="AZ80" t="n">
        <v>165.328</v>
      </c>
      <c r="BA80" t="n">
        <v>190.761</v>
      </c>
      <c r="BB80" t="n">
        <v>241.475</v>
      </c>
      <c r="BC80" t="n">
        <v>158.612</v>
      </c>
      <c r="BD80" t="n">
        <v>177.526</v>
      </c>
      <c r="BE80" t="n">
        <v>112.489</v>
      </c>
      <c r="BF80" t="n">
        <v>53.035</v>
      </c>
      <c r="BG80" t="n">
        <v>75.387</v>
      </c>
      <c r="BH80" t="n">
        <v>8.442</v>
      </c>
      <c r="BI80" t="n">
        <v>20.314</v>
      </c>
      <c r="BJ80" t="n">
        <v>33.072</v>
      </c>
      <c r="BK80" t="n">
        <v>23.488</v>
      </c>
      <c r="BL80" t="n">
        <v>19.993</v>
      </c>
      <c r="BM80" t="n">
        <v>2.553</v>
      </c>
      <c r="BN80" t="n">
        <v>8.112</v>
      </c>
      <c r="BO80" t="n">
        <v>20.897</v>
      </c>
      <c r="BP80" t="n">
        <v>9.997999999999999</v>
      </c>
      <c r="BQ80" t="n">
        <v>6.448</v>
      </c>
      <c r="BR80" t="n">
        <v>2.789</v>
      </c>
      <c r="BS80" t="n">
        <v>6.172</v>
      </c>
      <c r="BT80" t="n">
        <v>6.51</v>
      </c>
      <c r="BU80" t="n">
        <v>3.922</v>
      </c>
      <c r="BV80" t="n">
        <v>4.553</v>
      </c>
    </row>
    <row r="81">
      <c r="A81" t="inlineStr">
        <is>
          <t>Crangonidae</t>
        </is>
      </c>
      <c r="B81" t="inlineStr">
        <is>
          <t>Brown shrimps</t>
        </is>
      </c>
      <c r="C81" t="inlineStr">
        <is>
          <t>Shrimps</t>
        </is>
      </c>
      <c r="D81" t="inlineStr">
        <is>
          <t>Crustaceans</t>
        </is>
      </c>
      <c r="E81" t="n">
        <v>379.257</v>
      </c>
      <c r="F81" t="n">
        <v>912.698</v>
      </c>
      <c r="G81" t="n">
        <v>369.417</v>
      </c>
      <c r="H81" t="n">
        <v>406.77</v>
      </c>
      <c r="I81" t="n">
        <v>678.2859999999999</v>
      </c>
      <c r="J81" t="n">
        <v>778.561</v>
      </c>
      <c r="K81" t="n">
        <v>647.697</v>
      </c>
      <c r="L81" t="n">
        <v>512.145</v>
      </c>
      <c r="M81" t="n">
        <v>387.628</v>
      </c>
      <c r="N81" t="n">
        <v>460.613</v>
      </c>
      <c r="O81" t="n">
        <v>188.341</v>
      </c>
      <c r="P81" t="n">
        <v>409.766</v>
      </c>
      <c r="Q81" t="n">
        <v>174.707</v>
      </c>
      <c r="R81" t="n">
        <v>236.192</v>
      </c>
      <c r="S81" t="n">
        <v>566.9109999999999</v>
      </c>
      <c r="T81" t="n">
        <v>606.01</v>
      </c>
      <c r="U81" t="n">
        <v>406.043</v>
      </c>
      <c r="V81" t="n">
        <v>357.76</v>
      </c>
      <c r="W81" t="n">
        <v>605.919</v>
      </c>
      <c r="X81" t="n">
        <v>472.05</v>
      </c>
      <c r="Y81" t="n">
        <v>517.259</v>
      </c>
      <c r="Z81" t="n">
        <v>537.628</v>
      </c>
      <c r="AA81" t="n">
        <v>486.575</v>
      </c>
      <c r="AB81" t="n">
        <v>666.143</v>
      </c>
      <c r="AC81" t="n">
        <v>1585.595</v>
      </c>
      <c r="AD81" t="n">
        <v>1826.566</v>
      </c>
      <c r="AE81" t="n">
        <v>1608.082</v>
      </c>
      <c r="AF81" t="n">
        <v>1714.421</v>
      </c>
      <c r="AG81" t="n">
        <v>2532.825</v>
      </c>
      <c r="AH81" t="n">
        <v>2290.35</v>
      </c>
      <c r="AI81" t="n">
        <v>2898.567</v>
      </c>
      <c r="AJ81" t="n">
        <v>4012.792</v>
      </c>
      <c r="AK81" t="n">
        <v>4287.955</v>
      </c>
      <c r="AL81" t="n">
        <v>2467.678</v>
      </c>
      <c r="AM81" t="n">
        <v>1255.275</v>
      </c>
      <c r="AN81" t="n">
        <v>396.15</v>
      </c>
      <c r="AO81" t="n">
        <v>364.472</v>
      </c>
      <c r="AP81" t="n">
        <v>363.56</v>
      </c>
      <c r="AQ81" t="n">
        <v>358.508</v>
      </c>
      <c r="AR81" t="n">
        <v>339.531</v>
      </c>
      <c r="AS81" t="n">
        <v>309.633</v>
      </c>
      <c r="AT81" t="n">
        <v>229.191</v>
      </c>
      <c r="AU81" t="n">
        <v>176.383</v>
      </c>
      <c r="AV81" t="n">
        <v>180.73</v>
      </c>
      <c r="AW81" t="n">
        <v>157.472</v>
      </c>
      <c r="AX81" t="n">
        <v>278.45</v>
      </c>
      <c r="AY81" t="n">
        <v>183.382</v>
      </c>
      <c r="AZ81" t="n">
        <v>190.241</v>
      </c>
      <c r="BA81" t="n">
        <v>202.801</v>
      </c>
      <c r="BB81" t="n">
        <v>231.972</v>
      </c>
      <c r="BC81" t="n">
        <v>272.238</v>
      </c>
      <c r="BD81" t="n">
        <v>291.424</v>
      </c>
      <c r="BE81" t="n">
        <v>284.196</v>
      </c>
      <c r="BF81" t="n">
        <v>255.79</v>
      </c>
      <c r="BG81" t="n">
        <v>240.443</v>
      </c>
      <c r="BH81" t="n">
        <v>241.617</v>
      </c>
      <c r="BI81" t="n">
        <v>267.925</v>
      </c>
      <c r="BJ81" t="n">
        <v>205.731</v>
      </c>
      <c r="BK81" t="n">
        <v>204.548</v>
      </c>
      <c r="BL81" t="n">
        <v>93.54900000000001</v>
      </c>
      <c r="BM81" t="n">
        <v>112.066</v>
      </c>
      <c r="BN81" t="n">
        <v>151.037</v>
      </c>
      <c r="BO81" t="n">
        <v>200.536</v>
      </c>
      <c r="BP81" t="n">
        <v>207.89</v>
      </c>
      <c r="BQ81" t="n">
        <v>236.603</v>
      </c>
      <c r="BR81" t="n">
        <v>64.621</v>
      </c>
      <c r="BS81" t="n">
        <v>62.307</v>
      </c>
      <c r="BT81" t="n">
        <v>61.353</v>
      </c>
      <c r="BU81" t="n">
        <v>285.076</v>
      </c>
      <c r="BV81" t="n">
        <v>238.591</v>
      </c>
    </row>
    <row r="82">
      <c r="A82" t="inlineStr">
        <is>
          <t>Soleidae</t>
        </is>
      </c>
      <c r="B82" t="inlineStr">
        <is>
          <t>Soles</t>
        </is>
      </c>
      <c r="C82" t="inlineStr">
        <is>
          <t>Small to medium flatfishes (&lt;90 cm)</t>
        </is>
      </c>
      <c r="D82" t="inlineStr">
        <is>
          <t>Flatfishes</t>
        </is>
      </c>
      <c r="E82" t="n">
        <v>535.223</v>
      </c>
      <c r="F82" t="n">
        <v>1186.586</v>
      </c>
      <c r="G82" t="n">
        <v>488.544</v>
      </c>
      <c r="H82" t="n">
        <v>534.481</v>
      </c>
      <c r="I82" t="n">
        <v>741.398</v>
      </c>
      <c r="J82" t="n">
        <v>781.989</v>
      </c>
      <c r="K82" t="n">
        <v>749.119</v>
      </c>
      <c r="L82" t="n">
        <v>722.639</v>
      </c>
      <c r="M82" t="n">
        <v>718.798</v>
      </c>
      <c r="N82" t="n">
        <v>713.931</v>
      </c>
      <c r="O82" t="n">
        <v>223.507</v>
      </c>
      <c r="P82" t="n">
        <v>833.093</v>
      </c>
      <c r="Q82" t="n">
        <v>213.095</v>
      </c>
      <c r="R82" t="n">
        <v>264.159</v>
      </c>
      <c r="S82" t="n">
        <v>1122.418</v>
      </c>
      <c r="T82" t="n">
        <v>1214.458</v>
      </c>
      <c r="U82" t="n">
        <v>853.0890000000001</v>
      </c>
      <c r="V82" t="n">
        <v>727.827</v>
      </c>
      <c r="W82" t="n">
        <v>1248.279</v>
      </c>
      <c r="X82" t="n">
        <v>933.345</v>
      </c>
      <c r="Y82" t="n">
        <v>1147.877</v>
      </c>
      <c r="Z82" t="n">
        <v>1205.443</v>
      </c>
      <c r="AA82" t="n">
        <v>1099.777</v>
      </c>
      <c r="AB82" t="n">
        <v>1058.378</v>
      </c>
      <c r="AC82" t="n">
        <v>978.516</v>
      </c>
      <c r="AD82" t="n">
        <v>879.314</v>
      </c>
      <c r="AE82" t="n">
        <v>941.253</v>
      </c>
      <c r="AF82" t="n">
        <v>970.9829999999999</v>
      </c>
      <c r="AG82" t="n">
        <v>1014.215</v>
      </c>
      <c r="AH82" t="n">
        <v>1134.142</v>
      </c>
      <c r="AI82" t="n">
        <v>1041.92</v>
      </c>
      <c r="AJ82" t="n">
        <v>1207.182</v>
      </c>
      <c r="AK82" t="n">
        <v>1239.523</v>
      </c>
      <c r="AL82" t="n">
        <v>1153.052</v>
      </c>
      <c r="AM82" t="n">
        <v>1131.159</v>
      </c>
      <c r="AN82" t="n">
        <v>911.462</v>
      </c>
      <c r="AO82" t="n">
        <v>870.689</v>
      </c>
      <c r="AP82" t="n">
        <v>847.11</v>
      </c>
      <c r="AQ82" t="n">
        <v>760.824</v>
      </c>
      <c r="AR82" t="n">
        <v>655.616</v>
      </c>
      <c r="AS82" t="n">
        <v>598.264</v>
      </c>
      <c r="AT82" t="n">
        <v>413.772</v>
      </c>
      <c r="AU82" t="n">
        <v>316.894</v>
      </c>
      <c r="AV82" t="n">
        <v>368.161</v>
      </c>
      <c r="AW82" t="n">
        <v>328.374</v>
      </c>
      <c r="AX82" t="n">
        <v>442.276</v>
      </c>
      <c r="AY82" t="n">
        <v>335.922</v>
      </c>
      <c r="AZ82" t="n">
        <v>332.17</v>
      </c>
      <c r="BA82" t="n">
        <v>336.183</v>
      </c>
      <c r="BB82" t="n">
        <v>395.618</v>
      </c>
      <c r="BC82" t="n">
        <v>466.484</v>
      </c>
      <c r="BD82" t="n">
        <v>481.927</v>
      </c>
      <c r="BE82" t="n">
        <v>502.388</v>
      </c>
      <c r="BF82" t="n">
        <v>605.675</v>
      </c>
      <c r="BG82" t="n">
        <v>358.955</v>
      </c>
      <c r="BH82" t="n">
        <v>345.19</v>
      </c>
      <c r="BI82" t="n">
        <v>416.403</v>
      </c>
      <c r="BJ82" t="n">
        <v>353.72</v>
      </c>
      <c r="BK82" t="n">
        <v>354.226</v>
      </c>
      <c r="BL82" t="n">
        <v>193.976</v>
      </c>
      <c r="BM82" t="n">
        <v>164.079</v>
      </c>
      <c r="BN82" t="n">
        <v>315.035</v>
      </c>
      <c r="BO82" t="n">
        <v>359.88</v>
      </c>
      <c r="BP82" t="n">
        <v>335.736</v>
      </c>
      <c r="BQ82" t="n">
        <v>384.859</v>
      </c>
      <c r="BR82" t="n">
        <v>134.025</v>
      </c>
      <c r="BS82" t="n">
        <v>129.937</v>
      </c>
      <c r="BT82" t="n">
        <v>128.459</v>
      </c>
      <c r="BU82" t="n">
        <v>474.868</v>
      </c>
      <c r="BV82" t="n">
        <v>400.09</v>
      </c>
    </row>
    <row r="83">
      <c r="A83" t="inlineStr">
        <is>
          <t>Sebastidae</t>
        </is>
      </c>
      <c r="B83" t="inlineStr">
        <is>
          <t>Rockfishes, rockcods, thornyheads</t>
        </is>
      </c>
      <c r="C83" t="inlineStr">
        <is>
          <t>Medium demersals (30 - 89 cm)</t>
        </is>
      </c>
      <c r="D83" t="inlineStr">
        <is>
          <t>Scorpionfishes</t>
        </is>
      </c>
      <c r="E83" t="n">
        <v>326.266</v>
      </c>
      <c r="F83" t="n">
        <v>836.905</v>
      </c>
      <c r="G83" t="n">
        <v>337.434</v>
      </c>
      <c r="H83" t="n">
        <v>370.82</v>
      </c>
      <c r="I83" t="n">
        <v>394.37</v>
      </c>
      <c r="J83" t="n">
        <v>410.589</v>
      </c>
      <c r="K83" t="n">
        <v>342.637</v>
      </c>
      <c r="L83" t="n">
        <v>292.954</v>
      </c>
      <c r="M83" t="n">
        <v>284.221</v>
      </c>
      <c r="N83" t="n">
        <v>282.394</v>
      </c>
      <c r="O83" t="n">
        <v>123.302</v>
      </c>
      <c r="P83" t="n">
        <v>299.164</v>
      </c>
      <c r="Q83" t="n">
        <v>158.085</v>
      </c>
      <c r="R83" t="n">
        <v>204.901</v>
      </c>
      <c r="S83" t="n">
        <v>955.686</v>
      </c>
      <c r="T83" t="n">
        <v>5260.665</v>
      </c>
      <c r="U83" t="n">
        <v>256.021</v>
      </c>
      <c r="V83" t="n">
        <v>255.951</v>
      </c>
      <c r="W83" t="n">
        <v>422.314</v>
      </c>
      <c r="X83" t="n">
        <v>303.14</v>
      </c>
      <c r="Y83" t="n">
        <v>314.183</v>
      </c>
      <c r="Z83" t="n">
        <v>374.593</v>
      </c>
      <c r="AA83" t="n">
        <v>312.793</v>
      </c>
      <c r="AB83" t="n">
        <v>340.634</v>
      </c>
      <c r="AC83" t="n">
        <v>361.594</v>
      </c>
      <c r="AD83" t="n">
        <v>1077.886</v>
      </c>
      <c r="AE83" t="n">
        <v>280.364</v>
      </c>
      <c r="AF83" t="n">
        <v>480.044</v>
      </c>
      <c r="AG83" t="n">
        <v>853.798</v>
      </c>
      <c r="AH83" t="n">
        <v>730.4059999999999</v>
      </c>
      <c r="AI83" t="n">
        <v>527.014</v>
      </c>
      <c r="AJ83" t="n">
        <v>390.617</v>
      </c>
      <c r="AK83" t="n">
        <v>398.473</v>
      </c>
      <c r="AL83" t="n">
        <v>427.047</v>
      </c>
      <c r="AM83" t="n">
        <v>418.7</v>
      </c>
      <c r="AN83" t="n">
        <v>931.795</v>
      </c>
      <c r="AO83" t="n">
        <v>830.198</v>
      </c>
      <c r="AP83" t="n">
        <v>1128.67</v>
      </c>
      <c r="AQ83" t="n">
        <v>1293.023</v>
      </c>
      <c r="AR83" t="n">
        <v>942.862</v>
      </c>
      <c r="AS83" t="n">
        <v>1152.141</v>
      </c>
      <c r="AT83" t="n">
        <v>1161.519</v>
      </c>
      <c r="AU83" t="n">
        <v>2241.168</v>
      </c>
      <c r="AV83" t="n">
        <v>1529.902</v>
      </c>
      <c r="AW83" t="n">
        <v>1076.885</v>
      </c>
      <c r="AX83" t="n">
        <v>1648.528</v>
      </c>
      <c r="AY83" t="n">
        <v>1270.404</v>
      </c>
      <c r="AZ83" t="n">
        <v>1752.842</v>
      </c>
      <c r="BA83" t="n">
        <v>1480.657</v>
      </c>
      <c r="BB83" t="n">
        <v>1091.51</v>
      </c>
      <c r="BC83" t="n">
        <v>1042.645</v>
      </c>
      <c r="BD83" t="n">
        <v>1022.706</v>
      </c>
      <c r="BE83" t="n">
        <v>837.079</v>
      </c>
      <c r="BF83" t="n">
        <v>721.591</v>
      </c>
      <c r="BG83" t="n">
        <v>447.594</v>
      </c>
      <c r="BH83" t="n">
        <v>241.447</v>
      </c>
      <c r="BI83" t="n">
        <v>307.847</v>
      </c>
      <c r="BJ83" t="n">
        <v>236.871</v>
      </c>
      <c r="BK83" t="n">
        <v>214.379</v>
      </c>
      <c r="BL83" t="n">
        <v>182.871</v>
      </c>
      <c r="BM83" t="n">
        <v>245.012</v>
      </c>
      <c r="BN83" t="n">
        <v>109.209</v>
      </c>
      <c r="BO83" t="n">
        <v>165.433</v>
      </c>
      <c r="BP83" t="n">
        <v>175.286</v>
      </c>
      <c r="BQ83" t="n">
        <v>199.84</v>
      </c>
      <c r="BR83" t="n">
        <v>45.792</v>
      </c>
      <c r="BS83" t="n">
        <v>44.166</v>
      </c>
      <c r="BT83" t="n">
        <v>43.476</v>
      </c>
      <c r="BU83" t="n">
        <v>241.716</v>
      </c>
      <c r="BV83" t="n">
        <v>202.452</v>
      </c>
    </row>
    <row r="84">
      <c r="A84" t="inlineStr">
        <is>
          <t>Loliginidae</t>
        </is>
      </c>
      <c r="B84" t="inlineStr">
        <is>
          <t>Common pencil squids</t>
        </is>
      </c>
      <c r="C84" t="inlineStr">
        <is>
          <t>Cephalopods</t>
        </is>
      </c>
      <c r="D84" t="inlineStr">
        <is>
          <t>Other fishes &amp; inverts</t>
        </is>
      </c>
      <c r="E84" t="n">
        <v>148.184</v>
      </c>
      <c r="F84" t="n">
        <v>148.184</v>
      </c>
      <c r="G84" t="n">
        <v>148.184</v>
      </c>
      <c r="H84" t="n">
        <v>148.184</v>
      </c>
      <c r="I84" t="n">
        <v>148.184</v>
      </c>
      <c r="J84" t="n">
        <v>148.184</v>
      </c>
      <c r="K84" t="n">
        <v>148.184</v>
      </c>
      <c r="L84" t="n">
        <v>148.184</v>
      </c>
      <c r="M84" t="n">
        <v>148.184</v>
      </c>
      <c r="N84" t="n">
        <v>148.184</v>
      </c>
      <c r="O84" t="n">
        <v>148.637</v>
      </c>
      <c r="P84" t="n">
        <v>770.341</v>
      </c>
      <c r="Q84" t="n">
        <v>773.6319999999999</v>
      </c>
      <c r="R84" t="n">
        <v>193.416</v>
      </c>
      <c r="S84" t="n">
        <v>99.438</v>
      </c>
      <c r="T84" t="n">
        <v>193.96</v>
      </c>
      <c r="U84" t="n">
        <v>69.146</v>
      </c>
      <c r="V84" t="n">
        <v>236.505</v>
      </c>
      <c r="W84" t="n">
        <v>131.483</v>
      </c>
      <c r="X84" t="n">
        <v>155.469</v>
      </c>
      <c r="Y84" t="n">
        <v>688.224</v>
      </c>
      <c r="Z84" t="n">
        <v>779.309</v>
      </c>
      <c r="AA84" t="n">
        <v>391.782</v>
      </c>
      <c r="AB84" t="n">
        <v>537.391</v>
      </c>
      <c r="AC84" t="n">
        <v>343.493</v>
      </c>
      <c r="AD84" t="n">
        <v>715.944</v>
      </c>
      <c r="AE84" t="n">
        <v>80.501</v>
      </c>
      <c r="AF84" t="n">
        <v>244.528</v>
      </c>
      <c r="AG84" t="n">
        <v>179.337</v>
      </c>
      <c r="AH84" t="n">
        <v>63.152</v>
      </c>
      <c r="AI84" t="n">
        <v>45.095</v>
      </c>
      <c r="AJ84" t="n">
        <v>147.147</v>
      </c>
      <c r="AK84" t="n">
        <v>259.922</v>
      </c>
      <c r="AL84" t="n">
        <v>176.304</v>
      </c>
      <c r="AM84" t="n">
        <v>319.37</v>
      </c>
      <c r="AN84" t="n">
        <v>149.226</v>
      </c>
      <c r="AO84" t="n">
        <v>125.869</v>
      </c>
      <c r="AP84" t="n">
        <v>199.592</v>
      </c>
      <c r="AQ84" t="n">
        <v>568.5839999999999</v>
      </c>
      <c r="AR84" t="n">
        <v>890.471</v>
      </c>
      <c r="AS84" t="n">
        <v>1336.508</v>
      </c>
      <c r="AT84" t="n">
        <v>652.187</v>
      </c>
      <c r="AU84" t="n">
        <v>751.24</v>
      </c>
      <c r="AV84" t="n">
        <v>339.829</v>
      </c>
      <c r="AW84" t="n">
        <v>135.645</v>
      </c>
      <c r="AX84" t="n">
        <v>377.893</v>
      </c>
      <c r="AY84" t="n">
        <v>345.472</v>
      </c>
      <c r="AZ84" t="n">
        <v>588.45</v>
      </c>
      <c r="BA84" t="n">
        <v>1233.606</v>
      </c>
      <c r="BB84" t="n">
        <v>947.721</v>
      </c>
      <c r="BC84" t="n">
        <v>698.873</v>
      </c>
      <c r="BD84" t="n">
        <v>540.4829999999999</v>
      </c>
      <c r="BE84" t="n">
        <v>1053.595</v>
      </c>
      <c r="BF84" t="n">
        <v>2032.739</v>
      </c>
      <c r="BG84" t="n">
        <v>2029.208</v>
      </c>
      <c r="BH84" t="n">
        <v>762.987</v>
      </c>
      <c r="BI84" t="n">
        <v>907.0410000000001</v>
      </c>
      <c r="BJ84" t="n">
        <v>1340.682</v>
      </c>
      <c r="BK84" t="n">
        <v>899.568</v>
      </c>
      <c r="BL84" t="n">
        <v>2185.973</v>
      </c>
      <c r="BM84" t="n">
        <v>2535.66</v>
      </c>
      <c r="BN84" t="n">
        <v>1215.853</v>
      </c>
      <c r="BO84" t="n">
        <v>728.857</v>
      </c>
      <c r="BP84" t="n">
        <v>747.943</v>
      </c>
      <c r="BQ84" t="n">
        <v>2087.396</v>
      </c>
      <c r="BR84" t="n">
        <v>980.207</v>
      </c>
      <c r="BS84" t="n">
        <v>1587.077</v>
      </c>
      <c r="BT84" t="n">
        <v>2205.893</v>
      </c>
      <c r="BU84" t="n">
        <v>2139.105</v>
      </c>
      <c r="BV84" t="n">
        <v>520.003</v>
      </c>
    </row>
    <row r="85">
      <c r="A85" t="inlineStr">
        <is>
          <t>Carangidae</t>
        </is>
      </c>
      <c r="B85" t="inlineStr">
        <is>
          <t>Jacks, pompanos</t>
        </is>
      </c>
      <c r="C85" t="inlineStr">
        <is>
          <t>Medium pelagics (30 - 89 cm)</t>
        </is>
      </c>
      <c r="D85" t="inlineStr">
        <is>
          <t>Perch-likes</t>
        </is>
      </c>
      <c r="E85" t="n">
        <v>727.2190000000001</v>
      </c>
      <c r="F85" t="n">
        <v>1786.12</v>
      </c>
      <c r="G85" t="n">
        <v>718.049</v>
      </c>
      <c r="H85" t="n">
        <v>786.822</v>
      </c>
      <c r="I85" t="n">
        <v>884.65</v>
      </c>
      <c r="J85" t="n">
        <v>916.958</v>
      </c>
      <c r="K85" t="n">
        <v>788.7670000000001</v>
      </c>
      <c r="L85" t="n">
        <v>699.66</v>
      </c>
      <c r="M85" t="n">
        <v>678.961</v>
      </c>
      <c r="N85" t="n">
        <v>679.103</v>
      </c>
      <c r="O85" t="n">
        <v>275.478</v>
      </c>
      <c r="P85" t="n">
        <v>729.304</v>
      </c>
      <c r="Q85" t="n">
        <v>341.803</v>
      </c>
      <c r="R85" t="n">
        <v>448.533</v>
      </c>
      <c r="S85" t="n">
        <v>969.418</v>
      </c>
      <c r="T85" t="n">
        <v>1001.071</v>
      </c>
      <c r="U85" t="n">
        <v>664.282</v>
      </c>
      <c r="V85" t="n">
        <v>600.904</v>
      </c>
      <c r="W85" t="n">
        <v>1055.333</v>
      </c>
      <c r="X85" t="n">
        <v>784.457</v>
      </c>
      <c r="Y85" t="n">
        <v>837.851</v>
      </c>
      <c r="Z85" t="n">
        <v>883.949</v>
      </c>
      <c r="AA85" t="n">
        <v>765.569</v>
      </c>
      <c r="AB85" t="n">
        <v>833.054</v>
      </c>
      <c r="AC85" t="n">
        <v>784.874</v>
      </c>
      <c r="AD85" t="n">
        <v>700.144</v>
      </c>
      <c r="AE85" t="n">
        <v>700.252</v>
      </c>
      <c r="AF85" t="n">
        <v>666.879</v>
      </c>
      <c r="AG85" t="n">
        <v>707.582</v>
      </c>
      <c r="AH85" t="n">
        <v>795.052</v>
      </c>
      <c r="AI85" t="n">
        <v>749.523</v>
      </c>
      <c r="AJ85" t="n">
        <v>865.576</v>
      </c>
      <c r="AK85" t="n">
        <v>892.654</v>
      </c>
      <c r="AL85" t="n">
        <v>834.05</v>
      </c>
      <c r="AM85" t="n">
        <v>810.819</v>
      </c>
      <c r="AN85" t="n">
        <v>667.992</v>
      </c>
      <c r="AO85" t="n">
        <v>615.7</v>
      </c>
      <c r="AP85" t="n">
        <v>615.349</v>
      </c>
      <c r="AQ85" t="n">
        <v>626.237</v>
      </c>
      <c r="AR85" t="n">
        <v>598.896</v>
      </c>
      <c r="AS85" t="n">
        <v>545.024</v>
      </c>
      <c r="AT85" t="n">
        <v>418.876</v>
      </c>
      <c r="AU85" t="n">
        <v>314.044</v>
      </c>
      <c r="AV85" t="n">
        <v>323.283</v>
      </c>
      <c r="AW85" t="n">
        <v>283.151</v>
      </c>
      <c r="AX85" t="n">
        <v>528.239</v>
      </c>
      <c r="AY85" t="n">
        <v>334.237</v>
      </c>
      <c r="AZ85" t="n">
        <v>357.031</v>
      </c>
      <c r="BA85" t="n">
        <v>383.766</v>
      </c>
      <c r="BB85" t="n">
        <v>436.239</v>
      </c>
      <c r="BC85" t="n">
        <v>491.404</v>
      </c>
      <c r="BD85" t="n">
        <v>517.003</v>
      </c>
      <c r="BE85" t="n">
        <v>518.324</v>
      </c>
      <c r="BF85" t="n">
        <v>484.085</v>
      </c>
      <c r="BG85" t="n">
        <v>457.644</v>
      </c>
      <c r="BH85" t="n">
        <v>465.456</v>
      </c>
      <c r="BI85" t="n">
        <v>514.7380000000001</v>
      </c>
      <c r="BJ85" t="n">
        <v>383.114</v>
      </c>
      <c r="BK85" t="n">
        <v>381.659</v>
      </c>
      <c r="BL85" t="n">
        <v>175.649</v>
      </c>
      <c r="BM85" t="n">
        <v>227.122</v>
      </c>
      <c r="BN85" t="n">
        <v>290.954</v>
      </c>
      <c r="BO85" t="n">
        <v>400.371</v>
      </c>
      <c r="BP85" t="n">
        <v>418.623</v>
      </c>
      <c r="BQ85" t="n">
        <v>473.163</v>
      </c>
      <c r="BR85" t="n">
        <v>144.723</v>
      </c>
      <c r="BS85" t="n">
        <v>140.465</v>
      </c>
      <c r="BT85" t="n">
        <v>138.746</v>
      </c>
      <c r="BU85" t="n">
        <v>564.701</v>
      </c>
      <c r="BV85" t="n">
        <v>476.436</v>
      </c>
    </row>
    <row r="86">
      <c r="A86" t="inlineStr">
        <is>
          <t>Lophius</t>
        </is>
      </c>
      <c r="B86" t="inlineStr">
        <is>
          <t>Frogfishes</t>
        </is>
      </c>
      <c r="C86" t="inlineStr">
        <is>
          <t>Medium bathydemersals (30 - 89 cm)</t>
        </is>
      </c>
      <c r="D86" t="inlineStr">
        <is>
          <t>Other fishes &amp; inverts</t>
        </is>
      </c>
      <c r="E86" t="n">
        <v>1354.652</v>
      </c>
      <c r="F86" t="n">
        <v>800.5309999999999</v>
      </c>
      <c r="G86" t="n">
        <v>536.3099999999999</v>
      </c>
      <c r="H86" t="n">
        <v>550.787</v>
      </c>
      <c r="I86" t="n">
        <v>589.851</v>
      </c>
      <c r="J86" t="n">
        <v>625.615</v>
      </c>
      <c r="K86" t="n">
        <v>1016.893</v>
      </c>
      <c r="L86" t="n">
        <v>1169.797</v>
      </c>
      <c r="M86" t="n">
        <v>1015.135</v>
      </c>
      <c r="N86" t="n">
        <v>1102.485</v>
      </c>
      <c r="O86" t="n">
        <v>751.732</v>
      </c>
      <c r="P86" t="n">
        <v>659.577</v>
      </c>
      <c r="Q86" t="n">
        <v>321.796</v>
      </c>
      <c r="R86" t="n">
        <v>591.564</v>
      </c>
      <c r="S86" t="n">
        <v>392.357</v>
      </c>
      <c r="T86" t="n">
        <v>223.683</v>
      </c>
      <c r="U86" t="n">
        <v>344.502</v>
      </c>
      <c r="V86" t="n">
        <v>359.177</v>
      </c>
      <c r="W86" t="n">
        <v>338.838</v>
      </c>
      <c r="X86" t="n">
        <v>213.486</v>
      </c>
      <c r="Y86" t="n">
        <v>139.805</v>
      </c>
      <c r="Z86" t="n">
        <v>241.152</v>
      </c>
      <c r="AA86" t="n">
        <v>290.418</v>
      </c>
      <c r="AB86" t="n">
        <v>434.812</v>
      </c>
      <c r="AC86" t="n">
        <v>675.519</v>
      </c>
      <c r="AD86" t="n">
        <v>969.5069999999999</v>
      </c>
      <c r="AE86" t="n">
        <v>508.652</v>
      </c>
      <c r="AF86" t="n">
        <v>640.429</v>
      </c>
      <c r="AG86" t="n">
        <v>586.212</v>
      </c>
      <c r="AH86" t="n">
        <v>763.836</v>
      </c>
      <c r="AI86" t="n">
        <v>648.926</v>
      </c>
      <c r="AJ86" t="n">
        <v>425.001</v>
      </c>
      <c r="AK86" t="n">
        <v>436.037</v>
      </c>
      <c r="AL86" t="n">
        <v>1218.062</v>
      </c>
      <c r="AM86" t="n">
        <v>1689.81</v>
      </c>
      <c r="AN86" t="n">
        <v>1437.725</v>
      </c>
      <c r="AO86" t="n">
        <v>911.2329999999999</v>
      </c>
      <c r="AP86" t="n">
        <v>666.39</v>
      </c>
      <c r="AQ86" t="n">
        <v>745.0359999999999</v>
      </c>
      <c r="AR86" t="n">
        <v>527.3630000000001</v>
      </c>
      <c r="AS86" t="n">
        <v>608.948</v>
      </c>
      <c r="AT86" t="n">
        <v>803.2430000000001</v>
      </c>
      <c r="AU86" t="n">
        <v>1046.002</v>
      </c>
      <c r="AV86" t="n">
        <v>1121.598</v>
      </c>
      <c r="AW86" t="n">
        <v>1214.661</v>
      </c>
      <c r="AX86" t="n">
        <v>1021.786</v>
      </c>
      <c r="AY86" t="n">
        <v>627.95</v>
      </c>
      <c r="AZ86" t="n">
        <v>623.312</v>
      </c>
      <c r="BA86" t="n">
        <v>693.491</v>
      </c>
      <c r="BB86" t="n">
        <v>558.203</v>
      </c>
      <c r="BC86" t="n">
        <v>855.09</v>
      </c>
      <c r="BD86" t="n">
        <v>954.787</v>
      </c>
      <c r="BE86" t="n">
        <v>778.883</v>
      </c>
      <c r="BF86" t="n">
        <v>418.074</v>
      </c>
      <c r="BG86" t="n">
        <v>494.129</v>
      </c>
      <c r="BH86" t="n">
        <v>424.549</v>
      </c>
      <c r="BI86" t="n">
        <v>136.572</v>
      </c>
      <c r="BJ86" t="n">
        <v>147.416</v>
      </c>
      <c r="BK86" t="n">
        <v>221.686</v>
      </c>
      <c r="BL86" t="n">
        <v>82.072</v>
      </c>
      <c r="BM86" t="n">
        <v>80.752</v>
      </c>
      <c r="BN86" t="n">
        <v>180.023</v>
      </c>
      <c r="BO86" t="n">
        <v>166.405</v>
      </c>
      <c r="BP86" t="n">
        <v>174.07</v>
      </c>
      <c r="BQ86" t="n">
        <v>223.021</v>
      </c>
      <c r="BR86" t="n">
        <v>268.719</v>
      </c>
      <c r="BS86" t="n">
        <v>227.699</v>
      </c>
      <c r="BT86" t="n">
        <v>169.624</v>
      </c>
      <c r="BU86" t="n">
        <v>154.761</v>
      </c>
      <c r="BV86" t="n">
        <v>160.745</v>
      </c>
    </row>
    <row r="87">
      <c r="A87" t="inlineStr">
        <is>
          <t>Brachyura</t>
        </is>
      </c>
      <c r="B87" t="inlineStr">
        <is>
          <t>Marine crabs</t>
        </is>
      </c>
      <c r="C87" t="inlineStr">
        <is>
          <t>Lobsters, crabs</t>
        </is>
      </c>
      <c r="D87" t="inlineStr">
        <is>
          <t>Crustaceans</t>
        </is>
      </c>
      <c r="E87" t="n">
        <v>958.287</v>
      </c>
      <c r="F87" t="n">
        <v>1123.27</v>
      </c>
      <c r="G87" t="n">
        <v>1136.572</v>
      </c>
      <c r="H87" t="n">
        <v>1221.746</v>
      </c>
      <c r="I87" t="n">
        <v>867.393</v>
      </c>
      <c r="J87" t="n">
        <v>964.708</v>
      </c>
      <c r="K87" t="n">
        <v>953.245</v>
      </c>
      <c r="L87" t="n">
        <v>921.21</v>
      </c>
      <c r="M87" t="n">
        <v>974.55</v>
      </c>
      <c r="N87" t="n">
        <v>921.75</v>
      </c>
      <c r="O87" t="n">
        <v>844.441</v>
      </c>
      <c r="P87" t="n">
        <v>844.364</v>
      </c>
      <c r="Q87" t="n">
        <v>707.784</v>
      </c>
      <c r="R87" t="n">
        <v>687.212</v>
      </c>
      <c r="S87" t="n">
        <v>692.6799999999999</v>
      </c>
      <c r="T87" t="n">
        <v>1106.435</v>
      </c>
      <c r="U87" t="n">
        <v>1447.861</v>
      </c>
      <c r="V87" t="n">
        <v>1145.031</v>
      </c>
      <c r="W87" t="n">
        <v>1273.686</v>
      </c>
      <c r="X87" t="n">
        <v>1647.045</v>
      </c>
      <c r="Y87" t="n">
        <v>1123.488</v>
      </c>
      <c r="Z87" t="n">
        <v>1420.253</v>
      </c>
      <c r="AA87" t="n">
        <v>861.513</v>
      </c>
      <c r="AB87" t="n">
        <v>957.38</v>
      </c>
      <c r="AC87" t="n">
        <v>946.467</v>
      </c>
      <c r="AD87" t="n">
        <v>3092.624</v>
      </c>
      <c r="AE87" t="n">
        <v>0</v>
      </c>
      <c r="AF87" t="n">
        <v>0</v>
      </c>
      <c r="AG87" t="n">
        <v>4.339</v>
      </c>
      <c r="AH87" t="n">
        <v>0</v>
      </c>
      <c r="AI87" t="n">
        <v>0</v>
      </c>
      <c r="AJ87" t="n">
        <v>0</v>
      </c>
      <c r="AK87" t="n">
        <v>101.566</v>
      </c>
      <c r="AL87" t="n">
        <v>114.788</v>
      </c>
      <c r="AM87" t="n">
        <v>765.057</v>
      </c>
      <c r="AN87" t="n">
        <v>1186.42</v>
      </c>
      <c r="AO87" t="n">
        <v>740.304</v>
      </c>
      <c r="AP87" t="n">
        <v>371.242</v>
      </c>
      <c r="AQ87" t="n">
        <v>277.957</v>
      </c>
      <c r="AR87" t="n">
        <v>648.026</v>
      </c>
      <c r="AS87" t="n">
        <v>426.883</v>
      </c>
      <c r="AT87" t="n">
        <v>311.961</v>
      </c>
      <c r="AU87" t="n">
        <v>775</v>
      </c>
      <c r="AV87" t="n">
        <v>475.643</v>
      </c>
      <c r="AW87" t="n">
        <v>306.062</v>
      </c>
      <c r="AX87" t="n">
        <v>213.458</v>
      </c>
      <c r="AY87" t="n">
        <v>227.304</v>
      </c>
      <c r="AZ87" t="n">
        <v>260.592</v>
      </c>
      <c r="BA87" t="n">
        <v>282.347</v>
      </c>
      <c r="BB87" t="n">
        <v>956.7619999999999</v>
      </c>
      <c r="BC87" t="n">
        <v>249.018</v>
      </c>
      <c r="BD87" t="n">
        <v>202.478</v>
      </c>
      <c r="BE87" t="n">
        <v>290.552</v>
      </c>
      <c r="BF87" t="n">
        <v>276.468</v>
      </c>
      <c r="BG87" t="n">
        <v>343.139</v>
      </c>
      <c r="BH87" t="n">
        <v>341.578</v>
      </c>
      <c r="BI87" t="n">
        <v>252.04</v>
      </c>
      <c r="BJ87" t="n">
        <v>145.993</v>
      </c>
      <c r="BK87" t="n">
        <v>231.347</v>
      </c>
      <c r="BL87" t="n">
        <v>244.59</v>
      </c>
      <c r="BM87" t="n">
        <v>169.079</v>
      </c>
      <c r="BN87" t="n">
        <v>169.04</v>
      </c>
      <c r="BO87" t="n">
        <v>172.617</v>
      </c>
      <c r="BP87" t="n">
        <v>173.871</v>
      </c>
      <c r="BQ87" t="n">
        <v>211.91</v>
      </c>
      <c r="BR87" t="n">
        <v>146.401</v>
      </c>
      <c r="BS87" t="n">
        <v>53.45</v>
      </c>
      <c r="BT87" t="n">
        <v>169.114</v>
      </c>
      <c r="BU87" t="n">
        <v>113.242</v>
      </c>
      <c r="BV87" t="n">
        <v>104.695</v>
      </c>
    </row>
    <row r="88">
      <c r="A88" t="inlineStr">
        <is>
          <t>Hippoglossoides platessoides</t>
        </is>
      </c>
      <c r="B88" t="inlineStr">
        <is>
          <t>American plaice</t>
        </is>
      </c>
      <c r="C88" t="inlineStr">
        <is>
          <t>Small to medium flatfishes (&lt;90 cm)</t>
        </is>
      </c>
      <c r="D88" t="inlineStr">
        <is>
          <t>Flatfishes</t>
        </is>
      </c>
      <c r="E88" t="n">
        <v>188.986</v>
      </c>
      <c r="F88" t="n">
        <v>162.661</v>
      </c>
      <c r="G88" t="n">
        <v>176.202</v>
      </c>
      <c r="H88" t="n">
        <v>201.462</v>
      </c>
      <c r="I88" t="n">
        <v>181.034</v>
      </c>
      <c r="J88" t="n">
        <v>157.186</v>
      </c>
      <c r="K88" t="n">
        <v>174.84</v>
      </c>
      <c r="L88" t="n">
        <v>218.482</v>
      </c>
      <c r="M88" t="n">
        <v>226.124</v>
      </c>
      <c r="N88" t="n">
        <v>223.616</v>
      </c>
      <c r="O88" t="n">
        <v>638.901</v>
      </c>
      <c r="P88" t="n">
        <v>289.852</v>
      </c>
      <c r="Q88" t="n">
        <v>316.149</v>
      </c>
      <c r="R88" t="n">
        <v>338.792</v>
      </c>
      <c r="S88" t="n">
        <v>298.599</v>
      </c>
      <c r="T88" t="n">
        <v>305.817</v>
      </c>
      <c r="U88" t="n">
        <v>386.757</v>
      </c>
      <c r="V88" t="n">
        <v>332.737</v>
      </c>
      <c r="W88" t="n">
        <v>453.875</v>
      </c>
      <c r="X88" t="n">
        <v>520.284</v>
      </c>
      <c r="Y88" t="n">
        <v>529.0069999999999</v>
      </c>
      <c r="Z88" t="n">
        <v>502.042</v>
      </c>
      <c r="AA88" t="n">
        <v>583.317</v>
      </c>
      <c r="AB88" t="n">
        <v>656.391</v>
      </c>
      <c r="AC88" t="n">
        <v>574.877</v>
      </c>
      <c r="AD88" t="n">
        <v>565.409</v>
      </c>
      <c r="AE88" t="n">
        <v>517.8390000000001</v>
      </c>
      <c r="AF88" t="n">
        <v>509.498</v>
      </c>
      <c r="AG88" t="n">
        <v>358.937</v>
      </c>
      <c r="AH88" t="n">
        <v>541.948</v>
      </c>
      <c r="AI88" t="n">
        <v>681.452</v>
      </c>
      <c r="AJ88" t="n">
        <v>629.174</v>
      </c>
      <c r="AK88" t="n">
        <v>1631.764</v>
      </c>
      <c r="AL88" t="n">
        <v>1946.327</v>
      </c>
      <c r="AM88" t="n">
        <v>2567.066</v>
      </c>
      <c r="AN88" t="n">
        <v>1571.489</v>
      </c>
      <c r="AO88" t="n">
        <v>717.415</v>
      </c>
      <c r="AP88" t="n">
        <v>767.447</v>
      </c>
      <c r="AQ88" t="n">
        <v>959.023</v>
      </c>
      <c r="AR88" t="n">
        <v>821.064</v>
      </c>
      <c r="AS88" t="n">
        <v>920.58</v>
      </c>
      <c r="AT88" t="n">
        <v>842.028</v>
      </c>
      <c r="AU88" t="n">
        <v>723.494</v>
      </c>
      <c r="AV88" t="n">
        <v>625.611</v>
      </c>
      <c r="AW88" t="n">
        <v>660.793</v>
      </c>
      <c r="AX88" t="n">
        <v>1958.402</v>
      </c>
      <c r="AY88" t="n">
        <v>468.955</v>
      </c>
      <c r="AZ88" t="n">
        <v>435.564</v>
      </c>
      <c r="BA88" t="n">
        <v>403.148</v>
      </c>
      <c r="BB88" t="n">
        <v>493.79</v>
      </c>
      <c r="BC88" t="n">
        <v>451.808</v>
      </c>
      <c r="BD88" t="n">
        <v>486.827</v>
      </c>
      <c r="BE88" t="n">
        <v>383.41</v>
      </c>
      <c r="BF88" t="n">
        <v>376.587</v>
      </c>
      <c r="BG88" t="n">
        <v>371.236</v>
      </c>
      <c r="BH88" t="n">
        <v>347.54</v>
      </c>
      <c r="BI88" t="n">
        <v>415.768</v>
      </c>
      <c r="BJ88" t="n">
        <v>409.233</v>
      </c>
      <c r="BK88" t="n">
        <v>393.418</v>
      </c>
      <c r="BL88" t="n">
        <v>428.057</v>
      </c>
      <c r="BM88" t="n">
        <v>436.342</v>
      </c>
      <c r="BN88" t="n">
        <v>387.305</v>
      </c>
      <c r="BO88" t="n">
        <v>390.448</v>
      </c>
      <c r="BP88" t="n">
        <v>382.959</v>
      </c>
      <c r="BQ88" t="n">
        <v>363.31</v>
      </c>
      <c r="BR88" t="n">
        <v>481.207</v>
      </c>
      <c r="BS88" t="n">
        <v>624.581</v>
      </c>
      <c r="BT88" t="n">
        <v>342.594</v>
      </c>
      <c r="BU88" t="n">
        <v>533.783</v>
      </c>
      <c r="BV88" t="n">
        <v>364.139</v>
      </c>
    </row>
    <row r="89">
      <c r="A89" t="inlineStr">
        <is>
          <t>Ensis siliqua</t>
        </is>
      </c>
      <c r="B89" t="inlineStr">
        <is>
          <t>Sword razor shell</t>
        </is>
      </c>
      <c r="C89" t="inlineStr">
        <is>
          <t>Other demersal invertebrates</t>
        </is>
      </c>
      <c r="D89" t="inlineStr">
        <is>
          <t>Molluscs</t>
        </is>
      </c>
      <c r="E89" t="n">
        <v>68.203</v>
      </c>
      <c r="F89" t="n">
        <v>71.937</v>
      </c>
      <c r="G89" t="n">
        <v>75.30200000000001</v>
      </c>
      <c r="H89" t="n">
        <v>83.48399999999999</v>
      </c>
      <c r="I89" t="n">
        <v>75.72199999999999</v>
      </c>
      <c r="J89" t="n">
        <v>80.91500000000001</v>
      </c>
      <c r="K89" t="n">
        <v>61.305</v>
      </c>
      <c r="L89" t="n">
        <v>49.998</v>
      </c>
      <c r="M89" t="n">
        <v>44.006</v>
      </c>
      <c r="N89" t="n">
        <v>57.962</v>
      </c>
      <c r="O89" t="n">
        <v>48.746</v>
      </c>
      <c r="P89" t="n">
        <v>51.597</v>
      </c>
      <c r="Q89" t="n">
        <v>56.427</v>
      </c>
      <c r="R89" t="n">
        <v>54.085</v>
      </c>
      <c r="S89" t="n">
        <v>77.602</v>
      </c>
      <c r="T89" t="n">
        <v>191.017</v>
      </c>
      <c r="U89" t="n">
        <v>244.953</v>
      </c>
      <c r="V89" t="n">
        <v>182.327</v>
      </c>
      <c r="W89" t="n">
        <v>170.051</v>
      </c>
      <c r="X89" t="n">
        <v>191.802</v>
      </c>
      <c r="Y89" t="n">
        <v>175.213</v>
      </c>
      <c r="Z89" t="n">
        <v>210.124</v>
      </c>
      <c r="AA89" t="n">
        <v>242.664</v>
      </c>
      <c r="AB89" t="n">
        <v>634.76</v>
      </c>
      <c r="AC89" t="n">
        <v>321.705</v>
      </c>
      <c r="AD89" t="n">
        <v>282.253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12.009</v>
      </c>
      <c r="AX89" t="n">
        <v>21.483</v>
      </c>
      <c r="AY89" t="n">
        <v>29.634</v>
      </c>
      <c r="AZ89" t="n">
        <v>89.367</v>
      </c>
      <c r="BA89" t="n">
        <v>26.674</v>
      </c>
      <c r="BB89" t="n">
        <v>37.05</v>
      </c>
      <c r="BC89" t="n">
        <v>15.162</v>
      </c>
      <c r="BD89" t="n">
        <v>19.125</v>
      </c>
      <c r="BE89" t="n">
        <v>17.025</v>
      </c>
      <c r="BF89" t="n">
        <v>14.463</v>
      </c>
      <c r="BG89" t="n">
        <v>16.931</v>
      </c>
      <c r="BH89" t="n">
        <v>47.285</v>
      </c>
      <c r="BI89" t="n">
        <v>47.189</v>
      </c>
      <c r="BJ89" t="n">
        <v>57.374</v>
      </c>
      <c r="BK89" t="n">
        <v>161.29</v>
      </c>
      <c r="BL89" t="n">
        <v>200.802</v>
      </c>
      <c r="BM89" t="n">
        <v>107.177</v>
      </c>
      <c r="BN89" t="n">
        <v>0</v>
      </c>
      <c r="BO89" t="n">
        <v>0</v>
      </c>
      <c r="BP89" t="n">
        <v>0</v>
      </c>
      <c r="BQ89" t="n">
        <v>4757.123</v>
      </c>
      <c r="BR89" t="n">
        <v>5317.599</v>
      </c>
      <c r="BS89" t="n">
        <v>6115.824</v>
      </c>
      <c r="BT89" t="n">
        <v>6009.675</v>
      </c>
      <c r="BU89" t="n">
        <v>6093.53</v>
      </c>
      <c r="BV89" t="n">
        <v>6173.29</v>
      </c>
    </row>
    <row r="90">
      <c r="A90" t="inlineStr">
        <is>
          <t>Scophthalmidae</t>
        </is>
      </c>
      <c r="B90" t="inlineStr">
        <is>
          <t>Turbots</t>
        </is>
      </c>
      <c r="C90" t="inlineStr">
        <is>
          <t>Small to medium flatfishes (&lt;90 cm)</t>
        </is>
      </c>
      <c r="D90" t="inlineStr">
        <is>
          <t>Flatfishes</t>
        </is>
      </c>
      <c r="E90" t="n">
        <v>524.832</v>
      </c>
      <c r="F90" t="n">
        <v>1018.094</v>
      </c>
      <c r="G90" t="n">
        <v>473.233</v>
      </c>
      <c r="H90" t="n">
        <v>502.284</v>
      </c>
      <c r="I90" t="n">
        <v>573.802</v>
      </c>
      <c r="J90" t="n">
        <v>586.716</v>
      </c>
      <c r="K90" t="n">
        <v>508.978</v>
      </c>
      <c r="L90" t="n">
        <v>456.038</v>
      </c>
      <c r="M90" t="n">
        <v>466.578</v>
      </c>
      <c r="N90" t="n">
        <v>465.147</v>
      </c>
      <c r="O90" t="n">
        <v>242.807</v>
      </c>
      <c r="P90" t="n">
        <v>499.374</v>
      </c>
      <c r="Q90" t="n">
        <v>170.218</v>
      </c>
      <c r="R90" t="n">
        <v>219.873</v>
      </c>
      <c r="S90" t="n">
        <v>542.128</v>
      </c>
      <c r="T90" t="n">
        <v>569.755</v>
      </c>
      <c r="U90" t="n">
        <v>381.333</v>
      </c>
      <c r="V90" t="n">
        <v>337.766</v>
      </c>
      <c r="W90" t="n">
        <v>593.543</v>
      </c>
      <c r="X90" t="n">
        <v>442.918</v>
      </c>
      <c r="Y90" t="n">
        <v>485.933</v>
      </c>
      <c r="Z90" t="n">
        <v>509.07</v>
      </c>
      <c r="AA90" t="n">
        <v>440.066</v>
      </c>
      <c r="AB90" t="n">
        <v>482.711</v>
      </c>
      <c r="AC90" t="n">
        <v>447.251</v>
      </c>
      <c r="AD90" t="n">
        <v>402.445</v>
      </c>
      <c r="AE90" t="n">
        <v>405.105</v>
      </c>
      <c r="AF90" t="n">
        <v>389.733</v>
      </c>
      <c r="AG90" t="n">
        <v>417.035</v>
      </c>
      <c r="AH90" t="n">
        <v>468.405</v>
      </c>
      <c r="AI90" t="n">
        <v>440.691</v>
      </c>
      <c r="AJ90" t="n">
        <v>516.447</v>
      </c>
      <c r="AK90" t="n">
        <v>528.126</v>
      </c>
      <c r="AL90" t="n">
        <v>495.918</v>
      </c>
      <c r="AM90" t="n">
        <v>482.704</v>
      </c>
      <c r="AN90" t="n">
        <v>401.178</v>
      </c>
      <c r="AO90" t="n">
        <v>367.628</v>
      </c>
      <c r="AP90" t="n">
        <v>363.632</v>
      </c>
      <c r="AQ90" t="n">
        <v>362.576</v>
      </c>
      <c r="AR90" t="n">
        <v>335.458</v>
      </c>
      <c r="AS90" t="n">
        <v>329.943</v>
      </c>
      <c r="AT90" t="n">
        <v>260.381</v>
      </c>
      <c r="AU90" t="n">
        <v>193.522</v>
      </c>
      <c r="AV90" t="n">
        <v>171.128</v>
      </c>
      <c r="AW90" t="n">
        <v>182.82</v>
      </c>
      <c r="AX90" t="n">
        <v>284.596</v>
      </c>
      <c r="AY90" t="n">
        <v>188.884</v>
      </c>
      <c r="AZ90" t="n">
        <v>196.247</v>
      </c>
      <c r="BA90" t="n">
        <v>205.79</v>
      </c>
      <c r="BB90" t="n">
        <v>231.145</v>
      </c>
      <c r="BC90" t="n">
        <v>263.385</v>
      </c>
      <c r="BD90" t="n">
        <v>269.777</v>
      </c>
      <c r="BE90" t="n">
        <v>277.557</v>
      </c>
      <c r="BF90" t="n">
        <v>251.62</v>
      </c>
      <c r="BG90" t="n">
        <v>236.969</v>
      </c>
      <c r="BH90" t="n">
        <v>236.668</v>
      </c>
      <c r="BI90" t="n">
        <v>269.692</v>
      </c>
      <c r="BJ90" t="n">
        <v>211.39</v>
      </c>
      <c r="BK90" t="n">
        <v>208.695</v>
      </c>
      <c r="BL90" t="n">
        <v>110.664</v>
      </c>
      <c r="BM90" t="n">
        <v>122.485</v>
      </c>
      <c r="BN90" t="n">
        <v>146.211</v>
      </c>
      <c r="BO90" t="n">
        <v>195.956</v>
      </c>
      <c r="BP90" t="n">
        <v>202.314</v>
      </c>
      <c r="BQ90" t="n">
        <v>229.45</v>
      </c>
      <c r="BR90" t="n">
        <v>3572.554</v>
      </c>
      <c r="BS90" t="n">
        <v>5877.524</v>
      </c>
      <c r="BT90" t="n">
        <v>3569.554</v>
      </c>
      <c r="BU90" t="n">
        <v>273.996</v>
      </c>
      <c r="BV90" t="n">
        <v>228.911</v>
      </c>
    </row>
    <row r="91">
      <c r="A91" t="inlineStr">
        <is>
          <t>Reinhardtius hippoglossoides</t>
        </is>
      </c>
      <c r="B91" t="inlineStr">
        <is>
          <t>Greenland halibut</t>
        </is>
      </c>
      <c r="C91" t="inlineStr">
        <is>
          <t>Small to medium flatfishes (&lt;90 cm)</t>
        </is>
      </c>
      <c r="D91" t="inlineStr">
        <is>
          <t>Flatfishes</t>
        </is>
      </c>
      <c r="E91" t="n">
        <v>0.214</v>
      </c>
      <c r="F91" t="n">
        <v>0.268</v>
      </c>
      <c r="G91" t="n">
        <v>0.273</v>
      </c>
      <c r="H91" t="n">
        <v>0.239</v>
      </c>
      <c r="I91" t="n">
        <v>0.328</v>
      </c>
      <c r="J91" t="n">
        <v>0.307</v>
      </c>
      <c r="K91" t="n">
        <v>0.333</v>
      </c>
      <c r="L91" t="n">
        <v>0.438</v>
      </c>
      <c r="M91" t="n">
        <v>0.364</v>
      </c>
      <c r="N91" t="n">
        <v>0.496</v>
      </c>
      <c r="O91" t="n">
        <v>0.703</v>
      </c>
      <c r="P91" t="n">
        <v>56.367</v>
      </c>
      <c r="Q91" t="n">
        <v>163.093</v>
      </c>
      <c r="R91" t="n">
        <v>3.065</v>
      </c>
      <c r="S91" t="n">
        <v>2.427</v>
      </c>
      <c r="T91" t="n">
        <v>1.544</v>
      </c>
      <c r="U91" t="n">
        <v>5.399</v>
      </c>
      <c r="V91" t="n">
        <v>2.656</v>
      </c>
      <c r="W91" t="n">
        <v>1.548</v>
      </c>
      <c r="X91" t="n">
        <v>540.571</v>
      </c>
      <c r="Y91" t="n">
        <v>2.657</v>
      </c>
      <c r="Z91" t="n">
        <v>0.5669999999999999</v>
      </c>
      <c r="AA91" t="n">
        <v>31.877</v>
      </c>
      <c r="AB91" t="n">
        <v>58.854</v>
      </c>
      <c r="AC91" t="n">
        <v>34.708</v>
      </c>
      <c r="AD91" t="n">
        <v>18.403</v>
      </c>
      <c r="AE91" t="n">
        <v>21.672</v>
      </c>
      <c r="AF91" t="n">
        <v>14.164</v>
      </c>
      <c r="AG91" t="n">
        <v>35.594</v>
      </c>
      <c r="AH91" t="n">
        <v>24.2</v>
      </c>
      <c r="AI91" t="n">
        <v>218.455</v>
      </c>
      <c r="AJ91" t="n">
        <v>7.986</v>
      </c>
      <c r="AK91" t="n">
        <v>47.363</v>
      </c>
      <c r="AL91" t="n">
        <v>133.286</v>
      </c>
      <c r="AM91" t="n">
        <v>81.319</v>
      </c>
      <c r="AN91" t="n">
        <v>64.244</v>
      </c>
      <c r="AO91" t="n">
        <v>67.78100000000001</v>
      </c>
      <c r="AP91" t="n">
        <v>79.17</v>
      </c>
      <c r="AQ91" t="n">
        <v>157.367</v>
      </c>
      <c r="AR91" t="n">
        <v>243.137</v>
      </c>
      <c r="AS91" t="n">
        <v>79.883</v>
      </c>
      <c r="AT91" t="n">
        <v>559.8150000000001</v>
      </c>
      <c r="AU91" t="n">
        <v>1065.066</v>
      </c>
      <c r="AV91" t="n">
        <v>954.789</v>
      </c>
      <c r="AW91" t="n">
        <v>914.647</v>
      </c>
      <c r="AX91" t="n">
        <v>1692.182</v>
      </c>
      <c r="AY91" t="n">
        <v>2082.03</v>
      </c>
      <c r="AZ91" t="n">
        <v>1398.499</v>
      </c>
      <c r="BA91" t="n">
        <v>1402.373</v>
      </c>
      <c r="BB91" t="n">
        <v>2669.191</v>
      </c>
      <c r="BC91" t="n">
        <v>847.216</v>
      </c>
      <c r="BD91" t="n">
        <v>776.297</v>
      </c>
      <c r="BE91" t="n">
        <v>492.913</v>
      </c>
      <c r="BF91" t="n">
        <v>622.485</v>
      </c>
      <c r="BG91" t="n">
        <v>539.135</v>
      </c>
      <c r="BH91" t="n">
        <v>75.776</v>
      </c>
      <c r="BI91" t="n">
        <v>104.764</v>
      </c>
      <c r="BJ91" t="n">
        <v>144.413</v>
      </c>
      <c r="BK91" t="n">
        <v>42.916</v>
      </c>
      <c r="BL91" t="n">
        <v>167.758</v>
      </c>
      <c r="BM91" t="n">
        <v>103.147</v>
      </c>
      <c r="BN91" t="n">
        <v>102.433</v>
      </c>
      <c r="BO91" t="n">
        <v>817.225</v>
      </c>
      <c r="BP91" t="n">
        <v>324.135</v>
      </c>
      <c r="BQ91" t="n">
        <v>831.562</v>
      </c>
      <c r="BR91" t="n">
        <v>1270.635</v>
      </c>
      <c r="BS91" t="n">
        <v>1112.477</v>
      </c>
      <c r="BT91" t="n">
        <v>723.976</v>
      </c>
      <c r="BU91" t="n">
        <v>553.6180000000001</v>
      </c>
      <c r="BV91" t="n">
        <v>12093.719</v>
      </c>
    </row>
    <row r="92">
      <c r="A92" t="inlineStr">
        <is>
          <t>Engraulis encrasicolus</t>
        </is>
      </c>
      <c r="B92" t="inlineStr">
        <is>
          <t>European anchovy</t>
        </is>
      </c>
      <c r="C92" t="inlineStr">
        <is>
          <t>Small pelagics (&lt;30 cm)</t>
        </is>
      </c>
      <c r="D92" t="inlineStr">
        <is>
          <t>Anchovies</t>
        </is>
      </c>
      <c r="E92" t="n">
        <v>239.755</v>
      </c>
      <c r="F92" t="n">
        <v>224.743</v>
      </c>
      <c r="G92" t="n">
        <v>436.074</v>
      </c>
      <c r="H92" t="n">
        <v>793.268</v>
      </c>
      <c r="I92" t="n">
        <v>910.01</v>
      </c>
      <c r="J92" t="n">
        <v>341.746</v>
      </c>
      <c r="K92" t="n">
        <v>929.297</v>
      </c>
      <c r="L92" t="n">
        <v>145.367</v>
      </c>
      <c r="M92" t="n">
        <v>152.82</v>
      </c>
      <c r="N92" t="n">
        <v>235.171</v>
      </c>
      <c r="O92" t="n">
        <v>543.064</v>
      </c>
      <c r="P92" t="n">
        <v>165.715</v>
      </c>
      <c r="Q92" t="n">
        <v>50.23</v>
      </c>
      <c r="R92" t="n">
        <v>29.686</v>
      </c>
      <c r="S92" t="n">
        <v>26.676</v>
      </c>
      <c r="T92" t="n">
        <v>65.432</v>
      </c>
      <c r="U92" t="n">
        <v>65.155</v>
      </c>
      <c r="V92" t="n">
        <v>47.267</v>
      </c>
      <c r="W92" t="n">
        <v>47.139</v>
      </c>
      <c r="X92" t="n">
        <v>48.674</v>
      </c>
      <c r="Y92" t="n">
        <v>64.41500000000001</v>
      </c>
      <c r="Z92" t="n">
        <v>87.239</v>
      </c>
      <c r="AA92" t="n">
        <v>97.495</v>
      </c>
      <c r="AB92" t="n">
        <v>195.001</v>
      </c>
      <c r="AC92" t="n">
        <v>160.444</v>
      </c>
      <c r="AD92" t="n">
        <v>115.519</v>
      </c>
      <c r="AE92" t="n">
        <v>53.92</v>
      </c>
      <c r="AF92" t="n">
        <v>21.945</v>
      </c>
      <c r="AG92" t="n">
        <v>34.026</v>
      </c>
      <c r="AH92" t="n">
        <v>9.976000000000001</v>
      </c>
      <c r="AI92" t="n">
        <v>7.98</v>
      </c>
      <c r="AJ92" t="n">
        <v>5.985</v>
      </c>
      <c r="AK92" t="n">
        <v>7.98</v>
      </c>
      <c r="AL92" t="n">
        <v>18.953</v>
      </c>
      <c r="AM92" t="n">
        <v>0</v>
      </c>
      <c r="AN92" t="n">
        <v>0</v>
      </c>
      <c r="AO92" t="n">
        <v>0</v>
      </c>
      <c r="AP92" t="n">
        <v>0</v>
      </c>
      <c r="AQ92" t="n">
        <v>12.953</v>
      </c>
      <c r="AR92" t="n">
        <v>0.998</v>
      </c>
      <c r="AS92" t="n">
        <v>2.993</v>
      </c>
      <c r="AT92" t="n">
        <v>0</v>
      </c>
      <c r="AU92" t="n">
        <v>0</v>
      </c>
      <c r="AV92" t="n">
        <v>23.941</v>
      </c>
      <c r="AW92" t="n">
        <v>2.993</v>
      </c>
      <c r="AX92" t="n">
        <v>778.021</v>
      </c>
      <c r="AY92" t="n">
        <v>6.328</v>
      </c>
      <c r="AZ92" t="n">
        <v>0.998</v>
      </c>
      <c r="BA92" t="n">
        <v>9.52</v>
      </c>
      <c r="BB92" t="n">
        <v>3.011</v>
      </c>
      <c r="BC92" t="n">
        <v>0.016</v>
      </c>
      <c r="BD92" t="n">
        <v>2.993</v>
      </c>
      <c r="BE92" t="n">
        <v>4.237</v>
      </c>
      <c r="BF92" t="n">
        <v>579.072</v>
      </c>
      <c r="BG92" t="n">
        <v>6930.862</v>
      </c>
      <c r="BH92" t="n">
        <v>146.065</v>
      </c>
      <c r="BI92" t="n">
        <v>117.813</v>
      </c>
      <c r="BJ92" t="n">
        <v>255.554</v>
      </c>
      <c r="BK92" t="n">
        <v>3.239</v>
      </c>
      <c r="BL92" t="n">
        <v>6.255</v>
      </c>
      <c r="BM92" t="n">
        <v>70.71899999999999</v>
      </c>
      <c r="BN92" t="n">
        <v>5.087</v>
      </c>
      <c r="BO92" t="n">
        <v>239.88</v>
      </c>
      <c r="BP92" t="n">
        <v>109.801</v>
      </c>
      <c r="BQ92" t="n">
        <v>23.764</v>
      </c>
      <c r="BR92" t="n">
        <v>6983.458</v>
      </c>
      <c r="BS92" t="n">
        <v>125.601</v>
      </c>
      <c r="BT92" t="n">
        <v>12094.603</v>
      </c>
      <c r="BU92" t="n">
        <v>45.928</v>
      </c>
      <c r="BV92" t="n">
        <v>44.198</v>
      </c>
    </row>
    <row r="93">
      <c r="A93" t="inlineStr">
        <is>
          <t>Salmo salar</t>
        </is>
      </c>
      <c r="B93" t="inlineStr">
        <is>
          <t>Atlantic salmon</t>
        </is>
      </c>
      <c r="C93" t="inlineStr">
        <is>
          <t>Large benthopelagics (&gt;=90 cm)</t>
        </is>
      </c>
      <c r="D93" t="inlineStr">
        <is>
          <t>Salmon, smelts, etc</t>
        </is>
      </c>
      <c r="E93" t="n">
        <v>268.569</v>
      </c>
      <c r="F93" t="n">
        <v>87.79000000000001</v>
      </c>
      <c r="G93" t="n">
        <v>188.186</v>
      </c>
      <c r="H93" t="n">
        <v>1159.481</v>
      </c>
      <c r="I93" t="n">
        <v>77.48999999999999</v>
      </c>
      <c r="J93" t="n">
        <v>246.687</v>
      </c>
      <c r="K93" t="n">
        <v>642.663</v>
      </c>
      <c r="L93" t="n">
        <v>826.922</v>
      </c>
      <c r="M93" t="n">
        <v>662.746</v>
      </c>
      <c r="N93" t="n">
        <v>643.746</v>
      </c>
      <c r="O93" t="n">
        <v>1145.924</v>
      </c>
      <c r="P93" t="n">
        <v>1026.693</v>
      </c>
      <c r="Q93" t="n">
        <v>1655.524</v>
      </c>
      <c r="R93" t="n">
        <v>1211.669</v>
      </c>
      <c r="S93" t="n">
        <v>1650.535</v>
      </c>
      <c r="T93" t="n">
        <v>1196.208</v>
      </c>
      <c r="U93" t="n">
        <v>1201.356</v>
      </c>
      <c r="V93" t="n">
        <v>1629.76</v>
      </c>
      <c r="W93" t="n">
        <v>1190.289</v>
      </c>
      <c r="X93" t="n">
        <v>1748.739</v>
      </c>
      <c r="Y93" t="n">
        <v>1266.907</v>
      </c>
      <c r="Z93" t="n">
        <v>1219.329</v>
      </c>
      <c r="AA93" t="n">
        <v>1467.988</v>
      </c>
      <c r="AB93" t="n">
        <v>1812.93</v>
      </c>
      <c r="AC93" t="n">
        <v>1298.441</v>
      </c>
      <c r="AD93" t="n">
        <v>1273.292</v>
      </c>
      <c r="AE93" t="n">
        <v>648.423</v>
      </c>
      <c r="AF93" t="n">
        <v>347.863</v>
      </c>
      <c r="AG93" t="n">
        <v>388.508</v>
      </c>
      <c r="AH93" t="n">
        <v>360.655</v>
      </c>
      <c r="AI93" t="n">
        <v>381.918</v>
      </c>
      <c r="AJ93" t="n">
        <v>518.569</v>
      </c>
      <c r="AK93" t="n">
        <v>402.433</v>
      </c>
      <c r="AL93" t="n">
        <v>707.8</v>
      </c>
      <c r="AM93" t="n">
        <v>627.345</v>
      </c>
      <c r="AN93" t="n">
        <v>523.525</v>
      </c>
      <c r="AO93" t="n">
        <v>794.1</v>
      </c>
      <c r="AP93" t="n">
        <v>563.8150000000001</v>
      </c>
      <c r="AQ93" t="n">
        <v>572.372</v>
      </c>
      <c r="AR93" t="n">
        <v>247.036</v>
      </c>
      <c r="AS93" t="n">
        <v>155.428</v>
      </c>
      <c r="AT93" t="n">
        <v>38.058</v>
      </c>
      <c r="AU93" t="n">
        <v>44.612</v>
      </c>
      <c r="AV93" t="n">
        <v>46.443</v>
      </c>
      <c r="AW93" t="n">
        <v>38.102</v>
      </c>
      <c r="AX93" t="n">
        <v>26.971</v>
      </c>
      <c r="AY93" t="n">
        <v>17.033</v>
      </c>
      <c r="AZ93" t="n">
        <v>10.669</v>
      </c>
      <c r="BA93" t="n">
        <v>6.543</v>
      </c>
      <c r="BB93" t="n">
        <v>6.301</v>
      </c>
      <c r="BC93" t="n">
        <v>39.883</v>
      </c>
      <c r="BD93" t="n">
        <v>41.285</v>
      </c>
      <c r="BE93" t="n">
        <v>36.055</v>
      </c>
      <c r="BF93" t="n">
        <v>6.394</v>
      </c>
      <c r="BG93" t="n">
        <v>8.471</v>
      </c>
      <c r="BH93" t="n">
        <v>6.231</v>
      </c>
      <c r="BI93" t="n">
        <v>9.624000000000001</v>
      </c>
      <c r="BJ93" t="n">
        <v>8.843</v>
      </c>
      <c r="BK93" t="n">
        <v>8.247999999999999</v>
      </c>
      <c r="BL93" t="n">
        <v>1.006</v>
      </c>
      <c r="BM93" t="n">
        <v>0.377</v>
      </c>
      <c r="BN93" t="n">
        <v>19.43</v>
      </c>
      <c r="BO93" t="n">
        <v>15.292</v>
      </c>
      <c r="BP93" t="n">
        <v>10.211</v>
      </c>
      <c r="BQ93" t="n">
        <v>19.74</v>
      </c>
      <c r="BR93" t="n">
        <v>0.647</v>
      </c>
      <c r="BS93" t="n">
        <v>3.795</v>
      </c>
      <c r="BT93" t="n">
        <v>0.27</v>
      </c>
      <c r="BU93" t="n">
        <v>3.892</v>
      </c>
      <c r="BV93" t="n">
        <v>2.463</v>
      </c>
    </row>
    <row r="94">
      <c r="A94" t="inlineStr">
        <is>
          <t>Bivalvia</t>
        </is>
      </c>
      <c r="B94" t="inlineStr">
        <is>
          <t>Clams</t>
        </is>
      </c>
      <c r="C94" t="inlineStr">
        <is>
          <t>Other demersal invertebrates</t>
        </is>
      </c>
      <c r="D94" t="inlineStr">
        <is>
          <t>Molluscs</t>
        </is>
      </c>
      <c r="E94" t="n">
        <v>378.593</v>
      </c>
      <c r="F94" t="n">
        <v>911.136</v>
      </c>
      <c r="G94" t="n">
        <v>369.768</v>
      </c>
      <c r="H94" t="n">
        <v>407.318</v>
      </c>
      <c r="I94" t="n">
        <v>467.511</v>
      </c>
      <c r="J94" t="n">
        <v>487.596</v>
      </c>
      <c r="K94" t="n">
        <v>426.539</v>
      </c>
      <c r="L94" t="n">
        <v>384.727</v>
      </c>
      <c r="M94" t="n">
        <v>375.89</v>
      </c>
      <c r="N94" t="n">
        <v>375.816</v>
      </c>
      <c r="O94" t="n">
        <v>149.051</v>
      </c>
      <c r="P94" t="n">
        <v>408.996</v>
      </c>
      <c r="Q94" t="n">
        <v>391.5</v>
      </c>
      <c r="R94" t="n">
        <v>281.061</v>
      </c>
      <c r="S94" t="n">
        <v>550.1660000000001</v>
      </c>
      <c r="T94" t="n">
        <v>576.927</v>
      </c>
      <c r="U94" t="n">
        <v>388.297</v>
      </c>
      <c r="V94" t="n">
        <v>347.804</v>
      </c>
      <c r="W94" t="n">
        <v>602.202</v>
      </c>
      <c r="X94" t="n">
        <v>454.155</v>
      </c>
      <c r="Y94" t="n">
        <v>496.871</v>
      </c>
      <c r="Z94" t="n">
        <v>520.043</v>
      </c>
      <c r="AA94" t="n">
        <v>455.671</v>
      </c>
      <c r="AB94" t="n">
        <v>489.317</v>
      </c>
      <c r="AC94" t="n">
        <v>454.922</v>
      </c>
      <c r="AD94" t="n">
        <v>409.301</v>
      </c>
      <c r="AE94" t="n">
        <v>411.791</v>
      </c>
      <c r="AF94" t="n">
        <v>399.109</v>
      </c>
      <c r="AG94" t="n">
        <v>422.082</v>
      </c>
      <c r="AH94" t="n">
        <v>475.928</v>
      </c>
      <c r="AI94" t="n">
        <v>444.207</v>
      </c>
      <c r="AJ94" t="n">
        <v>516.843</v>
      </c>
      <c r="AK94" t="n">
        <v>532.7</v>
      </c>
      <c r="AL94" t="n">
        <v>501.268</v>
      </c>
      <c r="AM94" t="n">
        <v>481.026</v>
      </c>
      <c r="AN94" t="n">
        <v>393.705</v>
      </c>
      <c r="AO94" t="n">
        <v>364.509</v>
      </c>
      <c r="AP94" t="n">
        <v>363.381</v>
      </c>
      <c r="AQ94" t="n">
        <v>359.748</v>
      </c>
      <c r="AR94" t="n">
        <v>337.169</v>
      </c>
      <c r="AS94" t="n">
        <v>307.282</v>
      </c>
      <c r="AT94" t="n">
        <v>228.252</v>
      </c>
      <c r="AU94" t="n">
        <v>174.214</v>
      </c>
      <c r="AV94" t="n">
        <v>1830.392</v>
      </c>
      <c r="AW94" t="n">
        <v>1613.102</v>
      </c>
      <c r="AX94" t="n">
        <v>3554.544</v>
      </c>
      <c r="AY94" t="n">
        <v>205.231</v>
      </c>
      <c r="AZ94" t="n">
        <v>230.721</v>
      </c>
      <c r="BA94" t="n">
        <v>203.995</v>
      </c>
      <c r="BB94" t="n">
        <v>233.344</v>
      </c>
      <c r="BC94" t="n">
        <v>275.238</v>
      </c>
      <c r="BD94" t="n">
        <v>287.734</v>
      </c>
      <c r="BE94" t="n">
        <v>2001.378</v>
      </c>
      <c r="BF94" t="n">
        <v>1093.067</v>
      </c>
      <c r="BG94" t="n">
        <v>1389.824</v>
      </c>
      <c r="BH94" t="n">
        <v>340.144</v>
      </c>
      <c r="BI94" t="n">
        <v>270.491</v>
      </c>
      <c r="BJ94" t="n">
        <v>270.116</v>
      </c>
      <c r="BK94" t="n">
        <v>205.346</v>
      </c>
      <c r="BL94" t="n">
        <v>96.03400000000001</v>
      </c>
      <c r="BM94" t="n">
        <v>127.351</v>
      </c>
      <c r="BN94" t="n">
        <v>151.974</v>
      </c>
      <c r="BO94" t="n">
        <v>213.68</v>
      </c>
      <c r="BP94" t="n">
        <v>258.628</v>
      </c>
      <c r="BQ94" t="n">
        <v>279.638</v>
      </c>
      <c r="BR94" t="n">
        <v>88.607</v>
      </c>
      <c r="BS94" t="n">
        <v>69.499</v>
      </c>
      <c r="BT94" t="n">
        <v>72.239</v>
      </c>
      <c r="BU94" t="n">
        <v>284.372</v>
      </c>
      <c r="BV94" t="n">
        <v>261.407</v>
      </c>
    </row>
    <row r="95">
      <c r="A95" t="inlineStr">
        <is>
          <t>Agonus cataphractus</t>
        </is>
      </c>
      <c r="B95" t="inlineStr">
        <is>
          <t>Hooknose</t>
        </is>
      </c>
      <c r="C95" t="inlineStr">
        <is>
          <t>Large reef assoc. fish (&gt;=90 cm)</t>
        </is>
      </c>
      <c r="D95" t="inlineStr">
        <is>
          <t>Scorpionfishes</t>
        </is>
      </c>
      <c r="E95" t="n">
        <v>578.077</v>
      </c>
      <c r="F95" t="n">
        <v>480.606</v>
      </c>
      <c r="G95" t="n">
        <v>447.656</v>
      </c>
      <c r="H95" t="n">
        <v>696.21</v>
      </c>
      <c r="I95" t="n">
        <v>577.391</v>
      </c>
      <c r="J95" t="n">
        <v>721.505</v>
      </c>
      <c r="K95" t="n">
        <v>582.302</v>
      </c>
      <c r="L95" t="n">
        <v>613.1950000000001</v>
      </c>
      <c r="M95" t="n">
        <v>521.706</v>
      </c>
      <c r="N95" t="n">
        <v>483.155</v>
      </c>
      <c r="O95" t="n">
        <v>471.161</v>
      </c>
      <c r="P95" t="n">
        <v>545.404</v>
      </c>
      <c r="Q95" t="n">
        <v>523.955</v>
      </c>
      <c r="R95" t="n">
        <v>794.104</v>
      </c>
      <c r="S95" t="n">
        <v>569.877</v>
      </c>
      <c r="T95" t="n">
        <v>576.561</v>
      </c>
      <c r="U95" t="n">
        <v>785.371</v>
      </c>
      <c r="V95" t="n">
        <v>511.618</v>
      </c>
      <c r="W95" t="n">
        <v>709.3339999999999</v>
      </c>
      <c r="X95" t="n">
        <v>661.587</v>
      </c>
      <c r="Y95" t="n">
        <v>823.277</v>
      </c>
      <c r="Z95" t="n">
        <v>607.928</v>
      </c>
      <c r="AA95" t="n">
        <v>654.086</v>
      </c>
      <c r="AB95" t="n">
        <v>741.871</v>
      </c>
      <c r="AC95" t="n">
        <v>708.7809999999999</v>
      </c>
      <c r="AD95" t="n">
        <v>571.889</v>
      </c>
      <c r="AE95" t="n">
        <v>628.5700000000001</v>
      </c>
      <c r="AF95" t="n">
        <v>488.042</v>
      </c>
      <c r="AG95" t="n">
        <v>396.516</v>
      </c>
      <c r="AH95" t="n">
        <v>480.766</v>
      </c>
      <c r="AI95" t="n">
        <v>441.102</v>
      </c>
      <c r="AJ95" t="n">
        <v>435.241</v>
      </c>
      <c r="AK95" t="n">
        <v>584.146</v>
      </c>
      <c r="AL95" t="n">
        <v>471.906</v>
      </c>
      <c r="AM95" t="n">
        <v>477.807</v>
      </c>
      <c r="AN95" t="n">
        <v>595.172</v>
      </c>
      <c r="AO95" t="n">
        <v>556.451</v>
      </c>
      <c r="AP95" t="n">
        <v>537.519</v>
      </c>
      <c r="AQ95" t="n">
        <v>506.832</v>
      </c>
      <c r="AR95" t="n">
        <v>515.29</v>
      </c>
      <c r="AS95" t="n">
        <v>420.8</v>
      </c>
      <c r="AT95" t="n">
        <v>492.603</v>
      </c>
      <c r="AU95" t="n">
        <v>399.434</v>
      </c>
      <c r="AV95" t="n">
        <v>423.954</v>
      </c>
      <c r="AW95" t="n">
        <v>482.427</v>
      </c>
      <c r="AX95" t="n">
        <v>375.352</v>
      </c>
      <c r="AY95" t="n">
        <v>402.301</v>
      </c>
      <c r="AZ95" t="n">
        <v>441.761</v>
      </c>
      <c r="BA95" t="n">
        <v>367.125</v>
      </c>
      <c r="BB95" t="n">
        <v>431.991</v>
      </c>
      <c r="BC95" t="n">
        <v>421.142</v>
      </c>
      <c r="BD95" t="n">
        <v>339.611</v>
      </c>
      <c r="BE95" t="n">
        <v>371.177</v>
      </c>
      <c r="BF95" t="n">
        <v>371.791</v>
      </c>
      <c r="BG95" t="n">
        <v>404.083</v>
      </c>
      <c r="BH95" t="n">
        <v>449.494</v>
      </c>
      <c r="BI95" t="n">
        <v>386.334</v>
      </c>
      <c r="BJ95" t="n">
        <v>342.245</v>
      </c>
      <c r="BK95" t="n">
        <v>367.446</v>
      </c>
      <c r="BL95" t="n">
        <v>371.874</v>
      </c>
      <c r="BM95" t="n">
        <v>403.891</v>
      </c>
      <c r="BN95" t="n">
        <v>373.816</v>
      </c>
      <c r="BO95" t="n">
        <v>373.193</v>
      </c>
      <c r="BP95" t="n">
        <v>373.674</v>
      </c>
      <c r="BQ95" t="n">
        <v>353.435</v>
      </c>
      <c r="BR95" t="n">
        <v>262.437</v>
      </c>
      <c r="BS95" t="n">
        <v>217.565</v>
      </c>
      <c r="BT95" t="n">
        <v>151.218</v>
      </c>
      <c r="BU95" t="n">
        <v>196.388</v>
      </c>
      <c r="BV95" t="n">
        <v>151.061</v>
      </c>
    </row>
    <row r="96">
      <c r="A96" t="inlineStr">
        <is>
          <t>Anarhichas</t>
        </is>
      </c>
      <c r="B96" t="inlineStr">
        <is>
          <t>Wolffishes</t>
        </is>
      </c>
      <c r="C96" t="inlineStr">
        <is>
          <t>Large demersals (&gt;=90 cm)</t>
        </is>
      </c>
      <c r="D96" t="inlineStr">
        <is>
          <t>Perch-likes</t>
        </is>
      </c>
      <c r="E96" t="n">
        <v>897.083</v>
      </c>
      <c r="F96" t="n">
        <v>657.893</v>
      </c>
      <c r="G96" t="n">
        <v>851.773</v>
      </c>
      <c r="H96" t="n">
        <v>1143.627</v>
      </c>
      <c r="I96" t="n">
        <v>1140.613</v>
      </c>
      <c r="J96" t="n">
        <v>920.3630000000001</v>
      </c>
      <c r="K96" t="n">
        <v>913.139</v>
      </c>
      <c r="L96" t="n">
        <v>1263.759</v>
      </c>
      <c r="M96" t="n">
        <v>1149.847</v>
      </c>
      <c r="N96" t="n">
        <v>1172.336</v>
      </c>
      <c r="O96" t="n">
        <v>1297.328</v>
      </c>
      <c r="P96" t="n">
        <v>1654.178</v>
      </c>
      <c r="Q96" t="n">
        <v>1696.804</v>
      </c>
      <c r="R96" t="n">
        <v>1165.55</v>
      </c>
      <c r="S96" t="n">
        <v>1520.434</v>
      </c>
      <c r="T96" t="n">
        <v>1332.171</v>
      </c>
      <c r="U96" t="n">
        <v>938.67</v>
      </c>
      <c r="V96" t="n">
        <v>873.985</v>
      </c>
      <c r="W96" t="n">
        <v>867.261</v>
      </c>
      <c r="X96" t="n">
        <v>959.925</v>
      </c>
      <c r="Y96" t="n">
        <v>879.65</v>
      </c>
      <c r="Z96" t="n">
        <v>1159.268</v>
      </c>
      <c r="AA96" t="n">
        <v>1293.621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98.91</v>
      </c>
      <c r="AR96" t="n">
        <v>179.71</v>
      </c>
      <c r="AS96" t="n">
        <v>103.899</v>
      </c>
      <c r="AT96" t="n">
        <v>108.847</v>
      </c>
      <c r="AU96" t="n">
        <v>99.84399999999999</v>
      </c>
      <c r="AV96" t="n">
        <v>70.806</v>
      </c>
      <c r="AW96" t="n">
        <v>57.903</v>
      </c>
      <c r="AX96" t="n">
        <v>49.934</v>
      </c>
      <c r="AY96" t="n">
        <v>5.995</v>
      </c>
      <c r="AZ96" t="n">
        <v>14.987</v>
      </c>
      <c r="BA96" t="n">
        <v>26.105</v>
      </c>
      <c r="BB96" t="n">
        <v>327.146</v>
      </c>
      <c r="BC96" t="n">
        <v>315.117</v>
      </c>
      <c r="BD96" t="n">
        <v>232.969</v>
      </c>
      <c r="BE96" t="n">
        <v>273.945</v>
      </c>
      <c r="BF96" t="n">
        <v>192.909</v>
      </c>
      <c r="BG96" t="n">
        <v>182.119</v>
      </c>
      <c r="BH96" t="n">
        <v>152.172</v>
      </c>
      <c r="BI96" t="n">
        <v>129.403</v>
      </c>
      <c r="BJ96" t="n">
        <v>155.282</v>
      </c>
      <c r="BK96" t="n">
        <v>172.037</v>
      </c>
      <c r="BL96" t="n">
        <v>197.867</v>
      </c>
      <c r="BM96" t="n">
        <v>263.1</v>
      </c>
      <c r="BN96" t="n">
        <v>176.942</v>
      </c>
      <c r="BO96" t="n">
        <v>233.281</v>
      </c>
      <c r="BP96" t="n">
        <v>186.433</v>
      </c>
      <c r="BQ96" t="n">
        <v>305.236</v>
      </c>
      <c r="BR96" t="n">
        <v>589.895</v>
      </c>
      <c r="BS96" t="n">
        <v>470.761</v>
      </c>
      <c r="BT96" t="n">
        <v>445.627</v>
      </c>
      <c r="BU96" t="n">
        <v>487.837</v>
      </c>
      <c r="BV96" t="n">
        <v>894.273</v>
      </c>
    </row>
    <row r="97">
      <c r="A97" t="inlineStr">
        <is>
          <t>Asteroidea</t>
        </is>
      </c>
      <c r="B97" t="inlineStr">
        <is>
          <t>True sea stars</t>
        </is>
      </c>
      <c r="C97" t="inlineStr">
        <is>
          <t>Other demersal invertebrates</t>
        </is>
      </c>
      <c r="D97" t="inlineStr">
        <is>
          <t>Other fishes &amp; inverts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2726.005</v>
      </c>
      <c r="Q97" t="n">
        <v>5451.383</v>
      </c>
      <c r="R97" t="n">
        <v>952.239</v>
      </c>
      <c r="S97" t="n">
        <v>3161.1</v>
      </c>
      <c r="T97" t="n">
        <v>3645.351</v>
      </c>
      <c r="U97" t="n">
        <v>1062.659</v>
      </c>
      <c r="V97" t="n">
        <v>1638.864</v>
      </c>
      <c r="W97" t="n">
        <v>1637.139</v>
      </c>
      <c r="X97" t="n">
        <v>2239.724</v>
      </c>
      <c r="Y97" t="n">
        <v>2928.246</v>
      </c>
      <c r="Z97" t="n">
        <v>3130.196</v>
      </c>
      <c r="AA97" t="n">
        <v>1119.063</v>
      </c>
      <c r="AB97" t="n">
        <v>961.016</v>
      </c>
      <c r="AC97" t="n">
        <v>1431.047</v>
      </c>
      <c r="AD97" t="n">
        <v>208.754</v>
      </c>
      <c r="AE97" t="n">
        <v>145.206</v>
      </c>
      <c r="AF97" t="n">
        <v>0</v>
      </c>
      <c r="AG97" t="n">
        <v>386.642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</row>
    <row r="98">
      <c r="A98" t="inlineStr">
        <is>
          <t>Anarhichadidae</t>
        </is>
      </c>
      <c r="B98" t="inlineStr">
        <is>
          <t>Wolffishes, wolfeels</t>
        </is>
      </c>
      <c r="C98" t="inlineStr">
        <is>
          <t>Large demersals (&gt;=90 cm)</t>
        </is>
      </c>
      <c r="D98" t="inlineStr">
        <is>
          <t>Perch-likes</t>
        </is>
      </c>
      <c r="E98" t="n">
        <v>147.13</v>
      </c>
      <c r="F98" t="n">
        <v>147.678</v>
      </c>
      <c r="G98" t="n">
        <v>215.216</v>
      </c>
      <c r="H98" t="n">
        <v>176.326</v>
      </c>
      <c r="I98" t="n">
        <v>191.275</v>
      </c>
      <c r="J98" t="n">
        <v>177.006</v>
      </c>
      <c r="K98" t="n">
        <v>147.9</v>
      </c>
      <c r="L98" t="n">
        <v>189.82</v>
      </c>
      <c r="M98" t="n">
        <v>203.834</v>
      </c>
      <c r="N98" t="n">
        <v>282.567</v>
      </c>
      <c r="O98" t="n">
        <v>226.074</v>
      </c>
      <c r="P98" t="n">
        <v>247.43</v>
      </c>
      <c r="Q98" t="n">
        <v>227.491</v>
      </c>
      <c r="R98" t="n">
        <v>224.074</v>
      </c>
      <c r="S98" t="n">
        <v>290.305</v>
      </c>
      <c r="T98" t="n">
        <v>206.586</v>
      </c>
      <c r="U98" t="n">
        <v>174.296</v>
      </c>
      <c r="V98" t="n">
        <v>183.876</v>
      </c>
      <c r="W98" t="n">
        <v>180.847</v>
      </c>
      <c r="X98" t="n">
        <v>195.76</v>
      </c>
      <c r="Y98" t="n">
        <v>195.65</v>
      </c>
      <c r="Z98" t="n">
        <v>178.99</v>
      </c>
      <c r="AA98" t="n">
        <v>320.237</v>
      </c>
      <c r="AB98" t="n">
        <v>376.658</v>
      </c>
      <c r="AC98" t="n">
        <v>446.103</v>
      </c>
      <c r="AD98" t="n">
        <v>392.557</v>
      </c>
      <c r="AE98" t="n">
        <v>400.463</v>
      </c>
      <c r="AF98" t="n">
        <v>448.798</v>
      </c>
      <c r="AG98" t="n">
        <v>506.591</v>
      </c>
      <c r="AH98" t="n">
        <v>606.7</v>
      </c>
      <c r="AI98" t="n">
        <v>548.056</v>
      </c>
      <c r="AJ98" t="n">
        <v>527.5119999999999</v>
      </c>
      <c r="AK98" t="n">
        <v>674.678</v>
      </c>
      <c r="AL98" t="n">
        <v>981.543</v>
      </c>
      <c r="AM98" t="n">
        <v>927.716</v>
      </c>
      <c r="AN98" t="n">
        <v>1125.143</v>
      </c>
      <c r="AO98" t="n">
        <v>1219.089</v>
      </c>
      <c r="AP98" t="n">
        <v>1155.632</v>
      </c>
      <c r="AQ98" t="n">
        <v>1133.637</v>
      </c>
      <c r="AR98" t="n">
        <v>1401.116</v>
      </c>
      <c r="AS98" t="n">
        <v>1189.42</v>
      </c>
      <c r="AT98" t="n">
        <v>1325.149</v>
      </c>
      <c r="AU98" t="n">
        <v>1272.598</v>
      </c>
      <c r="AV98" t="n">
        <v>1146.404</v>
      </c>
      <c r="AW98" t="n">
        <v>923.529</v>
      </c>
      <c r="AX98" t="n">
        <v>725.321</v>
      </c>
      <c r="AY98" t="n">
        <v>734.333</v>
      </c>
      <c r="AZ98" t="n">
        <v>686.986</v>
      </c>
      <c r="BA98" t="n">
        <v>541.621</v>
      </c>
      <c r="BB98" t="n">
        <v>490.242</v>
      </c>
      <c r="BC98" t="n">
        <v>581.619</v>
      </c>
      <c r="BD98" t="n">
        <v>496.21</v>
      </c>
      <c r="BE98" t="n">
        <v>368.812</v>
      </c>
      <c r="BF98" t="n">
        <v>382.806</v>
      </c>
      <c r="BG98" t="n">
        <v>287.251</v>
      </c>
      <c r="BH98" t="n">
        <v>188.832</v>
      </c>
      <c r="BI98" t="n">
        <v>240.971</v>
      </c>
      <c r="BJ98" t="n">
        <v>189.384</v>
      </c>
      <c r="BK98" t="n">
        <v>203.112</v>
      </c>
      <c r="BL98" t="n">
        <v>262.024</v>
      </c>
      <c r="BM98" t="n">
        <v>231.865</v>
      </c>
      <c r="BN98" t="n">
        <v>193.171</v>
      </c>
      <c r="BO98" t="n">
        <v>248.388</v>
      </c>
      <c r="BP98" t="n">
        <v>231.476</v>
      </c>
      <c r="BQ98" t="n">
        <v>258.562</v>
      </c>
      <c r="BR98" t="n">
        <v>336.309</v>
      </c>
      <c r="BS98" t="n">
        <v>403.828</v>
      </c>
      <c r="BT98" t="n">
        <v>398.189</v>
      </c>
      <c r="BU98" t="n">
        <v>315.467</v>
      </c>
      <c r="BV98" t="n">
        <v>0.019</v>
      </c>
    </row>
    <row r="99">
      <c r="A99" t="inlineStr">
        <is>
          <t>Amblyraja radiata</t>
        </is>
      </c>
      <c r="B99" t="inlineStr">
        <is>
          <t>Starry ray</t>
        </is>
      </c>
      <c r="C99" t="inlineStr">
        <is>
          <t>Large rays (&gt;=90 cm)</t>
        </is>
      </c>
      <c r="D99" t="inlineStr">
        <is>
          <t>Sharks &amp; rays</t>
        </is>
      </c>
      <c r="E99" t="n">
        <v>179.514</v>
      </c>
      <c r="F99" t="n">
        <v>176.314</v>
      </c>
      <c r="G99" t="n">
        <v>180.665</v>
      </c>
      <c r="H99" t="n">
        <v>210.689</v>
      </c>
      <c r="I99" t="n">
        <v>176.329</v>
      </c>
      <c r="J99" t="n">
        <v>159.275</v>
      </c>
      <c r="K99" t="n">
        <v>176.778</v>
      </c>
      <c r="L99" t="n">
        <v>204.695</v>
      </c>
      <c r="M99" t="n">
        <v>219.843</v>
      </c>
      <c r="N99" t="n">
        <v>228.417</v>
      </c>
      <c r="O99" t="n">
        <v>259.081</v>
      </c>
      <c r="P99" t="n">
        <v>308.931</v>
      </c>
      <c r="Q99" t="n">
        <v>371.117</v>
      </c>
      <c r="R99" t="n">
        <v>388.766</v>
      </c>
      <c r="S99" t="n">
        <v>351.542</v>
      </c>
      <c r="T99" t="n">
        <v>384.157</v>
      </c>
      <c r="U99" t="n">
        <v>531.8049999999999</v>
      </c>
      <c r="V99" t="n">
        <v>362.424</v>
      </c>
      <c r="W99" t="n">
        <v>542.966</v>
      </c>
      <c r="X99" t="n">
        <v>650.763</v>
      </c>
      <c r="Y99" t="n">
        <v>663.658</v>
      </c>
      <c r="Z99" t="n">
        <v>673.8920000000001</v>
      </c>
      <c r="AA99" t="n">
        <v>745.341</v>
      </c>
      <c r="AB99" t="n">
        <v>791.7140000000001</v>
      </c>
      <c r="AC99" t="n">
        <v>747.867</v>
      </c>
      <c r="AD99" t="n">
        <v>708.239</v>
      </c>
      <c r="AE99" t="n">
        <v>614.2809999999999</v>
      </c>
      <c r="AF99" t="n">
        <v>568.712</v>
      </c>
      <c r="AG99" t="n">
        <v>375.291</v>
      </c>
      <c r="AH99" t="n">
        <v>495.166</v>
      </c>
      <c r="AI99" t="n">
        <v>559.546</v>
      </c>
      <c r="AJ99" t="n">
        <v>591.528</v>
      </c>
      <c r="AK99" t="n">
        <v>775.194</v>
      </c>
      <c r="AL99" t="n">
        <v>761.975</v>
      </c>
      <c r="AM99" t="n">
        <v>824.53</v>
      </c>
      <c r="AN99" t="n">
        <v>920.681</v>
      </c>
      <c r="AO99" t="n">
        <v>867.568</v>
      </c>
      <c r="AP99" t="n">
        <v>815.875</v>
      </c>
      <c r="AQ99" t="n">
        <v>808.702</v>
      </c>
      <c r="AR99" t="n">
        <v>852.096</v>
      </c>
      <c r="AS99" t="n">
        <v>814.056</v>
      </c>
      <c r="AT99" t="n">
        <v>736.019</v>
      </c>
      <c r="AU99" t="n">
        <v>575.477</v>
      </c>
      <c r="AV99" t="n">
        <v>573.583</v>
      </c>
      <c r="AW99" t="n">
        <v>593.601</v>
      </c>
      <c r="AX99" t="n">
        <v>535.078</v>
      </c>
      <c r="AY99" t="n">
        <v>418.381</v>
      </c>
      <c r="AZ99" t="n">
        <v>365.266</v>
      </c>
      <c r="BA99" t="n">
        <v>375.22</v>
      </c>
      <c r="BB99" t="n">
        <v>446.64</v>
      </c>
      <c r="BC99" t="n">
        <v>405.96</v>
      </c>
      <c r="BD99" t="n">
        <v>387.571</v>
      </c>
      <c r="BE99" t="n">
        <v>334.824</v>
      </c>
      <c r="BF99" t="n">
        <v>323.921</v>
      </c>
      <c r="BG99" t="n">
        <v>286.748</v>
      </c>
      <c r="BH99" t="n">
        <v>270.467</v>
      </c>
      <c r="BI99" t="n">
        <v>256.544</v>
      </c>
      <c r="BJ99" t="n">
        <v>259.759</v>
      </c>
      <c r="BK99" t="n">
        <v>244.046</v>
      </c>
      <c r="BL99" t="n">
        <v>283.431</v>
      </c>
      <c r="BM99" t="n">
        <v>326.376</v>
      </c>
      <c r="BN99" t="n">
        <v>305.547</v>
      </c>
      <c r="BO99" t="n">
        <v>337.248</v>
      </c>
      <c r="BP99" t="n">
        <v>345.854</v>
      </c>
      <c r="BQ99" t="n">
        <v>299.971</v>
      </c>
      <c r="BR99" t="n">
        <v>323.951</v>
      </c>
      <c r="BS99" t="n">
        <v>347.69</v>
      </c>
      <c r="BT99" t="n">
        <v>161.854</v>
      </c>
      <c r="BU99" t="n">
        <v>237.931</v>
      </c>
      <c r="BV99" t="n">
        <v>192.706</v>
      </c>
    </row>
    <row r="100">
      <c r="A100" t="inlineStr">
        <is>
          <t>Osmerus eperlanus</t>
        </is>
      </c>
      <c r="B100" t="inlineStr">
        <is>
          <t>European smelt</t>
        </is>
      </c>
      <c r="C100" t="inlineStr">
        <is>
          <t>Medium pelagics (30 - 89 cm)</t>
        </is>
      </c>
      <c r="D100" t="inlineStr">
        <is>
          <t>Salmon, smelts, etc</t>
        </is>
      </c>
      <c r="E100" t="n">
        <v>1338.264</v>
      </c>
      <c r="F100" t="n">
        <v>1342.267</v>
      </c>
      <c r="G100" t="n">
        <v>1893.824</v>
      </c>
      <c r="H100" t="n">
        <v>2434.618</v>
      </c>
      <c r="I100" t="n">
        <v>2644.078</v>
      </c>
      <c r="J100" t="n">
        <v>499.457</v>
      </c>
      <c r="K100" t="n">
        <v>333.932</v>
      </c>
      <c r="L100" t="n">
        <v>480.224</v>
      </c>
      <c r="M100" t="n">
        <v>597.3390000000001</v>
      </c>
      <c r="N100" t="n">
        <v>438.744</v>
      </c>
      <c r="O100" t="n">
        <v>415.28</v>
      </c>
      <c r="P100" t="n">
        <v>328.624</v>
      </c>
      <c r="Q100" t="n">
        <v>513.441</v>
      </c>
      <c r="R100" t="n">
        <v>301.951</v>
      </c>
      <c r="S100" t="n">
        <v>566.4690000000001</v>
      </c>
      <c r="T100" t="n">
        <v>449.931</v>
      </c>
      <c r="U100" t="n">
        <v>491.156</v>
      </c>
      <c r="V100" t="n">
        <v>443.067</v>
      </c>
      <c r="W100" t="n">
        <v>409.004</v>
      </c>
      <c r="X100" t="n">
        <v>304.304</v>
      </c>
      <c r="Y100" t="n">
        <v>344.237</v>
      </c>
      <c r="Z100" t="n">
        <v>392.421</v>
      </c>
      <c r="AA100" t="n">
        <v>268.677</v>
      </c>
      <c r="AB100" t="n">
        <v>566.646</v>
      </c>
      <c r="AC100" t="n">
        <v>417.668</v>
      </c>
      <c r="AD100" t="n">
        <v>571.3099999999999</v>
      </c>
      <c r="AE100" t="n">
        <v>336.698</v>
      </c>
      <c r="AF100" t="n">
        <v>407.637</v>
      </c>
      <c r="AG100" t="n">
        <v>471.379</v>
      </c>
      <c r="AH100" t="n">
        <v>396.501</v>
      </c>
      <c r="AI100" t="n">
        <v>466.3</v>
      </c>
      <c r="AJ100" t="n">
        <v>420.414</v>
      </c>
      <c r="AK100" t="n">
        <v>573.668</v>
      </c>
      <c r="AL100" t="n">
        <v>422.127</v>
      </c>
      <c r="AM100" t="n">
        <v>239.698</v>
      </c>
      <c r="AN100" t="n">
        <v>126.842</v>
      </c>
      <c r="AO100" t="n">
        <v>192.759</v>
      </c>
      <c r="AP100" t="n">
        <v>198.757</v>
      </c>
      <c r="AQ100" t="n">
        <v>133.899</v>
      </c>
      <c r="AR100" t="n">
        <v>128.45</v>
      </c>
      <c r="AS100" t="n">
        <v>72.149</v>
      </c>
      <c r="AT100" t="n">
        <v>96.47</v>
      </c>
      <c r="AU100" t="n">
        <v>114.231</v>
      </c>
      <c r="AV100" t="n">
        <v>106.704</v>
      </c>
      <c r="AW100" t="n">
        <v>83.32299999999999</v>
      </c>
      <c r="AX100" t="n">
        <v>92.98699999999999</v>
      </c>
      <c r="AY100" t="n">
        <v>470.209</v>
      </c>
      <c r="AZ100" t="n">
        <v>1904.174</v>
      </c>
      <c r="BA100" t="n">
        <v>215.831</v>
      </c>
      <c r="BB100" t="n">
        <v>571.1420000000001</v>
      </c>
      <c r="BC100" t="n">
        <v>701.572</v>
      </c>
      <c r="BD100" t="n">
        <v>142.043</v>
      </c>
      <c r="BE100" t="n">
        <v>289.951</v>
      </c>
      <c r="BF100" t="n">
        <v>222.309</v>
      </c>
      <c r="BG100" t="n">
        <v>36.837</v>
      </c>
      <c r="BH100" t="n">
        <v>150.613</v>
      </c>
      <c r="BI100" t="n">
        <v>224.679</v>
      </c>
      <c r="BJ100" t="n">
        <v>46.249</v>
      </c>
      <c r="BK100" t="n">
        <v>192.765</v>
      </c>
      <c r="BL100" t="n">
        <v>371.967</v>
      </c>
      <c r="BM100" t="n">
        <v>405.889</v>
      </c>
      <c r="BN100" t="n">
        <v>118.285</v>
      </c>
      <c r="BO100" t="n">
        <v>224.419</v>
      </c>
      <c r="BP100" t="n">
        <v>181.115</v>
      </c>
      <c r="BQ100" t="n">
        <v>88.36199999999999</v>
      </c>
      <c r="BR100" t="n">
        <v>30.551</v>
      </c>
      <c r="BS100" t="n">
        <v>102.556</v>
      </c>
      <c r="BT100" t="n">
        <v>304.071</v>
      </c>
      <c r="BU100" t="n">
        <v>147.706</v>
      </c>
      <c r="BV100" t="n">
        <v>38.474</v>
      </c>
    </row>
    <row r="101">
      <c r="A101" t="inlineStr">
        <is>
          <t>Congridae</t>
        </is>
      </c>
      <c r="B101" t="inlineStr">
        <is>
          <t>Conger, garden eels</t>
        </is>
      </c>
      <c r="C101" t="inlineStr">
        <is>
          <t>Large demersals (&gt;=90 cm)</t>
        </is>
      </c>
      <c r="D101" t="inlineStr">
        <is>
          <t>Other fishes &amp; inverts</t>
        </is>
      </c>
      <c r="E101" t="n">
        <v>208.331</v>
      </c>
      <c r="F101" t="n">
        <v>364.328</v>
      </c>
      <c r="G101" t="n">
        <v>161.592</v>
      </c>
      <c r="H101" t="n">
        <v>177.83</v>
      </c>
      <c r="I101" t="n">
        <v>349.412</v>
      </c>
      <c r="J101" t="n">
        <v>378.519</v>
      </c>
      <c r="K101" t="n">
        <v>410.853</v>
      </c>
      <c r="L101" t="n">
        <v>428.556</v>
      </c>
      <c r="M101" t="n">
        <v>436.431</v>
      </c>
      <c r="N101" t="n">
        <v>431.208</v>
      </c>
      <c r="O101" t="n">
        <v>104.732</v>
      </c>
      <c r="P101" t="n">
        <v>534.867</v>
      </c>
      <c r="Q101" t="n">
        <v>56.95</v>
      </c>
      <c r="R101" t="n">
        <v>57.589</v>
      </c>
      <c r="S101" t="n">
        <v>730.6900000000001</v>
      </c>
      <c r="T101" t="n">
        <v>816.407</v>
      </c>
      <c r="U101" t="n">
        <v>596.893</v>
      </c>
      <c r="V101" t="n">
        <v>495.325</v>
      </c>
      <c r="W101" t="n">
        <v>826.23</v>
      </c>
      <c r="X101" t="n">
        <v>627.0890000000001</v>
      </c>
      <c r="Y101" t="n">
        <v>833.241</v>
      </c>
      <c r="Z101" t="n">
        <v>868.196</v>
      </c>
      <c r="AA101" t="n">
        <v>811.998</v>
      </c>
      <c r="AB101" t="n">
        <v>728.628</v>
      </c>
      <c r="AC101" t="n">
        <v>661.564</v>
      </c>
      <c r="AD101" t="n">
        <v>605.095</v>
      </c>
      <c r="AE101" t="n">
        <v>667.821</v>
      </c>
      <c r="AF101" t="n">
        <v>719.876</v>
      </c>
      <c r="AG101" t="n">
        <v>744.614</v>
      </c>
      <c r="AH101" t="n">
        <v>832.933</v>
      </c>
      <c r="AI101" t="n">
        <v>754.704</v>
      </c>
      <c r="AJ101" t="n">
        <v>878.803</v>
      </c>
      <c r="AK101" t="n">
        <v>898.7670000000001</v>
      </c>
      <c r="AL101" t="n">
        <v>832.5069999999999</v>
      </c>
      <c r="AM101" t="n">
        <v>817.357</v>
      </c>
      <c r="AN101" t="n">
        <v>648.474</v>
      </c>
      <c r="AO101" t="n">
        <v>630.905</v>
      </c>
      <c r="AP101" t="n">
        <v>605.662</v>
      </c>
      <c r="AQ101" t="n">
        <v>504.509</v>
      </c>
      <c r="AR101" t="n">
        <v>404.704</v>
      </c>
      <c r="AS101" t="n">
        <v>373.31</v>
      </c>
      <c r="AT101" t="n">
        <v>233.964</v>
      </c>
      <c r="AU101" t="n">
        <v>185.475</v>
      </c>
      <c r="AV101" t="n">
        <v>236.533</v>
      </c>
      <c r="AW101" t="n">
        <v>213.766</v>
      </c>
      <c r="AX101" t="n">
        <v>210.958</v>
      </c>
      <c r="AY101" t="n">
        <v>196.559</v>
      </c>
      <c r="AZ101" t="n">
        <v>178.232</v>
      </c>
      <c r="BA101" t="n">
        <v>168.801</v>
      </c>
      <c r="BB101" t="n">
        <v>206.992</v>
      </c>
      <c r="BC101" t="n">
        <v>257.985</v>
      </c>
      <c r="BD101" t="n">
        <v>264.3</v>
      </c>
      <c r="BE101" t="n">
        <v>287.017</v>
      </c>
      <c r="BF101" t="n">
        <v>206.997</v>
      </c>
      <c r="BG101" t="n">
        <v>156.19</v>
      </c>
      <c r="BH101" t="n">
        <v>136.273</v>
      </c>
      <c r="BI101" t="n">
        <v>190.128</v>
      </c>
      <c r="BJ101" t="n">
        <v>190.201</v>
      </c>
      <c r="BK101" t="n">
        <v>191.449</v>
      </c>
      <c r="BL101" t="n">
        <v>122.104</v>
      </c>
      <c r="BM101" t="n">
        <v>60.769</v>
      </c>
      <c r="BN101" t="n">
        <v>189.387</v>
      </c>
      <c r="BO101" t="n">
        <v>178.781</v>
      </c>
      <c r="BP101" t="n">
        <v>144.747</v>
      </c>
      <c r="BQ101" t="n">
        <v>168.051</v>
      </c>
      <c r="BR101" t="n">
        <v>75.77</v>
      </c>
      <c r="BS101" t="n">
        <v>72.764</v>
      </c>
      <c r="BT101" t="n">
        <v>71.31100000000001</v>
      </c>
      <c r="BU101" t="n">
        <v>213.347</v>
      </c>
      <c r="BV101" t="n">
        <v>179.684</v>
      </c>
    </row>
    <row r="102">
      <c r="A102" t="inlineStr">
        <is>
          <t>Sebastes norvegicus</t>
        </is>
      </c>
      <c r="B102" t="inlineStr">
        <is>
          <t>Golden redfish</t>
        </is>
      </c>
      <c r="C102" t="inlineStr">
        <is>
          <t>Medium benthopelagics (30 - 89 cm)</t>
        </is>
      </c>
      <c r="D102" t="inlineStr">
        <is>
          <t>Scorpionfishes</t>
        </is>
      </c>
      <c r="E102" t="n">
        <v>9.096</v>
      </c>
      <c r="F102" t="n">
        <v>5.056</v>
      </c>
      <c r="G102" t="n">
        <v>6.072</v>
      </c>
      <c r="H102" t="n">
        <v>5.069</v>
      </c>
      <c r="I102" t="n">
        <v>6.088</v>
      </c>
      <c r="J102" t="n">
        <v>27.295</v>
      </c>
      <c r="K102" t="n">
        <v>29.305</v>
      </c>
      <c r="L102" t="n">
        <v>25.256</v>
      </c>
      <c r="M102" t="n">
        <v>1.021</v>
      </c>
      <c r="N102" t="n">
        <v>1.019</v>
      </c>
      <c r="O102" t="n">
        <v>1.025</v>
      </c>
      <c r="P102" t="n">
        <v>35.366</v>
      </c>
      <c r="Q102" t="n">
        <v>31.331</v>
      </c>
      <c r="R102" t="n">
        <v>85.886</v>
      </c>
      <c r="S102" t="n">
        <v>87.913</v>
      </c>
      <c r="T102" t="n">
        <v>1.035</v>
      </c>
      <c r="U102" t="n">
        <v>1.038</v>
      </c>
      <c r="V102" t="n">
        <v>1.028</v>
      </c>
      <c r="W102" t="n">
        <v>1.019</v>
      </c>
      <c r="X102" t="n">
        <v>35.363</v>
      </c>
      <c r="Y102" t="n">
        <v>23.242</v>
      </c>
      <c r="Z102" t="n">
        <v>37.387</v>
      </c>
      <c r="AA102" t="n">
        <v>15.174</v>
      </c>
      <c r="AB102" t="n">
        <v>42.454</v>
      </c>
      <c r="AC102" t="n">
        <v>11.14</v>
      </c>
      <c r="AD102" t="n">
        <v>34.367</v>
      </c>
      <c r="AE102" t="n">
        <v>59.02</v>
      </c>
      <c r="AF102" t="n">
        <v>47.508</v>
      </c>
      <c r="AG102" t="n">
        <v>48.52</v>
      </c>
      <c r="AH102" t="n">
        <v>89.735</v>
      </c>
      <c r="AI102" t="n">
        <v>97.126</v>
      </c>
      <c r="AJ102" t="n">
        <v>165.47</v>
      </c>
      <c r="AK102" t="n">
        <v>201.413</v>
      </c>
      <c r="AL102" t="n">
        <v>258.008</v>
      </c>
      <c r="AM102" t="n">
        <v>188.249</v>
      </c>
      <c r="AN102" t="n">
        <v>489.576</v>
      </c>
      <c r="AO102" t="n">
        <v>291.145</v>
      </c>
      <c r="AP102" t="n">
        <v>183.346</v>
      </c>
      <c r="AQ102" t="n">
        <v>330.309</v>
      </c>
      <c r="AR102" t="n">
        <v>558.682</v>
      </c>
      <c r="AS102" t="n">
        <v>292.706</v>
      </c>
      <c r="AT102" t="n">
        <v>341.88</v>
      </c>
      <c r="AU102" t="n">
        <v>290.089</v>
      </c>
      <c r="AV102" t="n">
        <v>187.521</v>
      </c>
      <c r="AW102" t="n">
        <v>178.234</v>
      </c>
      <c r="AX102" t="n">
        <v>218.6</v>
      </c>
      <c r="AY102" t="n">
        <v>169.554</v>
      </c>
      <c r="AZ102" t="n">
        <v>263.151</v>
      </c>
      <c r="BA102" t="n">
        <v>507.806</v>
      </c>
      <c r="BB102" t="n">
        <v>383.614</v>
      </c>
      <c r="BC102" t="n">
        <v>384.139</v>
      </c>
      <c r="BD102" t="n">
        <v>238.031</v>
      </c>
      <c r="BE102" t="n">
        <v>197.939</v>
      </c>
      <c r="BF102" t="n">
        <v>325.777</v>
      </c>
      <c r="BG102" t="n">
        <v>195.995</v>
      </c>
      <c r="BH102" t="n">
        <v>72.992</v>
      </c>
      <c r="BI102" t="n">
        <v>99.488</v>
      </c>
      <c r="BJ102" t="n">
        <v>104.849</v>
      </c>
      <c r="BK102" t="n">
        <v>79.699</v>
      </c>
      <c r="BL102" t="n">
        <v>135.386</v>
      </c>
      <c r="BM102" t="n">
        <v>66.04600000000001</v>
      </c>
      <c r="BN102" t="n">
        <v>67.636</v>
      </c>
      <c r="BO102" t="n">
        <v>61.307</v>
      </c>
      <c r="BP102" t="n">
        <v>35.545</v>
      </c>
      <c r="BQ102" t="n">
        <v>118.709</v>
      </c>
      <c r="BR102" t="n">
        <v>113.244</v>
      </c>
      <c r="BS102" t="n">
        <v>147.017</v>
      </c>
      <c r="BT102" t="n">
        <v>126.531</v>
      </c>
      <c r="BU102" t="n">
        <v>63.181</v>
      </c>
      <c r="BV102" t="n">
        <v>18948.176</v>
      </c>
    </row>
    <row r="103">
      <c r="A103" t="inlineStr">
        <is>
          <t>Macrouridae</t>
        </is>
      </c>
      <c r="B103" t="inlineStr">
        <is>
          <t>Grenadiers, rattails</t>
        </is>
      </c>
      <c r="C103" t="inlineStr">
        <is>
          <t>Medium benthopelagics (30 - 89 cm)</t>
        </is>
      </c>
      <c r="D103" t="inlineStr">
        <is>
          <t>Cod-likes</t>
        </is>
      </c>
      <c r="E103" t="n">
        <v>666.759</v>
      </c>
      <c r="F103" t="n">
        <v>1682.698</v>
      </c>
      <c r="G103" t="n">
        <v>312.031</v>
      </c>
      <c r="H103" t="n">
        <v>264.809</v>
      </c>
      <c r="I103" t="n">
        <v>722.393</v>
      </c>
      <c r="J103" t="n">
        <v>623.922</v>
      </c>
      <c r="K103" t="n">
        <v>490.864</v>
      </c>
      <c r="L103" t="n">
        <v>347.17</v>
      </c>
      <c r="M103" t="n">
        <v>373.003</v>
      </c>
      <c r="N103" t="n">
        <v>341.916</v>
      </c>
      <c r="O103" t="n">
        <v>35.06</v>
      </c>
      <c r="P103" t="n">
        <v>532.833</v>
      </c>
      <c r="Q103" t="n">
        <v>206.718</v>
      </c>
      <c r="R103" t="n">
        <v>325.5</v>
      </c>
      <c r="S103" t="n">
        <v>800.607</v>
      </c>
      <c r="T103" t="n">
        <v>812.9880000000001</v>
      </c>
      <c r="U103" t="n">
        <v>520.857</v>
      </c>
      <c r="V103" t="n">
        <v>469.962</v>
      </c>
      <c r="W103" t="n">
        <v>718.357</v>
      </c>
      <c r="X103" t="n">
        <v>545.5700000000001</v>
      </c>
      <c r="Y103" t="n">
        <v>442.928</v>
      </c>
      <c r="Z103" t="n">
        <v>408.491</v>
      </c>
      <c r="AA103" t="n">
        <v>477.901</v>
      </c>
      <c r="AB103" t="n">
        <v>549.717</v>
      </c>
      <c r="AC103" t="n">
        <v>471.647</v>
      </c>
      <c r="AD103" t="n">
        <v>413.119</v>
      </c>
      <c r="AE103" t="n">
        <v>455.915</v>
      </c>
      <c r="AF103" t="n">
        <v>418.152</v>
      </c>
      <c r="AG103" t="n">
        <v>426.352</v>
      </c>
      <c r="AH103" t="n">
        <v>467.516</v>
      </c>
      <c r="AI103" t="n">
        <v>416.926</v>
      </c>
      <c r="AJ103" t="n">
        <v>506.909</v>
      </c>
      <c r="AK103" t="n">
        <v>529.3819999999999</v>
      </c>
      <c r="AL103" t="n">
        <v>530.049</v>
      </c>
      <c r="AM103" t="n">
        <v>522.3440000000001</v>
      </c>
      <c r="AN103" t="n">
        <v>419.936</v>
      </c>
      <c r="AO103" t="n">
        <v>400.233</v>
      </c>
      <c r="AP103" t="n">
        <v>353.837</v>
      </c>
      <c r="AQ103" t="n">
        <v>384.552</v>
      </c>
      <c r="AR103" t="n">
        <v>413.587</v>
      </c>
      <c r="AS103" t="n">
        <v>381.671</v>
      </c>
      <c r="AT103" t="n">
        <v>298.089</v>
      </c>
      <c r="AU103" t="n">
        <v>176.612</v>
      </c>
      <c r="AV103" t="n">
        <v>183.739</v>
      </c>
      <c r="AW103" t="n">
        <v>153.723</v>
      </c>
      <c r="AX103" t="n">
        <v>363.734</v>
      </c>
      <c r="AY103" t="n">
        <v>204.968</v>
      </c>
      <c r="AZ103" t="n">
        <v>205.938</v>
      </c>
      <c r="BA103" t="n">
        <v>272.296</v>
      </c>
      <c r="BB103" t="n">
        <v>317.86</v>
      </c>
      <c r="BC103" t="n">
        <v>353.542</v>
      </c>
      <c r="BD103" t="n">
        <v>361.242</v>
      </c>
      <c r="BE103" t="n">
        <v>364.174</v>
      </c>
      <c r="BF103" t="n">
        <v>367.291</v>
      </c>
      <c r="BG103" t="n">
        <v>362.846</v>
      </c>
      <c r="BH103" t="n">
        <v>373.615</v>
      </c>
      <c r="BI103" t="n">
        <v>410.887</v>
      </c>
      <c r="BJ103" t="n">
        <v>284.293</v>
      </c>
      <c r="BK103" t="n">
        <v>285.789</v>
      </c>
      <c r="BL103" t="n">
        <v>73.589</v>
      </c>
      <c r="BM103" t="n">
        <v>149.222</v>
      </c>
      <c r="BN103" t="n">
        <v>195.314</v>
      </c>
      <c r="BO103" t="n">
        <v>307.234</v>
      </c>
      <c r="BP103" t="n">
        <v>323.816</v>
      </c>
      <c r="BQ103" t="n">
        <v>359.709</v>
      </c>
      <c r="BR103" t="n">
        <v>86.908</v>
      </c>
      <c r="BS103" t="n">
        <v>83.779</v>
      </c>
      <c r="BT103" t="n">
        <v>82.5</v>
      </c>
      <c r="BU103" t="n">
        <v>404.31</v>
      </c>
      <c r="BV103" t="n">
        <v>334.265</v>
      </c>
    </row>
    <row r="104">
      <c r="A104" t="inlineStr">
        <is>
          <t>Chelidonichthys cuculus</t>
        </is>
      </c>
      <c r="B104" t="inlineStr">
        <is>
          <t>Red gurnard</t>
        </is>
      </c>
      <c r="C104" t="inlineStr">
        <is>
          <t>Medium demersals (30 - 89 cm)</t>
        </is>
      </c>
      <c r="D104" t="inlineStr">
        <is>
          <t>Scorpionfishes</t>
        </is>
      </c>
      <c r="E104" t="n">
        <v>102.372</v>
      </c>
      <c r="F104" t="n">
        <v>96.851</v>
      </c>
      <c r="G104" t="n">
        <v>86.113</v>
      </c>
      <c r="H104" t="n">
        <v>68.38200000000001</v>
      </c>
      <c r="I104" t="n">
        <v>56.366</v>
      </c>
      <c r="J104" t="n">
        <v>60.372</v>
      </c>
      <c r="K104" t="n">
        <v>63.72</v>
      </c>
      <c r="L104" t="n">
        <v>60.243</v>
      </c>
      <c r="M104" t="n">
        <v>61.484</v>
      </c>
      <c r="N104" t="n">
        <v>53.637</v>
      </c>
      <c r="O104" t="n">
        <v>50.659</v>
      </c>
      <c r="P104" t="n">
        <v>46.55</v>
      </c>
      <c r="Q104" t="n">
        <v>44.527</v>
      </c>
      <c r="R104" t="n">
        <v>36.381</v>
      </c>
      <c r="S104" t="n">
        <v>37.94</v>
      </c>
      <c r="T104" t="n">
        <v>41.046</v>
      </c>
      <c r="U104" t="n">
        <v>38.885</v>
      </c>
      <c r="V104" t="n">
        <v>32.405</v>
      </c>
      <c r="W104" t="n">
        <v>36.725</v>
      </c>
      <c r="X104" t="n">
        <v>30.244</v>
      </c>
      <c r="Y104" t="n">
        <v>28.084</v>
      </c>
      <c r="Z104" t="n">
        <v>30.244</v>
      </c>
      <c r="AA104" t="n">
        <v>6666.946</v>
      </c>
      <c r="AB104" t="n">
        <v>101.637</v>
      </c>
      <c r="AC104" t="n">
        <v>5371.617</v>
      </c>
      <c r="AD104" t="n">
        <v>4787.856</v>
      </c>
      <c r="AE104" t="n">
        <v>0</v>
      </c>
      <c r="AF104" t="n">
        <v>192.075</v>
      </c>
      <c r="AG104" t="n">
        <v>29.998</v>
      </c>
      <c r="AH104" t="n">
        <v>66.434</v>
      </c>
      <c r="AI104" t="n">
        <v>29.745</v>
      </c>
      <c r="AJ104" t="n">
        <v>0</v>
      </c>
      <c r="AK104" t="n">
        <v>81.361</v>
      </c>
      <c r="AL104" t="n">
        <v>139.668</v>
      </c>
      <c r="AM104" t="n">
        <v>77.654</v>
      </c>
      <c r="AN104" t="n">
        <v>90.837</v>
      </c>
      <c r="AO104" t="n">
        <v>44.703</v>
      </c>
      <c r="AP104" t="n">
        <v>153.848</v>
      </c>
      <c r="AQ104" t="n">
        <v>132.207</v>
      </c>
      <c r="AR104" t="n">
        <v>229.379</v>
      </c>
      <c r="AS104" t="n">
        <v>223.386</v>
      </c>
      <c r="AT104" t="n">
        <v>112.532</v>
      </c>
      <c r="AU104" t="n">
        <v>100.683</v>
      </c>
      <c r="AV104" t="n">
        <v>130.851</v>
      </c>
      <c r="AW104" t="n">
        <v>126.874</v>
      </c>
      <c r="AX104" t="n">
        <v>128.646</v>
      </c>
      <c r="AY104" t="n">
        <v>115.767</v>
      </c>
      <c r="AZ104" t="n">
        <v>64.913</v>
      </c>
      <c r="BA104" t="n">
        <v>82.755</v>
      </c>
      <c r="BB104" t="n">
        <v>10.71</v>
      </c>
      <c r="BC104" t="n">
        <v>118.914</v>
      </c>
      <c r="BD104" t="n">
        <v>1941.643</v>
      </c>
      <c r="BE104" t="n">
        <v>352.743</v>
      </c>
      <c r="BF104" t="n">
        <v>373.193</v>
      </c>
      <c r="BG104" t="n">
        <v>373.205</v>
      </c>
      <c r="BH104" t="n">
        <v>197.421</v>
      </c>
      <c r="BI104" t="n">
        <v>159.424</v>
      </c>
      <c r="BJ104" t="n">
        <v>186.289</v>
      </c>
      <c r="BK104" t="n">
        <v>151.729</v>
      </c>
      <c r="BL104" t="n">
        <v>210.806</v>
      </c>
      <c r="BM104" t="n">
        <v>231.966</v>
      </c>
      <c r="BN104" t="n">
        <v>149.095</v>
      </c>
      <c r="BO104" t="n">
        <v>234.448</v>
      </c>
      <c r="BP104" t="n">
        <v>257.463</v>
      </c>
      <c r="BQ104" t="n">
        <v>222.41</v>
      </c>
      <c r="BR104" t="n">
        <v>290.338</v>
      </c>
      <c r="BS104" t="n">
        <v>314.469</v>
      </c>
      <c r="BT104" t="n">
        <v>206.422</v>
      </c>
      <c r="BU104" t="n">
        <v>268.155</v>
      </c>
      <c r="BV104" t="n">
        <v>274.492</v>
      </c>
    </row>
    <row r="105">
      <c r="A105" t="inlineStr">
        <is>
          <t>Perciformes</t>
        </is>
      </c>
      <c r="B105" t="inlineStr">
        <is>
          <t>Perch-likes</t>
        </is>
      </c>
      <c r="C105" t="inlineStr">
        <is>
          <t>Medium demersals (30 - 89 cm)</t>
        </is>
      </c>
      <c r="D105" t="inlineStr">
        <is>
          <t>Perch-likes</t>
        </is>
      </c>
      <c r="E105" t="n">
        <v>5.984</v>
      </c>
      <c r="F105" t="n">
        <v>2.242</v>
      </c>
      <c r="G105" t="n">
        <v>2.356</v>
      </c>
      <c r="H105" t="n">
        <v>1.292</v>
      </c>
      <c r="I105" t="n">
        <v>2.697</v>
      </c>
      <c r="J105" t="n">
        <v>3.343</v>
      </c>
      <c r="K105" t="n">
        <v>6.003</v>
      </c>
      <c r="L105" t="n">
        <v>5.015</v>
      </c>
      <c r="M105" t="n">
        <v>5.091</v>
      </c>
      <c r="N105" t="n">
        <v>4.787</v>
      </c>
      <c r="O105" t="n">
        <v>8.662000000000001</v>
      </c>
      <c r="P105" t="n">
        <v>1695.527</v>
      </c>
      <c r="Q105" t="n">
        <v>804.9880000000001</v>
      </c>
      <c r="R105" t="n">
        <v>647.275</v>
      </c>
      <c r="S105" t="n">
        <v>606.6079999999999</v>
      </c>
      <c r="T105" t="n">
        <v>439.017</v>
      </c>
      <c r="U105" t="n">
        <v>1897.755</v>
      </c>
      <c r="V105" t="n">
        <v>425.29</v>
      </c>
      <c r="W105" t="n">
        <v>1376.603</v>
      </c>
      <c r="X105" t="n">
        <v>667.583</v>
      </c>
      <c r="Y105" t="n">
        <v>238.126</v>
      </c>
      <c r="Z105" t="n">
        <v>235.283</v>
      </c>
      <c r="AA105" t="n">
        <v>1.208</v>
      </c>
      <c r="AB105" t="n">
        <v>2.773</v>
      </c>
      <c r="AC105" t="n">
        <v>235.451</v>
      </c>
      <c r="AD105" t="n">
        <v>732.498</v>
      </c>
      <c r="AE105" t="n">
        <v>490.34</v>
      </c>
      <c r="AF105" t="n">
        <v>313.311</v>
      </c>
      <c r="AG105" t="n">
        <v>181.86</v>
      </c>
      <c r="AH105" t="n">
        <v>282.308</v>
      </c>
      <c r="AI105" t="n">
        <v>263.998</v>
      </c>
      <c r="AJ105" t="n">
        <v>1749.511</v>
      </c>
      <c r="AK105" t="n">
        <v>0.118</v>
      </c>
      <c r="AL105" t="n">
        <v>0.653</v>
      </c>
      <c r="AM105" t="n">
        <v>0.417</v>
      </c>
      <c r="AN105" t="n">
        <v>0.351</v>
      </c>
      <c r="AO105" t="n">
        <v>0.02</v>
      </c>
      <c r="AP105" t="n">
        <v>0.02</v>
      </c>
      <c r="AQ105" t="n">
        <v>0.076</v>
      </c>
      <c r="AR105" t="n">
        <v>7.02</v>
      </c>
      <c r="AS105" t="n">
        <v>7.644</v>
      </c>
      <c r="AT105" t="n">
        <v>1.232</v>
      </c>
      <c r="AU105" t="n">
        <v>1.222</v>
      </c>
      <c r="AV105" t="n">
        <v>0.468</v>
      </c>
      <c r="AW105" t="n">
        <v>12411.772</v>
      </c>
      <c r="AX105" t="n">
        <v>8.163</v>
      </c>
      <c r="AY105" t="n">
        <v>0.401</v>
      </c>
      <c r="AZ105" t="n">
        <v>0.703</v>
      </c>
      <c r="BA105" t="n">
        <v>3.92</v>
      </c>
      <c r="BB105" t="n">
        <v>0.34</v>
      </c>
      <c r="BC105" t="n">
        <v>0.404</v>
      </c>
      <c r="BD105" t="n">
        <v>0.359</v>
      </c>
      <c r="BE105" t="n">
        <v>0.269</v>
      </c>
      <c r="BF105" t="n">
        <v>0.404</v>
      </c>
      <c r="BG105" t="n">
        <v>0.359</v>
      </c>
      <c r="BH105" t="n">
        <v>1.39</v>
      </c>
      <c r="BI105" t="n">
        <v>0.224</v>
      </c>
      <c r="BJ105" t="n">
        <v>0.052</v>
      </c>
      <c r="BK105" t="n">
        <v>0.013</v>
      </c>
      <c r="BL105" t="n">
        <v>0.155</v>
      </c>
      <c r="BM105" t="n">
        <v>0.104</v>
      </c>
      <c r="BN105" t="n">
        <v>110.704</v>
      </c>
      <c r="BO105" t="n">
        <v>86.7</v>
      </c>
      <c r="BP105" t="n">
        <v>67.36199999999999</v>
      </c>
      <c r="BQ105" t="n">
        <v>87.38500000000001</v>
      </c>
      <c r="BR105" t="n">
        <v>61.726</v>
      </c>
      <c r="BS105" t="n">
        <v>78.649</v>
      </c>
      <c r="BT105" t="n">
        <v>97.38800000000001</v>
      </c>
      <c r="BU105" t="n">
        <v>467.852</v>
      </c>
      <c r="BV105" t="n">
        <v>119.937</v>
      </c>
    </row>
    <row r="106">
      <c r="A106" t="inlineStr">
        <is>
          <t>Littorina</t>
        </is>
      </c>
      <c r="B106" t="inlineStr">
        <is>
          <t>Periwinkles</t>
        </is>
      </c>
      <c r="C106" t="inlineStr">
        <is>
          <t>Other demersal invertebrates</t>
        </is>
      </c>
      <c r="D106" t="inlineStr">
        <is>
          <t>Molluscs</t>
        </is>
      </c>
      <c r="E106" t="n">
        <v>387.388</v>
      </c>
      <c r="F106" t="n">
        <v>318.891</v>
      </c>
      <c r="G106" t="n">
        <v>263.391</v>
      </c>
      <c r="H106" t="n">
        <v>240.814</v>
      </c>
      <c r="I106" t="n">
        <v>229.526</v>
      </c>
      <c r="J106" t="n">
        <v>188.136</v>
      </c>
      <c r="K106" t="n">
        <v>197.543</v>
      </c>
      <c r="L106" t="n">
        <v>174.026</v>
      </c>
      <c r="M106" t="n">
        <v>142.043</v>
      </c>
      <c r="N106" t="n">
        <v>132.38</v>
      </c>
      <c r="O106" t="n">
        <v>341.348</v>
      </c>
      <c r="P106" t="n">
        <v>113.286</v>
      </c>
      <c r="Q106" t="n">
        <v>110.45</v>
      </c>
      <c r="R106" t="n">
        <v>91.425</v>
      </c>
      <c r="S106" t="n">
        <v>99.58799999999999</v>
      </c>
      <c r="T106" t="n">
        <v>100.442</v>
      </c>
      <c r="U106" t="n">
        <v>808.356</v>
      </c>
      <c r="V106" t="n">
        <v>722.612</v>
      </c>
      <c r="W106" t="n">
        <v>687.135</v>
      </c>
      <c r="X106" t="n">
        <v>760.6900000000001</v>
      </c>
      <c r="Y106" t="n">
        <v>702.3390000000001</v>
      </c>
      <c r="Z106" t="n">
        <v>788.674</v>
      </c>
      <c r="AA106" t="n">
        <v>1037.198</v>
      </c>
      <c r="AB106" t="n">
        <v>643.447</v>
      </c>
      <c r="AC106" t="n">
        <v>586.174</v>
      </c>
      <c r="AD106" t="n">
        <v>642.0940000000001</v>
      </c>
      <c r="AE106" t="n">
        <v>866.092</v>
      </c>
      <c r="AF106" t="n">
        <v>1044.65</v>
      </c>
      <c r="AG106" t="n">
        <v>1080.765</v>
      </c>
      <c r="AH106" t="n">
        <v>979.073</v>
      </c>
      <c r="AI106" t="n">
        <v>912.704</v>
      </c>
      <c r="AJ106" t="n">
        <v>703.783</v>
      </c>
      <c r="AK106" t="n">
        <v>860.717</v>
      </c>
      <c r="AL106" t="n">
        <v>699.922</v>
      </c>
      <c r="AM106" t="n">
        <v>634.4930000000001</v>
      </c>
      <c r="AN106" t="n">
        <v>622.824</v>
      </c>
      <c r="AO106" t="n">
        <v>639.202</v>
      </c>
      <c r="AP106" t="n">
        <v>642.549</v>
      </c>
      <c r="AQ106" t="n">
        <v>794.2329999999999</v>
      </c>
      <c r="AR106" t="n">
        <v>885.4109999999999</v>
      </c>
      <c r="AS106" t="n">
        <v>360.089</v>
      </c>
      <c r="AT106" t="n">
        <v>439.554</v>
      </c>
      <c r="AU106" t="n">
        <v>300.474</v>
      </c>
      <c r="AV106" t="n">
        <v>433.687</v>
      </c>
      <c r="AW106" t="n">
        <v>465.127</v>
      </c>
      <c r="AX106" t="n">
        <v>447.56</v>
      </c>
      <c r="AY106" t="n">
        <v>416.594</v>
      </c>
      <c r="AZ106" t="n">
        <v>397.149</v>
      </c>
      <c r="BA106" t="n">
        <v>183.696</v>
      </c>
      <c r="BB106" t="n">
        <v>185.859</v>
      </c>
      <c r="BC106" t="n">
        <v>197.776</v>
      </c>
      <c r="BD106" t="n">
        <v>228.289</v>
      </c>
      <c r="BE106" t="n">
        <v>70.962</v>
      </c>
      <c r="BF106" t="n">
        <v>183.737</v>
      </c>
      <c r="BG106" t="n">
        <v>55.099</v>
      </c>
      <c r="BH106" t="n">
        <v>35.808</v>
      </c>
      <c r="BI106" t="n">
        <v>52.628</v>
      </c>
      <c r="BJ106" t="n">
        <v>66.267</v>
      </c>
      <c r="BK106" t="n">
        <v>58.114</v>
      </c>
      <c r="BL106" t="n">
        <v>70.029</v>
      </c>
      <c r="BM106" t="n">
        <v>71.483</v>
      </c>
      <c r="BN106" t="n">
        <v>53.711</v>
      </c>
      <c r="BO106" t="n">
        <v>39.301</v>
      </c>
      <c r="BP106" t="n">
        <v>61.022</v>
      </c>
      <c r="BQ106" t="n">
        <v>50.307</v>
      </c>
      <c r="BR106" t="n">
        <v>36.178</v>
      </c>
      <c r="BS106" t="n">
        <v>37.568</v>
      </c>
      <c r="BT106" t="n">
        <v>6.294</v>
      </c>
      <c r="BU106" t="n">
        <v>15.325</v>
      </c>
      <c r="BV106" t="n">
        <v>0</v>
      </c>
    </row>
    <row r="107">
      <c r="A107" t="inlineStr">
        <is>
          <t>Hippoglossus hippoglossus</t>
        </is>
      </c>
      <c r="B107" t="inlineStr">
        <is>
          <t>Atlantic halibut</t>
        </is>
      </c>
      <c r="C107" t="inlineStr">
        <is>
          <t>Large flatfishes (&gt;=90 cm)</t>
        </is>
      </c>
      <c r="D107" t="inlineStr">
        <is>
          <t>Flatfishes</t>
        </is>
      </c>
      <c r="E107" t="n">
        <v>1107.809</v>
      </c>
      <c r="F107" t="n">
        <v>915.744</v>
      </c>
      <c r="G107" t="n">
        <v>817.684</v>
      </c>
      <c r="H107" t="n">
        <v>616.155</v>
      </c>
      <c r="I107" t="n">
        <v>572.524</v>
      </c>
      <c r="J107" t="n">
        <v>596.61</v>
      </c>
      <c r="K107" t="n">
        <v>651.58</v>
      </c>
      <c r="L107" t="n">
        <v>722.279</v>
      </c>
      <c r="M107" t="n">
        <v>798.772</v>
      </c>
      <c r="N107" t="n">
        <v>875.095</v>
      </c>
      <c r="O107" t="n">
        <v>727.461</v>
      </c>
      <c r="P107" t="n">
        <v>626.668</v>
      </c>
      <c r="Q107" t="n">
        <v>452.992</v>
      </c>
      <c r="R107" t="n">
        <v>462.944</v>
      </c>
      <c r="S107" t="n">
        <v>544.898</v>
      </c>
      <c r="T107" t="n">
        <v>568.019</v>
      </c>
      <c r="U107" t="n">
        <v>478.824</v>
      </c>
      <c r="V107" t="n">
        <v>420.958</v>
      </c>
      <c r="W107" t="n">
        <v>513.654</v>
      </c>
      <c r="X107" t="n">
        <v>339.127</v>
      </c>
      <c r="Y107" t="n">
        <v>273.189</v>
      </c>
      <c r="Z107" t="n">
        <v>256.037</v>
      </c>
      <c r="AA107" t="n">
        <v>307.264</v>
      </c>
      <c r="AB107" t="n">
        <v>249.762</v>
      </c>
      <c r="AC107" t="n">
        <v>411.676</v>
      </c>
      <c r="AD107" t="n">
        <v>327.04</v>
      </c>
      <c r="AE107" t="n">
        <v>197.171</v>
      </c>
      <c r="AF107" t="n">
        <v>184.537</v>
      </c>
      <c r="AG107" t="n">
        <v>207.583</v>
      </c>
      <c r="AH107" t="n">
        <v>184.975</v>
      </c>
      <c r="AI107" t="n">
        <v>141.959</v>
      </c>
      <c r="AJ107" t="n">
        <v>130.268</v>
      </c>
      <c r="AK107" t="n">
        <v>169.001</v>
      </c>
      <c r="AL107" t="n">
        <v>194.341</v>
      </c>
      <c r="AM107" t="n">
        <v>213.067</v>
      </c>
      <c r="AN107" t="n">
        <v>219.592</v>
      </c>
      <c r="AO107" t="n">
        <v>255.555</v>
      </c>
      <c r="AP107" t="n">
        <v>229.537</v>
      </c>
      <c r="AQ107" t="n">
        <v>196.423</v>
      </c>
      <c r="AR107" t="n">
        <v>169.936</v>
      </c>
      <c r="AS107" t="n">
        <v>183.896</v>
      </c>
      <c r="AT107" t="n">
        <v>201.473</v>
      </c>
      <c r="AU107" t="n">
        <v>192.739</v>
      </c>
      <c r="AV107" t="n">
        <v>191.07</v>
      </c>
      <c r="AW107" t="n">
        <v>203.793</v>
      </c>
      <c r="AX107" t="n">
        <v>289.255</v>
      </c>
      <c r="AY107" t="n">
        <v>308.716</v>
      </c>
      <c r="AZ107" t="n">
        <v>318.184</v>
      </c>
      <c r="BA107" t="n">
        <v>215.641</v>
      </c>
      <c r="BB107" t="n">
        <v>211.231</v>
      </c>
      <c r="BC107" t="n">
        <v>164.612</v>
      </c>
      <c r="BD107" t="n">
        <v>178.183</v>
      </c>
      <c r="BE107" t="n">
        <v>260.724</v>
      </c>
      <c r="BF107" t="n">
        <v>340.395</v>
      </c>
      <c r="BG107" t="n">
        <v>342.423</v>
      </c>
      <c r="BH107" t="n">
        <v>377.037</v>
      </c>
      <c r="BI107" t="n">
        <v>373.845</v>
      </c>
      <c r="BJ107" t="n">
        <v>406.992</v>
      </c>
      <c r="BK107" t="n">
        <v>480.405</v>
      </c>
      <c r="BL107" t="n">
        <v>369.645</v>
      </c>
      <c r="BM107" t="n">
        <v>279.483</v>
      </c>
      <c r="BN107" t="n">
        <v>503.652</v>
      </c>
      <c r="BO107" t="n">
        <v>453.718</v>
      </c>
      <c r="BP107" t="n">
        <v>329.955</v>
      </c>
      <c r="BQ107" t="n">
        <v>366.058</v>
      </c>
      <c r="BR107" t="n">
        <v>124.909</v>
      </c>
      <c r="BS107" t="n">
        <v>247.362</v>
      </c>
      <c r="BT107" t="n">
        <v>395.02</v>
      </c>
      <c r="BU107" t="n">
        <v>297.698</v>
      </c>
      <c r="BV107" t="n">
        <v>437.392</v>
      </c>
    </row>
    <row r="108">
      <c r="A108" t="inlineStr">
        <is>
          <t>Raja clavata</t>
        </is>
      </c>
      <c r="B108" t="inlineStr">
        <is>
          <t>Thornback ray</t>
        </is>
      </c>
      <c r="C108" t="inlineStr">
        <is>
          <t>Large rays (&gt;=90 cm)</t>
        </is>
      </c>
      <c r="D108" t="inlineStr">
        <is>
          <t>Sharks &amp; rays</t>
        </is>
      </c>
      <c r="E108" t="n">
        <v>815.854</v>
      </c>
      <c r="F108" t="n">
        <v>816.617</v>
      </c>
      <c r="G108" t="n">
        <v>736.963</v>
      </c>
      <c r="H108" t="n">
        <v>753.98</v>
      </c>
      <c r="I108" t="n">
        <v>724.082</v>
      </c>
      <c r="J108" t="n">
        <v>713.0599999999999</v>
      </c>
      <c r="K108" t="n">
        <v>716.99</v>
      </c>
      <c r="L108" t="n">
        <v>726.735</v>
      </c>
      <c r="M108" t="n">
        <v>740.784</v>
      </c>
      <c r="N108" t="n">
        <v>674.891</v>
      </c>
      <c r="O108" t="n">
        <v>592.325</v>
      </c>
      <c r="P108" t="n">
        <v>579.706</v>
      </c>
      <c r="Q108" t="n">
        <v>555.6420000000001</v>
      </c>
      <c r="R108" t="n">
        <v>580.691</v>
      </c>
      <c r="S108" t="n">
        <v>500.253</v>
      </c>
      <c r="T108" t="n">
        <v>852.544</v>
      </c>
      <c r="U108" t="n">
        <v>760.836</v>
      </c>
      <c r="V108" t="n">
        <v>730.2670000000001</v>
      </c>
      <c r="W108" t="n">
        <v>740.456</v>
      </c>
      <c r="X108" t="n">
        <v>692.904</v>
      </c>
      <c r="Y108" t="n">
        <v>594.403</v>
      </c>
      <c r="Z108" t="n">
        <v>631.766</v>
      </c>
      <c r="AA108" t="n">
        <v>594.403</v>
      </c>
      <c r="AB108" t="n">
        <v>509.488</v>
      </c>
      <c r="AC108" t="n">
        <v>448.35</v>
      </c>
      <c r="AD108" t="n">
        <v>450.896</v>
      </c>
      <c r="AE108" t="n">
        <v>0</v>
      </c>
      <c r="AF108" t="n">
        <v>0</v>
      </c>
      <c r="AG108" t="n">
        <v>0</v>
      </c>
      <c r="AH108" t="n">
        <v>85.86199999999999</v>
      </c>
      <c r="AI108" t="n">
        <v>0</v>
      </c>
      <c r="AJ108" t="n">
        <v>0</v>
      </c>
      <c r="AK108" t="n">
        <v>84.93000000000001</v>
      </c>
      <c r="AL108" t="n">
        <v>100.525</v>
      </c>
      <c r="AM108" t="n">
        <v>107.41</v>
      </c>
      <c r="AN108" t="n">
        <v>143.043</v>
      </c>
      <c r="AO108" t="n">
        <v>10.661</v>
      </c>
      <c r="AP108" t="n">
        <v>21.868</v>
      </c>
      <c r="AQ108" t="n">
        <v>8.836</v>
      </c>
      <c r="AR108" t="n">
        <v>7.775</v>
      </c>
      <c r="AS108" t="n">
        <v>8.427</v>
      </c>
      <c r="AT108" t="n">
        <v>11.637</v>
      </c>
      <c r="AU108" t="n">
        <v>10.268</v>
      </c>
      <c r="AV108" t="n">
        <v>8.630000000000001</v>
      </c>
      <c r="AW108" t="n">
        <v>6.902</v>
      </c>
      <c r="AX108" t="n">
        <v>4.425</v>
      </c>
      <c r="AY108" t="n">
        <v>3.942</v>
      </c>
      <c r="AZ108" t="n">
        <v>3.198</v>
      </c>
      <c r="BA108" t="n">
        <v>2.901</v>
      </c>
      <c r="BB108" t="n">
        <v>3.173</v>
      </c>
      <c r="BC108" t="n">
        <v>3.374</v>
      </c>
      <c r="BD108" t="n">
        <v>16.375</v>
      </c>
      <c r="BE108" t="n">
        <v>5.61</v>
      </c>
      <c r="BF108" t="n">
        <v>2.445</v>
      </c>
      <c r="BG108" t="n">
        <v>2.631</v>
      </c>
      <c r="BH108" t="n">
        <v>2.194</v>
      </c>
      <c r="BI108" t="n">
        <v>6.053</v>
      </c>
      <c r="BJ108" t="n">
        <v>3.964</v>
      </c>
      <c r="BK108" t="n">
        <v>500.27</v>
      </c>
      <c r="BL108" t="n">
        <v>535.6</v>
      </c>
      <c r="BM108" t="n">
        <v>490.794</v>
      </c>
      <c r="BN108" t="n">
        <v>627.855</v>
      </c>
      <c r="BO108" t="n">
        <v>663.466</v>
      </c>
      <c r="BP108" t="n">
        <v>755.829</v>
      </c>
      <c r="BQ108" t="n">
        <v>745.922</v>
      </c>
      <c r="BR108" t="n">
        <v>693.817</v>
      </c>
      <c r="BS108" t="n">
        <v>719.761</v>
      </c>
      <c r="BT108" t="n">
        <v>909.73</v>
      </c>
      <c r="BU108" t="n">
        <v>903.0359999999999</v>
      </c>
      <c r="BV108" t="n">
        <v>866.043</v>
      </c>
    </row>
    <row r="109">
      <c r="A109" t="inlineStr">
        <is>
          <t>Gadiformes</t>
        </is>
      </c>
      <c r="B109" t="inlineStr">
        <is>
          <t>Cods</t>
        </is>
      </c>
      <c r="C109" t="inlineStr">
        <is>
          <t>Medium benthopelagics (30 - 89 cm)</t>
        </is>
      </c>
      <c r="D109" t="inlineStr">
        <is>
          <t>Cod-likes</t>
        </is>
      </c>
      <c r="E109" t="n">
        <v>51.51</v>
      </c>
      <c r="F109" t="n">
        <v>86.848</v>
      </c>
      <c r="G109" t="n">
        <v>43.709</v>
      </c>
      <c r="H109" t="n">
        <v>51.828</v>
      </c>
      <c r="I109" t="n">
        <v>76.229</v>
      </c>
      <c r="J109" t="n">
        <v>85.23699999999999</v>
      </c>
      <c r="K109" t="n">
        <v>87.93300000000001</v>
      </c>
      <c r="L109" t="n">
        <v>91.152</v>
      </c>
      <c r="M109" t="n">
        <v>93.358</v>
      </c>
      <c r="N109" t="n">
        <v>93.28700000000001</v>
      </c>
      <c r="O109" t="n">
        <v>221.405</v>
      </c>
      <c r="P109" t="n">
        <v>450.486</v>
      </c>
      <c r="Q109" t="n">
        <v>2653.774</v>
      </c>
      <c r="R109" t="n">
        <v>1180.328</v>
      </c>
      <c r="S109" t="n">
        <v>766.163</v>
      </c>
      <c r="T109" t="n">
        <v>2125.877</v>
      </c>
      <c r="U109" t="n">
        <v>869.92</v>
      </c>
      <c r="V109" t="n">
        <v>967.491</v>
      </c>
      <c r="W109" t="n">
        <v>974.322</v>
      </c>
      <c r="X109" t="n">
        <v>650.561</v>
      </c>
      <c r="Y109" t="n">
        <v>201.418</v>
      </c>
      <c r="Z109" t="n">
        <v>193.041</v>
      </c>
      <c r="AA109" t="n">
        <v>162.164</v>
      </c>
      <c r="AB109" t="n">
        <v>3111.873</v>
      </c>
      <c r="AC109" t="n">
        <v>253.492</v>
      </c>
      <c r="AD109" t="n">
        <v>170.032</v>
      </c>
      <c r="AE109" t="n">
        <v>174.257</v>
      </c>
      <c r="AF109" t="n">
        <v>180.344</v>
      </c>
      <c r="AG109" t="n">
        <v>294.416</v>
      </c>
      <c r="AH109" t="n">
        <v>255.336</v>
      </c>
      <c r="AI109" t="n">
        <v>172.702</v>
      </c>
      <c r="AJ109" t="n">
        <v>197.825</v>
      </c>
      <c r="AK109" t="n">
        <v>197.19</v>
      </c>
      <c r="AL109" t="n">
        <v>180.597</v>
      </c>
      <c r="AM109" t="n">
        <v>168.678</v>
      </c>
      <c r="AN109" t="n">
        <v>136.539</v>
      </c>
      <c r="AO109" t="n">
        <v>153.994</v>
      </c>
      <c r="AP109" t="n">
        <v>132.927</v>
      </c>
      <c r="AQ109" t="n">
        <v>112.046</v>
      </c>
      <c r="AR109" t="n">
        <v>125.15</v>
      </c>
      <c r="AS109" t="n">
        <v>116.885</v>
      </c>
      <c r="AT109" t="n">
        <v>88.21899999999999</v>
      </c>
      <c r="AU109" t="n">
        <v>79.92400000000001</v>
      </c>
      <c r="AV109" t="n">
        <v>379.227</v>
      </c>
      <c r="AW109" t="n">
        <v>84.06699999999999</v>
      </c>
      <c r="AX109" t="n">
        <v>132.54</v>
      </c>
      <c r="AY109" t="n">
        <v>304.551</v>
      </c>
      <c r="AZ109" t="n">
        <v>494.801</v>
      </c>
      <c r="BA109" t="n">
        <v>69.279</v>
      </c>
      <c r="BB109" t="n">
        <v>86.82599999999999</v>
      </c>
      <c r="BC109" t="n">
        <v>995.02</v>
      </c>
      <c r="BD109" t="n">
        <v>1830.211</v>
      </c>
      <c r="BE109" t="n">
        <v>252.743</v>
      </c>
      <c r="BF109" t="n">
        <v>75.955</v>
      </c>
      <c r="BG109" t="n">
        <v>51.119</v>
      </c>
      <c r="BH109" t="n">
        <v>46.427</v>
      </c>
      <c r="BI109" t="n">
        <v>50.462</v>
      </c>
      <c r="BJ109" t="n">
        <v>62.118</v>
      </c>
      <c r="BK109" t="n">
        <v>60.346</v>
      </c>
      <c r="BL109" t="n">
        <v>60.705</v>
      </c>
      <c r="BM109" t="n">
        <v>50.038</v>
      </c>
      <c r="BN109" t="n">
        <v>42.552</v>
      </c>
      <c r="BO109" t="n">
        <v>83.377</v>
      </c>
      <c r="BP109" t="n">
        <v>35.746</v>
      </c>
      <c r="BQ109" t="n">
        <v>32.94</v>
      </c>
      <c r="BR109" t="n">
        <v>189.134</v>
      </c>
      <c r="BS109" t="n">
        <v>182.943</v>
      </c>
      <c r="BT109" t="n">
        <v>180.639</v>
      </c>
      <c r="BU109" t="n">
        <v>36.745</v>
      </c>
      <c r="BV109" t="n">
        <v>28.598</v>
      </c>
    </row>
    <row r="110">
      <c r="A110" t="inlineStr">
        <is>
          <t>Molva dypterygia</t>
        </is>
      </c>
      <c r="B110" t="inlineStr">
        <is>
          <t>Blue ling</t>
        </is>
      </c>
      <c r="C110" t="inlineStr">
        <is>
          <t>Large demersals (&gt;=90 cm)</t>
        </is>
      </c>
      <c r="D110" t="inlineStr">
        <is>
          <t>Cod-likes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115.285</v>
      </c>
      <c r="R110" t="n">
        <v>28.893</v>
      </c>
      <c r="S110" t="n">
        <v>8.183999999999999</v>
      </c>
      <c r="T110" t="n">
        <v>0.477</v>
      </c>
      <c r="U110" t="n">
        <v>0.016</v>
      </c>
      <c r="V110" t="n">
        <v>8.474</v>
      </c>
      <c r="W110" t="n">
        <v>0.255</v>
      </c>
      <c r="X110" t="n">
        <v>3.337</v>
      </c>
      <c r="Y110" t="n">
        <v>0.004</v>
      </c>
      <c r="Z110" t="n">
        <v>0.25</v>
      </c>
      <c r="AA110" t="n">
        <v>4.832</v>
      </c>
      <c r="AB110" t="n">
        <v>89.63500000000001</v>
      </c>
      <c r="AC110" t="n">
        <v>140.045</v>
      </c>
      <c r="AD110" t="n">
        <v>276.921</v>
      </c>
      <c r="AE110" t="n">
        <v>942.317</v>
      </c>
      <c r="AF110" t="n">
        <v>2115.759</v>
      </c>
      <c r="AG110" t="n">
        <v>1218.423</v>
      </c>
      <c r="AH110" t="n">
        <v>756.665</v>
      </c>
      <c r="AI110" t="n">
        <v>488.723</v>
      </c>
      <c r="AJ110" t="n">
        <v>444.392</v>
      </c>
      <c r="AK110" t="n">
        <v>465.348</v>
      </c>
      <c r="AL110" t="n">
        <v>600.093</v>
      </c>
      <c r="AM110" t="n">
        <v>582.673</v>
      </c>
      <c r="AN110" t="n">
        <v>1052.213</v>
      </c>
      <c r="AO110" t="n">
        <v>927.95</v>
      </c>
      <c r="AP110" t="n">
        <v>983.312</v>
      </c>
      <c r="AQ110" t="n">
        <v>735.229</v>
      </c>
      <c r="AR110" t="n">
        <v>819.47</v>
      </c>
      <c r="AS110" t="n">
        <v>573.218</v>
      </c>
      <c r="AT110" t="n">
        <v>714.22</v>
      </c>
      <c r="AU110" t="n">
        <v>592.046</v>
      </c>
      <c r="AV110" t="n">
        <v>525.4059999999999</v>
      </c>
      <c r="AW110" t="n">
        <v>407.317</v>
      </c>
      <c r="AX110" t="n">
        <v>609.924</v>
      </c>
      <c r="AY110" t="n">
        <v>529.55</v>
      </c>
      <c r="AZ110" t="n">
        <v>702.1900000000001</v>
      </c>
      <c r="BA110" t="n">
        <v>708.307</v>
      </c>
      <c r="BB110" t="n">
        <v>582.448</v>
      </c>
      <c r="BC110" t="n">
        <v>603.282</v>
      </c>
      <c r="BD110" t="n">
        <v>681.457</v>
      </c>
      <c r="BE110" t="n">
        <v>770.1799999999999</v>
      </c>
      <c r="BF110" t="n">
        <v>284.724</v>
      </c>
      <c r="BG110" t="n">
        <v>301.259</v>
      </c>
      <c r="BH110" t="n">
        <v>463.17</v>
      </c>
      <c r="BI110" t="n">
        <v>260.369</v>
      </c>
      <c r="BJ110" t="n">
        <v>181.909</v>
      </c>
      <c r="BK110" t="n">
        <v>168.428</v>
      </c>
      <c r="BL110" t="n">
        <v>228.817</v>
      </c>
      <c r="BM110" t="n">
        <v>227.321</v>
      </c>
      <c r="BN110" t="n">
        <v>133.104</v>
      </c>
      <c r="BO110" t="n">
        <v>110.302</v>
      </c>
      <c r="BP110" t="n">
        <v>135.047</v>
      </c>
      <c r="BQ110" t="n">
        <v>139.031</v>
      </c>
      <c r="BR110" t="n">
        <v>126.822</v>
      </c>
      <c r="BS110" t="n">
        <v>107.772</v>
      </c>
      <c r="BT110" t="n">
        <v>139.686</v>
      </c>
      <c r="BU110" t="n">
        <v>136.768</v>
      </c>
      <c r="BV110" t="n">
        <v>188.983</v>
      </c>
    </row>
    <row r="111">
      <c r="A111" t="inlineStr">
        <is>
          <t>Sciaenidae</t>
        </is>
      </c>
      <c r="B111" t="inlineStr">
        <is>
          <t>Drums, croakers</t>
        </is>
      </c>
      <c r="C111" t="inlineStr">
        <is>
          <t>Medium demersals (30 - 89 cm)</t>
        </is>
      </c>
      <c r="D111" t="inlineStr">
        <is>
          <t>Perch-likes</t>
        </is>
      </c>
      <c r="E111" t="n">
        <v>160.324</v>
      </c>
      <c r="F111" t="n">
        <v>281.015</v>
      </c>
      <c r="G111" t="n">
        <v>122.149</v>
      </c>
      <c r="H111" t="n">
        <v>130.464</v>
      </c>
      <c r="I111" t="n">
        <v>277.573</v>
      </c>
      <c r="J111" t="n">
        <v>298.1</v>
      </c>
      <c r="K111" t="n">
        <v>328.219</v>
      </c>
      <c r="L111" t="n">
        <v>343.025</v>
      </c>
      <c r="M111" t="n">
        <v>348.969</v>
      </c>
      <c r="N111" t="n">
        <v>344.192</v>
      </c>
      <c r="O111" t="n">
        <v>78.941</v>
      </c>
      <c r="P111" t="n">
        <v>430.798</v>
      </c>
      <c r="Q111" t="n">
        <v>46.262</v>
      </c>
      <c r="R111" t="n">
        <v>47.645</v>
      </c>
      <c r="S111" t="n">
        <v>583.364</v>
      </c>
      <c r="T111" t="n">
        <v>647.275</v>
      </c>
      <c r="U111" t="n">
        <v>475.389</v>
      </c>
      <c r="V111" t="n">
        <v>395.901</v>
      </c>
      <c r="W111" t="n">
        <v>660.752</v>
      </c>
      <c r="X111" t="n">
        <v>496.354</v>
      </c>
      <c r="Y111" t="n">
        <v>668.066</v>
      </c>
      <c r="Z111" t="n">
        <v>702.3099999999999</v>
      </c>
      <c r="AA111" t="n">
        <v>664.92</v>
      </c>
      <c r="AB111" t="n">
        <v>591.8339999999999</v>
      </c>
      <c r="AC111" t="n">
        <v>544.801</v>
      </c>
      <c r="AD111" t="n">
        <v>492.251</v>
      </c>
      <c r="AE111" t="n">
        <v>551.5</v>
      </c>
      <c r="AF111" t="n">
        <v>593.494</v>
      </c>
      <c r="AG111" t="n">
        <v>610.621</v>
      </c>
      <c r="AH111" t="n">
        <v>679.05</v>
      </c>
      <c r="AI111" t="n">
        <v>616.0700000000001</v>
      </c>
      <c r="AJ111" t="n">
        <v>708.861</v>
      </c>
      <c r="AK111" t="n">
        <v>729.317</v>
      </c>
      <c r="AL111" t="n">
        <v>679.0650000000001</v>
      </c>
      <c r="AM111" t="n">
        <v>674.7569999999999</v>
      </c>
      <c r="AN111" t="n">
        <v>540.414</v>
      </c>
      <c r="AO111" t="n">
        <v>526.247</v>
      </c>
      <c r="AP111" t="n">
        <v>503.583</v>
      </c>
      <c r="AQ111" t="n">
        <v>421.034</v>
      </c>
      <c r="AR111" t="n">
        <v>339.912</v>
      </c>
      <c r="AS111" t="n">
        <v>312.67</v>
      </c>
      <c r="AT111" t="n">
        <v>204.506</v>
      </c>
      <c r="AU111" t="n">
        <v>162.95</v>
      </c>
      <c r="AV111" t="n">
        <v>203.383</v>
      </c>
      <c r="AW111" t="n">
        <v>185.631</v>
      </c>
      <c r="AX111" t="n">
        <v>181.692</v>
      </c>
      <c r="AY111" t="n">
        <v>171.182</v>
      </c>
      <c r="AZ111" t="n">
        <v>160.676</v>
      </c>
      <c r="BA111" t="n">
        <v>151.281</v>
      </c>
      <c r="BB111" t="n">
        <v>182.264</v>
      </c>
      <c r="BC111" t="n">
        <v>220.659</v>
      </c>
      <c r="BD111" t="n">
        <v>225.852</v>
      </c>
      <c r="BE111" t="n">
        <v>242.154</v>
      </c>
      <c r="BF111" t="n">
        <v>180.918</v>
      </c>
      <c r="BG111" t="n">
        <v>142.842</v>
      </c>
      <c r="BH111" t="n">
        <v>126.952</v>
      </c>
      <c r="BI111" t="n">
        <v>171.276</v>
      </c>
      <c r="BJ111" t="n">
        <v>170.626</v>
      </c>
      <c r="BK111" t="n">
        <v>172.757</v>
      </c>
      <c r="BL111" t="n">
        <v>118.845</v>
      </c>
      <c r="BM111" t="n">
        <v>71.788</v>
      </c>
      <c r="BN111" t="n">
        <v>178.596</v>
      </c>
      <c r="BO111" t="n">
        <v>173.741</v>
      </c>
      <c r="BP111" t="n">
        <v>144.144</v>
      </c>
      <c r="BQ111" t="n">
        <v>165.775</v>
      </c>
      <c r="BR111" t="n">
        <v>86.369</v>
      </c>
      <c r="BS111" t="n">
        <v>84.206</v>
      </c>
      <c r="BT111" t="n">
        <v>83.34699999999999</v>
      </c>
      <c r="BU111" t="n">
        <v>209.707</v>
      </c>
      <c r="BV111" t="n">
        <v>181.469</v>
      </c>
    </row>
    <row r="112">
      <c r="A112" t="inlineStr">
        <is>
          <t>Callionymus maculatus</t>
        </is>
      </c>
      <c r="B112" t="inlineStr">
        <is>
          <t>Spotted dragonet</t>
        </is>
      </c>
      <c r="C112" t="inlineStr">
        <is>
          <t>Large reef assoc. fish (&gt;=90 cm)</t>
        </is>
      </c>
      <c r="D112" t="inlineStr">
        <is>
          <t>Perch-likes</t>
        </is>
      </c>
      <c r="E112" t="n">
        <v>127.82</v>
      </c>
      <c r="F112" t="n">
        <v>118.206</v>
      </c>
      <c r="G112" t="n">
        <v>126.489</v>
      </c>
      <c r="H112" t="n">
        <v>144.419</v>
      </c>
      <c r="I112" t="n">
        <v>132.431</v>
      </c>
      <c r="J112" t="n">
        <v>112.429</v>
      </c>
      <c r="K112" t="n">
        <v>121.058</v>
      </c>
      <c r="L112" t="n">
        <v>138.058</v>
      </c>
      <c r="M112" t="n">
        <v>152.32</v>
      </c>
      <c r="N112" t="n">
        <v>154.773</v>
      </c>
      <c r="O112" t="n">
        <v>210.687</v>
      </c>
      <c r="P112" t="n">
        <v>241.044</v>
      </c>
      <c r="Q112" t="n">
        <v>249.376</v>
      </c>
      <c r="R112" t="n">
        <v>279.562</v>
      </c>
      <c r="S112" t="n">
        <v>171.446</v>
      </c>
      <c r="T112" t="n">
        <v>146.068</v>
      </c>
      <c r="U112" t="n">
        <v>143.871</v>
      </c>
      <c r="V112" t="n">
        <v>177.336</v>
      </c>
      <c r="W112" t="n">
        <v>331.375</v>
      </c>
      <c r="X112" t="n">
        <v>428.09</v>
      </c>
      <c r="Y112" t="n">
        <v>431.954</v>
      </c>
      <c r="Z112" t="n">
        <v>433.14</v>
      </c>
      <c r="AA112" t="n">
        <v>544.048</v>
      </c>
      <c r="AB112" t="n">
        <v>587.275</v>
      </c>
      <c r="AC112" t="n">
        <v>594.835</v>
      </c>
      <c r="AD112" t="n">
        <v>589.42</v>
      </c>
      <c r="AE112" t="n">
        <v>508.897</v>
      </c>
      <c r="AF112" t="n">
        <v>455.7</v>
      </c>
      <c r="AG112" t="n">
        <v>268.574</v>
      </c>
      <c r="AH112" t="n">
        <v>357.449</v>
      </c>
      <c r="AI112" t="n">
        <v>386.647</v>
      </c>
      <c r="AJ112" t="n">
        <v>437.967</v>
      </c>
      <c r="AK112" t="n">
        <v>661.58</v>
      </c>
      <c r="AL112" t="n">
        <v>666.752</v>
      </c>
      <c r="AM112" t="n">
        <v>687.015</v>
      </c>
      <c r="AN112" t="n">
        <v>708.8579999999999</v>
      </c>
      <c r="AO112" t="n">
        <v>629.272</v>
      </c>
      <c r="AP112" t="n">
        <v>562.301</v>
      </c>
      <c r="AQ112" t="n">
        <v>529.85</v>
      </c>
      <c r="AR112" t="n">
        <v>637.731</v>
      </c>
      <c r="AS112" t="n">
        <v>705.535</v>
      </c>
      <c r="AT112" t="n">
        <v>617.393</v>
      </c>
      <c r="AU112" t="n">
        <v>454.13</v>
      </c>
      <c r="AV112" t="n">
        <v>438.346</v>
      </c>
      <c r="AW112" t="n">
        <v>473.768</v>
      </c>
      <c r="AX112" t="n">
        <v>384.742</v>
      </c>
      <c r="AY112" t="n">
        <v>270.918</v>
      </c>
      <c r="AZ112" t="n">
        <v>247.442</v>
      </c>
      <c r="BA112" t="n">
        <v>248.522</v>
      </c>
      <c r="BB112" t="n">
        <v>326.053</v>
      </c>
      <c r="BC112" t="n">
        <v>270.526</v>
      </c>
      <c r="BD112" t="n">
        <v>239.215</v>
      </c>
      <c r="BE112" t="n">
        <v>181.698</v>
      </c>
      <c r="BF112" t="n">
        <v>185.175</v>
      </c>
      <c r="BG112" t="n">
        <v>157.19</v>
      </c>
      <c r="BH112" t="n">
        <v>149.877</v>
      </c>
      <c r="BI112" t="n">
        <v>150.689</v>
      </c>
      <c r="BJ112" t="n">
        <v>150.919</v>
      </c>
      <c r="BK112" t="n">
        <v>138.273</v>
      </c>
      <c r="BL112" t="n">
        <v>152.864</v>
      </c>
      <c r="BM112" t="n">
        <v>181.696</v>
      </c>
      <c r="BN112" t="n">
        <v>185.793</v>
      </c>
      <c r="BO112" t="n">
        <v>236.314</v>
      </c>
      <c r="BP112" t="n">
        <v>226.643</v>
      </c>
      <c r="BQ112" t="n">
        <v>186.539</v>
      </c>
      <c r="BR112" t="n">
        <v>256.663</v>
      </c>
      <c r="BS112" t="n">
        <v>275.829</v>
      </c>
      <c r="BT112" t="n">
        <v>129.48</v>
      </c>
      <c r="BU112" t="n">
        <v>200.149</v>
      </c>
      <c r="BV112" t="n">
        <v>161.251</v>
      </c>
    </row>
    <row r="113">
      <c r="A113" t="inlineStr">
        <is>
          <t>Lepidorhombus</t>
        </is>
      </c>
      <c r="B113" t="inlineStr">
        <is>
          <t>Megrims</t>
        </is>
      </c>
      <c r="C113" t="inlineStr">
        <is>
          <t>Small to medium flatfishes (&lt;90 cm)</t>
        </is>
      </c>
      <c r="D113" t="inlineStr">
        <is>
          <t>Flatfishes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39.888</v>
      </c>
      <c r="AB113" t="n">
        <v>107.367</v>
      </c>
      <c r="AC113" t="n">
        <v>160.516</v>
      </c>
      <c r="AD113" t="n">
        <v>274.76</v>
      </c>
      <c r="AE113" t="n">
        <v>271.982</v>
      </c>
      <c r="AF113" t="n">
        <v>327.109</v>
      </c>
      <c r="AG113" t="n">
        <v>215.584</v>
      </c>
      <c r="AH113" t="n">
        <v>327.926</v>
      </c>
      <c r="AI113" t="n">
        <v>350.35</v>
      </c>
      <c r="AJ113" t="n">
        <v>256.556</v>
      </c>
      <c r="AK113" t="n">
        <v>288.417</v>
      </c>
      <c r="AL113" t="n">
        <v>292.547</v>
      </c>
      <c r="AM113" t="n">
        <v>416.968</v>
      </c>
      <c r="AN113" t="n">
        <v>266.299</v>
      </c>
      <c r="AO113" t="n">
        <v>156.262</v>
      </c>
      <c r="AP113" t="n">
        <v>225.191</v>
      </c>
      <c r="AQ113" t="n">
        <v>182.135</v>
      </c>
      <c r="AR113" t="n">
        <v>15.944</v>
      </c>
      <c r="AS113" t="n">
        <v>15.593</v>
      </c>
      <c r="AT113" t="n">
        <v>16.039</v>
      </c>
      <c r="AU113" t="n">
        <v>52.331</v>
      </c>
      <c r="AV113" t="n">
        <v>41.337</v>
      </c>
      <c r="AW113" t="n">
        <v>39.639</v>
      </c>
      <c r="AX113" t="n">
        <v>44.113</v>
      </c>
      <c r="AY113" t="n">
        <v>29.225</v>
      </c>
      <c r="AZ113" t="n">
        <v>24.658</v>
      </c>
      <c r="BA113" t="n">
        <v>22.815</v>
      </c>
      <c r="BB113" t="n">
        <v>16.968</v>
      </c>
      <c r="BC113" t="n">
        <v>14.575</v>
      </c>
      <c r="BD113" t="n">
        <v>15.917</v>
      </c>
      <c r="BE113" t="n">
        <v>11.268</v>
      </c>
      <c r="BF113" t="n">
        <v>16.895</v>
      </c>
      <c r="BG113" t="n">
        <v>11.913</v>
      </c>
      <c r="BH113" t="n">
        <v>6.686</v>
      </c>
      <c r="BI113" t="n">
        <v>45.619</v>
      </c>
      <c r="BJ113" t="n">
        <v>65.15300000000001</v>
      </c>
      <c r="BK113" t="n">
        <v>1606.562</v>
      </c>
      <c r="BL113" t="n">
        <v>1527.197</v>
      </c>
      <c r="BM113" t="n">
        <v>1501.46</v>
      </c>
      <c r="BN113" t="n">
        <v>1455.851</v>
      </c>
      <c r="BO113" t="n">
        <v>1444.573</v>
      </c>
      <c r="BP113" t="n">
        <v>1738.596</v>
      </c>
      <c r="BQ113" t="n">
        <v>1510.746</v>
      </c>
      <c r="BR113" t="n">
        <v>1211.901</v>
      </c>
      <c r="BS113" t="n">
        <v>1345.285</v>
      </c>
      <c r="BT113" t="n">
        <v>1276.915</v>
      </c>
      <c r="BU113" t="n">
        <v>1307.129</v>
      </c>
      <c r="BV113" t="n">
        <v>1574.944</v>
      </c>
    </row>
    <row r="114">
      <c r="A114" t="inlineStr">
        <is>
          <t>Solen</t>
        </is>
      </c>
      <c r="B114" t="inlineStr">
        <is>
          <t>Razor clams</t>
        </is>
      </c>
      <c r="C114" t="inlineStr">
        <is>
          <t>Other demersal invertebrates</t>
        </is>
      </c>
      <c r="D114" t="inlineStr">
        <is>
          <t>Molluscs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716.2430000000001</v>
      </c>
      <c r="BG114" t="n">
        <v>1126.753</v>
      </c>
      <c r="BH114" t="n">
        <v>1085.827</v>
      </c>
      <c r="BI114" t="n">
        <v>1865.819</v>
      </c>
      <c r="BJ114" t="n">
        <v>2305.128</v>
      </c>
      <c r="BK114" t="n">
        <v>2208.508</v>
      </c>
      <c r="BL114" t="n">
        <v>2209.511</v>
      </c>
      <c r="BM114" t="n">
        <v>2891.87</v>
      </c>
      <c r="BN114" t="n">
        <v>3262.619</v>
      </c>
      <c r="BO114" t="n">
        <v>2881.095</v>
      </c>
      <c r="BP114" t="n">
        <v>919.849</v>
      </c>
      <c r="BQ114" t="n">
        <v>293.488</v>
      </c>
      <c r="BR114" t="n">
        <v>19.523</v>
      </c>
      <c r="BS114" t="n">
        <v>30.381</v>
      </c>
      <c r="BT114" t="n">
        <v>104.087</v>
      </c>
      <c r="BU114" t="n">
        <v>68.021</v>
      </c>
      <c r="BV114" t="n">
        <v>161.433</v>
      </c>
    </row>
    <row r="115">
      <c r="A115" t="inlineStr">
        <is>
          <t>Scyliorhinus canicula</t>
        </is>
      </c>
      <c r="B115" t="inlineStr">
        <is>
          <t>Small-spotted catshark</t>
        </is>
      </c>
      <c r="C115" t="inlineStr">
        <is>
          <t>Small to medium sharks (&lt;90 cm)</t>
        </is>
      </c>
      <c r="D115" t="inlineStr">
        <is>
          <t>Sharks &amp; rays</t>
        </is>
      </c>
      <c r="E115" t="n">
        <v>433.138</v>
      </c>
      <c r="F115" t="n">
        <v>697.183</v>
      </c>
      <c r="G115" t="n">
        <v>786.965</v>
      </c>
      <c r="H115" t="n">
        <v>618.578</v>
      </c>
      <c r="I115" t="n">
        <v>563.5</v>
      </c>
      <c r="J115" t="n">
        <v>628.274</v>
      </c>
      <c r="K115" t="n">
        <v>613.683</v>
      </c>
      <c r="L115" t="n">
        <v>599.405</v>
      </c>
      <c r="M115" t="n">
        <v>543.394</v>
      </c>
      <c r="N115" t="n">
        <v>489.768</v>
      </c>
      <c r="O115" t="n">
        <v>440.995</v>
      </c>
      <c r="P115" t="n">
        <v>347.675</v>
      </c>
      <c r="Q115" t="n">
        <v>284.758</v>
      </c>
      <c r="R115" t="n">
        <v>246.721</v>
      </c>
      <c r="S115" t="n">
        <v>264.711</v>
      </c>
      <c r="T115" t="n">
        <v>613.403</v>
      </c>
      <c r="U115" t="n">
        <v>691.3390000000001</v>
      </c>
      <c r="V115" t="n">
        <v>795.812</v>
      </c>
      <c r="W115" t="n">
        <v>800.3440000000001</v>
      </c>
      <c r="X115" t="n">
        <v>729.7859999999999</v>
      </c>
      <c r="Y115" t="n">
        <v>749.567</v>
      </c>
      <c r="Z115" t="n">
        <v>946.59</v>
      </c>
      <c r="AA115" t="n">
        <v>995.39</v>
      </c>
      <c r="AB115" t="n">
        <v>29.902</v>
      </c>
      <c r="AC115" t="n">
        <v>1003.653</v>
      </c>
      <c r="AD115" t="n">
        <v>1151.631</v>
      </c>
      <c r="AE115" t="n">
        <v>5.414</v>
      </c>
      <c r="AF115" t="n">
        <v>4.802</v>
      </c>
      <c r="AG115" t="n">
        <v>5.371</v>
      </c>
      <c r="AH115" t="n">
        <v>10.363</v>
      </c>
      <c r="AI115" t="n">
        <v>13.154</v>
      </c>
      <c r="AJ115" t="n">
        <v>13.095</v>
      </c>
      <c r="AK115" t="n">
        <v>11.128</v>
      </c>
      <c r="AL115" t="n">
        <v>10.63</v>
      </c>
      <c r="AM115" t="n">
        <v>8.226000000000001</v>
      </c>
      <c r="AN115" t="n">
        <v>11.51</v>
      </c>
      <c r="AO115" t="n">
        <v>7.76</v>
      </c>
      <c r="AP115" t="n">
        <v>17.398</v>
      </c>
      <c r="AQ115" t="n">
        <v>16.585</v>
      </c>
      <c r="AR115" t="n">
        <v>23.445</v>
      </c>
      <c r="AS115" t="n">
        <v>47.387</v>
      </c>
      <c r="AT115" t="n">
        <v>29.453</v>
      </c>
      <c r="AU115" t="n">
        <v>29.997</v>
      </c>
      <c r="AV115" t="n">
        <v>24.568</v>
      </c>
      <c r="AW115" t="n">
        <v>42.144</v>
      </c>
      <c r="AX115" t="n">
        <v>170.318</v>
      </c>
      <c r="AY115" t="n">
        <v>79.328</v>
      </c>
      <c r="AZ115" t="n">
        <v>69.461</v>
      </c>
      <c r="BA115" t="n">
        <v>73.142</v>
      </c>
      <c r="BB115" t="n">
        <v>66.327</v>
      </c>
      <c r="BC115" t="n">
        <v>49.713</v>
      </c>
      <c r="BD115" t="n">
        <v>48.206</v>
      </c>
      <c r="BE115" t="n">
        <v>44.566</v>
      </c>
      <c r="BF115" t="n">
        <v>40.74</v>
      </c>
      <c r="BG115" t="n">
        <v>46.721</v>
      </c>
      <c r="BH115" t="n">
        <v>31.689</v>
      </c>
      <c r="BI115" t="n">
        <v>53.617</v>
      </c>
      <c r="BJ115" t="n">
        <v>68.318</v>
      </c>
      <c r="BK115" t="n">
        <v>50.228</v>
      </c>
      <c r="BL115" t="n">
        <v>318.226</v>
      </c>
      <c r="BM115" t="n">
        <v>112.137</v>
      </c>
      <c r="BN115" t="n">
        <v>314.028</v>
      </c>
      <c r="BO115" t="n">
        <v>292.861</v>
      </c>
      <c r="BP115" t="n">
        <v>371.047</v>
      </c>
      <c r="BQ115" t="n">
        <v>371.494</v>
      </c>
      <c r="BR115" t="n">
        <v>466.316</v>
      </c>
      <c r="BS115" t="n">
        <v>662.258</v>
      </c>
      <c r="BT115" t="n">
        <v>547.351</v>
      </c>
      <c r="BU115" t="n">
        <v>496.597</v>
      </c>
      <c r="BV115" t="n">
        <v>676.2670000000001</v>
      </c>
    </row>
    <row r="116">
      <c r="A116" t="inlineStr">
        <is>
          <t>Aequipecten opercularis</t>
        </is>
      </c>
      <c r="B116" t="inlineStr">
        <is>
          <t>Queen scallop</t>
        </is>
      </c>
      <c r="C116" t="inlineStr">
        <is>
          <t>Other demersal invertebrates</t>
        </is>
      </c>
      <c r="D116" t="inlineStr">
        <is>
          <t>Molluscs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727.953</v>
      </c>
      <c r="AD116" t="n">
        <v>1215.143</v>
      </c>
      <c r="AE116" t="n">
        <v>420.333</v>
      </c>
      <c r="AF116" t="n">
        <v>368.919</v>
      </c>
      <c r="AG116" t="n">
        <v>264.524</v>
      </c>
      <c r="AH116" t="n">
        <v>558.17</v>
      </c>
      <c r="AI116" t="n">
        <v>521.227</v>
      </c>
      <c r="AJ116" t="n">
        <v>308.413</v>
      </c>
      <c r="AK116" t="n">
        <v>392.787</v>
      </c>
      <c r="AL116" t="n">
        <v>513.646</v>
      </c>
      <c r="AM116" t="n">
        <v>738.437</v>
      </c>
      <c r="AN116" t="n">
        <v>937.353</v>
      </c>
      <c r="AO116" t="n">
        <v>1251.205</v>
      </c>
      <c r="AP116" t="n">
        <v>1620.806</v>
      </c>
      <c r="AQ116" t="n">
        <v>162.489</v>
      </c>
      <c r="AR116" t="n">
        <v>443.264</v>
      </c>
      <c r="AS116" t="n">
        <v>216.179</v>
      </c>
      <c r="AT116" t="n">
        <v>681.542</v>
      </c>
      <c r="AU116" t="n">
        <v>2229.547</v>
      </c>
      <c r="AV116" t="n">
        <v>221.091</v>
      </c>
      <c r="AW116" t="n">
        <v>124.973</v>
      </c>
      <c r="AX116" t="n">
        <v>1119.304</v>
      </c>
      <c r="AY116" t="n">
        <v>248.196</v>
      </c>
      <c r="AZ116" t="n">
        <v>159.059</v>
      </c>
      <c r="BA116" t="n">
        <v>143.744</v>
      </c>
      <c r="BB116" t="n">
        <v>428.897</v>
      </c>
      <c r="BC116" t="n">
        <v>209.345</v>
      </c>
      <c r="BD116" t="n">
        <v>254.524</v>
      </c>
      <c r="BE116" t="n">
        <v>399.153</v>
      </c>
      <c r="BF116" t="n">
        <v>102.422</v>
      </c>
      <c r="BG116" t="n">
        <v>131.463</v>
      </c>
      <c r="BH116" t="n">
        <v>66.069</v>
      </c>
      <c r="BI116" t="n">
        <v>120.835</v>
      </c>
      <c r="BJ116" t="n">
        <v>16.694</v>
      </c>
      <c r="BK116" t="n">
        <v>25.743</v>
      </c>
      <c r="BL116" t="n">
        <v>174.891</v>
      </c>
      <c r="BM116" t="n">
        <v>275.376</v>
      </c>
      <c r="BN116" t="n">
        <v>378.827</v>
      </c>
      <c r="BO116" t="n">
        <v>537.712</v>
      </c>
      <c r="BP116" t="n">
        <v>181.064</v>
      </c>
      <c r="BQ116" t="n">
        <v>80.33199999999999</v>
      </c>
      <c r="BR116" t="n">
        <v>23.552</v>
      </c>
      <c r="BS116" t="n">
        <v>1237.669</v>
      </c>
      <c r="BT116" t="n">
        <v>157.478</v>
      </c>
      <c r="BU116" t="n">
        <v>800.313</v>
      </c>
      <c r="BV116" t="n">
        <v>34.006</v>
      </c>
    </row>
    <row r="117">
      <c r="A117" t="inlineStr">
        <is>
          <t>Gobiidae</t>
        </is>
      </c>
      <c r="B117" t="inlineStr">
        <is>
          <t>Gobies</t>
        </is>
      </c>
      <c r="C117" t="inlineStr">
        <is>
          <t>Small reef assoc. fish (&lt;30 cm)</t>
        </is>
      </c>
      <c r="D117" t="inlineStr">
        <is>
          <t>Perch-likes</t>
        </is>
      </c>
      <c r="E117" t="n">
        <v>443.64</v>
      </c>
      <c r="F117" t="n">
        <v>361.076</v>
      </c>
      <c r="G117" t="n">
        <v>329.084</v>
      </c>
      <c r="H117" t="n">
        <v>537.355</v>
      </c>
      <c r="I117" t="n">
        <v>442.423</v>
      </c>
      <c r="J117" t="n">
        <v>577.731</v>
      </c>
      <c r="K117" t="n">
        <v>450.189</v>
      </c>
      <c r="L117" t="n">
        <v>468.128</v>
      </c>
      <c r="M117" t="n">
        <v>381.774</v>
      </c>
      <c r="N117" t="n">
        <v>346.282</v>
      </c>
      <c r="O117" t="n">
        <v>323.725</v>
      </c>
      <c r="P117" t="n">
        <v>372.93</v>
      </c>
      <c r="Q117" t="n">
        <v>334.997</v>
      </c>
      <c r="R117" t="n">
        <v>570.633</v>
      </c>
      <c r="S117" t="n">
        <v>387.167</v>
      </c>
      <c r="T117" t="n">
        <v>382.651</v>
      </c>
      <c r="U117" t="n">
        <v>519.187</v>
      </c>
      <c r="V117" t="n">
        <v>330.385</v>
      </c>
      <c r="W117" t="n">
        <v>448.3</v>
      </c>
      <c r="X117" t="n">
        <v>374.475</v>
      </c>
      <c r="Y117" t="n">
        <v>513.819</v>
      </c>
      <c r="Z117" t="n">
        <v>322.273</v>
      </c>
      <c r="AA117" t="n">
        <v>341.039</v>
      </c>
      <c r="AB117" t="n">
        <v>402.339</v>
      </c>
      <c r="AC117" t="n">
        <v>389.523</v>
      </c>
      <c r="AD117" t="n">
        <v>279.948</v>
      </c>
      <c r="AE117" t="n">
        <v>361.132</v>
      </c>
      <c r="AF117" t="n">
        <v>248.832</v>
      </c>
      <c r="AG117" t="n">
        <v>229.178</v>
      </c>
      <c r="AH117" t="n">
        <v>266.652</v>
      </c>
      <c r="AI117" t="n">
        <v>211.028</v>
      </c>
      <c r="AJ117" t="n">
        <v>197.275</v>
      </c>
      <c r="AK117" t="n">
        <v>271.9</v>
      </c>
      <c r="AL117" t="n">
        <v>177.943</v>
      </c>
      <c r="AM117" t="n">
        <v>159.724</v>
      </c>
      <c r="AN117" t="n">
        <v>240.829</v>
      </c>
      <c r="AO117" t="n">
        <v>219.144</v>
      </c>
      <c r="AP117" t="n">
        <v>227.502</v>
      </c>
      <c r="AQ117" t="n">
        <v>200.159</v>
      </c>
      <c r="AR117" t="n">
        <v>185.165</v>
      </c>
      <c r="AS117" t="n">
        <v>109.759</v>
      </c>
      <c r="AT117" t="n">
        <v>198.317</v>
      </c>
      <c r="AU117" t="n">
        <v>169.665</v>
      </c>
      <c r="AV117" t="n">
        <v>189.306</v>
      </c>
      <c r="AW117" t="n">
        <v>238.755</v>
      </c>
      <c r="AX117" t="n">
        <v>160.157</v>
      </c>
      <c r="AY117" t="n">
        <v>225.914</v>
      </c>
      <c r="AZ117" t="n">
        <v>278.784</v>
      </c>
      <c r="BA117" t="n">
        <v>208.416</v>
      </c>
      <c r="BB117" t="n">
        <v>241.867</v>
      </c>
      <c r="BC117" t="n">
        <v>244.259</v>
      </c>
      <c r="BD117" t="n">
        <v>179.027</v>
      </c>
      <c r="BE117" t="n">
        <v>225.264</v>
      </c>
      <c r="BF117" t="n">
        <v>228.893</v>
      </c>
      <c r="BG117" t="n">
        <v>270.723</v>
      </c>
      <c r="BH117" t="n">
        <v>315.352</v>
      </c>
      <c r="BI117" t="n">
        <v>269.176</v>
      </c>
      <c r="BJ117" t="n">
        <v>229.862</v>
      </c>
      <c r="BK117" t="n">
        <v>255.266</v>
      </c>
      <c r="BL117" t="n">
        <v>248.592</v>
      </c>
      <c r="BM117" t="n">
        <v>260.87</v>
      </c>
      <c r="BN117" t="n">
        <v>240.404</v>
      </c>
      <c r="BO117" t="n">
        <v>236.08</v>
      </c>
      <c r="BP117" t="n">
        <v>233.059</v>
      </c>
      <c r="BQ117" t="n">
        <v>225.523</v>
      </c>
      <c r="BR117" t="n">
        <v>123.692</v>
      </c>
      <c r="BS117" t="n">
        <v>80.755</v>
      </c>
      <c r="BT117" t="n">
        <v>88.626</v>
      </c>
      <c r="BU117" t="n">
        <v>107.676</v>
      </c>
      <c r="BV117" t="n">
        <v>75.122</v>
      </c>
    </row>
    <row r="118">
      <c r="A118" t="inlineStr">
        <is>
          <t>Cephalopoda</t>
        </is>
      </c>
      <c r="B118" t="inlineStr">
        <is>
          <t>Squids, cuttlefishes, octopuses</t>
        </is>
      </c>
      <c r="C118" t="inlineStr">
        <is>
          <t>Cephalopods</t>
        </is>
      </c>
      <c r="D118" t="inlineStr">
        <is>
          <t>Other fishes &amp; inverts</t>
        </is>
      </c>
      <c r="E118" t="n">
        <v>327.561</v>
      </c>
      <c r="F118" t="n">
        <v>824.504</v>
      </c>
      <c r="G118" t="n">
        <v>327.06</v>
      </c>
      <c r="H118" t="n">
        <v>356.43</v>
      </c>
      <c r="I118" t="n">
        <v>392.037</v>
      </c>
      <c r="J118" t="n">
        <v>403.455</v>
      </c>
      <c r="K118" t="n">
        <v>339.885</v>
      </c>
      <c r="L118" t="n">
        <v>295.095</v>
      </c>
      <c r="M118" t="n">
        <v>283.829</v>
      </c>
      <c r="N118" t="n">
        <v>283.922</v>
      </c>
      <c r="O118" t="n">
        <v>116.982</v>
      </c>
      <c r="P118" t="n">
        <v>299.682</v>
      </c>
      <c r="Q118" t="n">
        <v>156.189</v>
      </c>
      <c r="R118" t="n">
        <v>207.517</v>
      </c>
      <c r="S118" t="n">
        <v>393.557</v>
      </c>
      <c r="T118" t="n">
        <v>397.616</v>
      </c>
      <c r="U118" t="n">
        <v>257.878</v>
      </c>
      <c r="V118" t="n">
        <v>236.159</v>
      </c>
      <c r="W118" t="n">
        <v>424.72</v>
      </c>
      <c r="X118" t="n">
        <v>309.117</v>
      </c>
      <c r="Y118" t="n">
        <v>319.522</v>
      </c>
      <c r="Z118" t="n">
        <v>341.482</v>
      </c>
      <c r="AA118" t="n">
        <v>290.563</v>
      </c>
      <c r="AB118" t="n">
        <v>323.043</v>
      </c>
      <c r="AC118" t="n">
        <v>309.397</v>
      </c>
      <c r="AD118" t="n">
        <v>272.74</v>
      </c>
      <c r="AE118" t="n">
        <v>269.527</v>
      </c>
      <c r="AF118" t="n">
        <v>249.05</v>
      </c>
      <c r="AG118" t="n">
        <v>325.369</v>
      </c>
      <c r="AH118" t="n">
        <v>299.339</v>
      </c>
      <c r="AI118" t="n">
        <v>284.777</v>
      </c>
      <c r="AJ118" t="n">
        <v>324.596</v>
      </c>
      <c r="AK118" t="n">
        <v>337.481</v>
      </c>
      <c r="AL118" t="n">
        <v>315.27</v>
      </c>
      <c r="AM118" t="n">
        <v>309.086</v>
      </c>
      <c r="AN118" t="n">
        <v>257.044</v>
      </c>
      <c r="AO118" t="n">
        <v>232.327</v>
      </c>
      <c r="AP118" t="n">
        <v>233.037</v>
      </c>
      <c r="AQ118" t="n">
        <v>247.432</v>
      </c>
      <c r="AR118" t="n">
        <v>243.481</v>
      </c>
      <c r="AS118" t="n">
        <v>220.658</v>
      </c>
      <c r="AT118" t="n">
        <v>175.041</v>
      </c>
      <c r="AU118" t="n">
        <v>127.674</v>
      </c>
      <c r="AV118" t="n">
        <v>126.592</v>
      </c>
      <c r="AW118" t="n">
        <v>109.76</v>
      </c>
      <c r="AX118" t="n">
        <v>227.881</v>
      </c>
      <c r="AY118" t="n">
        <v>135.299</v>
      </c>
      <c r="AZ118" t="n">
        <v>150.15</v>
      </c>
      <c r="BA118" t="n">
        <v>162.876</v>
      </c>
      <c r="BB118" t="n">
        <v>184.549</v>
      </c>
      <c r="BC118" t="n">
        <v>204.154</v>
      </c>
      <c r="BD118" t="n">
        <v>215.69</v>
      </c>
      <c r="BE118" t="n">
        <v>214.029</v>
      </c>
      <c r="BF118" t="n">
        <v>206.259</v>
      </c>
      <c r="BG118" t="n">
        <v>198.694</v>
      </c>
      <c r="BH118" t="n">
        <v>204.636</v>
      </c>
      <c r="BI118" t="n">
        <v>222.64</v>
      </c>
      <c r="BJ118" t="n">
        <v>165.47</v>
      </c>
      <c r="BK118" t="n">
        <v>163.686</v>
      </c>
      <c r="BL118" t="n">
        <v>65.41800000000001</v>
      </c>
      <c r="BM118" t="n">
        <v>97.819</v>
      </c>
      <c r="BN118" t="n">
        <v>115.057</v>
      </c>
      <c r="BO118" t="n">
        <v>171.289</v>
      </c>
      <c r="BP118" t="n">
        <v>181.821</v>
      </c>
      <c r="BQ118" t="n">
        <v>242.773</v>
      </c>
      <c r="BR118" t="n">
        <v>305.934</v>
      </c>
      <c r="BS118" t="n">
        <v>180.806</v>
      </c>
      <c r="BT118" t="n">
        <v>357.841</v>
      </c>
      <c r="BU118" t="n">
        <v>337.438</v>
      </c>
      <c r="BV118" t="n">
        <v>414.955</v>
      </c>
    </row>
    <row r="119">
      <c r="A119" t="inlineStr">
        <is>
          <t>Mollusca</t>
        </is>
      </c>
      <c r="B119" t="inlineStr">
        <is>
          <t>Clams, seasnails, squids, octopuses</t>
        </is>
      </c>
      <c r="C119" t="inlineStr">
        <is>
          <t>Other demersal invertebrates</t>
        </is>
      </c>
      <c r="D119" t="inlineStr">
        <is>
          <t>Molluscs</t>
        </is>
      </c>
      <c r="E119" t="n">
        <v>177.182</v>
      </c>
      <c r="F119" t="n">
        <v>174.312</v>
      </c>
      <c r="G119" t="n">
        <v>171.443</v>
      </c>
      <c r="H119" t="n">
        <v>168.573</v>
      </c>
      <c r="I119" t="n">
        <v>165.703</v>
      </c>
      <c r="J119" t="n">
        <v>162.833</v>
      </c>
      <c r="K119" t="n">
        <v>159.963</v>
      </c>
      <c r="L119" t="n">
        <v>157.093</v>
      </c>
      <c r="M119" t="n">
        <v>154.223</v>
      </c>
      <c r="N119" t="n">
        <v>151.354</v>
      </c>
      <c r="O119" t="n">
        <v>148.484</v>
      </c>
      <c r="P119" t="n">
        <v>479.915</v>
      </c>
      <c r="Q119" t="n">
        <v>528.3049999999999</v>
      </c>
      <c r="R119" t="n">
        <v>549.038</v>
      </c>
      <c r="S119" t="n">
        <v>554.337</v>
      </c>
      <c r="T119" t="n">
        <v>692.885</v>
      </c>
      <c r="U119" t="n">
        <v>157.721</v>
      </c>
      <c r="V119" t="n">
        <v>129.34</v>
      </c>
      <c r="W119" t="n">
        <v>131.078</v>
      </c>
      <c r="X119" t="n">
        <v>126.485</v>
      </c>
      <c r="Y119" t="n">
        <v>364.769</v>
      </c>
      <c r="Z119" t="n">
        <v>123.133</v>
      </c>
      <c r="AA119" t="n">
        <v>131.835</v>
      </c>
      <c r="AB119" t="n">
        <v>112.565</v>
      </c>
      <c r="AC119" t="n">
        <v>109.293</v>
      </c>
      <c r="AD119" t="n">
        <v>108.593</v>
      </c>
      <c r="AE119" t="n">
        <v>105.233</v>
      </c>
      <c r="AF119" t="n">
        <v>100.191</v>
      </c>
      <c r="AG119" t="n">
        <v>160.657</v>
      </c>
      <c r="AH119" t="n">
        <v>120.098</v>
      </c>
      <c r="AI119" t="n">
        <v>91.087</v>
      </c>
      <c r="AJ119" t="n">
        <v>163.181</v>
      </c>
      <c r="AK119" t="n">
        <v>123.951</v>
      </c>
      <c r="AL119" t="n">
        <v>203.955</v>
      </c>
      <c r="AM119" t="n">
        <v>193.077</v>
      </c>
      <c r="AN119" t="n">
        <v>78.86799999999999</v>
      </c>
      <c r="AO119" t="n">
        <v>123.529</v>
      </c>
      <c r="AP119" t="n">
        <v>159.543</v>
      </c>
      <c r="AQ119" t="n">
        <v>327.439</v>
      </c>
      <c r="AR119" t="n">
        <v>195.993</v>
      </c>
      <c r="AS119" t="n">
        <v>69.934</v>
      </c>
      <c r="AT119" t="n">
        <v>130.812</v>
      </c>
      <c r="AU119" t="n">
        <v>153.668</v>
      </c>
      <c r="AV119" t="n">
        <v>182.508</v>
      </c>
      <c r="AW119" t="n">
        <v>1103.072</v>
      </c>
      <c r="AX119" t="n">
        <v>6649.811</v>
      </c>
      <c r="AY119" t="n">
        <v>59.021</v>
      </c>
      <c r="AZ119" t="n">
        <v>59.49</v>
      </c>
      <c r="BA119" t="n">
        <v>49.894</v>
      </c>
      <c r="BB119" t="n">
        <v>144.429</v>
      </c>
      <c r="BC119" t="n">
        <v>41.24</v>
      </c>
      <c r="BD119" t="n">
        <v>34.67</v>
      </c>
      <c r="BE119" t="n">
        <v>48.015</v>
      </c>
      <c r="BF119" t="n">
        <v>26.244</v>
      </c>
      <c r="BG119" t="n">
        <v>24.925</v>
      </c>
      <c r="BH119" t="n">
        <v>26.138</v>
      </c>
      <c r="BI119" t="n">
        <v>25.711</v>
      </c>
      <c r="BJ119" t="n">
        <v>13.601</v>
      </c>
      <c r="BK119" t="n">
        <v>11.001</v>
      </c>
      <c r="BL119" t="n">
        <v>8.194000000000001</v>
      </c>
      <c r="BM119" t="n">
        <v>4.991</v>
      </c>
      <c r="BN119" t="n">
        <v>4.991</v>
      </c>
      <c r="BO119" t="n">
        <v>4.991</v>
      </c>
      <c r="BP119" t="n">
        <v>5.988</v>
      </c>
      <c r="BQ119" t="n">
        <v>4.991</v>
      </c>
      <c r="BR119" t="n">
        <v>4.985</v>
      </c>
      <c r="BS119" t="n">
        <v>4.978</v>
      </c>
      <c r="BT119" t="n">
        <v>4.972</v>
      </c>
      <c r="BU119" t="n">
        <v>15.418</v>
      </c>
      <c r="BV119" t="n">
        <v>5.003</v>
      </c>
    </row>
    <row r="120">
      <c r="A120" t="inlineStr">
        <is>
          <t>Gastropoda</t>
        </is>
      </c>
      <c r="B120" t="inlineStr">
        <is>
          <t>Sea snails</t>
        </is>
      </c>
      <c r="C120" t="inlineStr">
        <is>
          <t>Other demersal invertebrates</t>
        </is>
      </c>
      <c r="D120" t="inlineStr">
        <is>
          <t>Molluscs</t>
        </is>
      </c>
      <c r="E120" t="n">
        <v>326.139</v>
      </c>
      <c r="F120" t="n">
        <v>821.8390000000001</v>
      </c>
      <c r="G120" t="n">
        <v>325.911</v>
      </c>
      <c r="H120" t="n">
        <v>355.556</v>
      </c>
      <c r="I120" t="n">
        <v>390.877</v>
      </c>
      <c r="J120" t="n">
        <v>402.309</v>
      </c>
      <c r="K120" t="n">
        <v>337.051</v>
      </c>
      <c r="L120" t="n">
        <v>292.863</v>
      </c>
      <c r="M120" t="n">
        <v>280.989</v>
      </c>
      <c r="N120" t="n">
        <v>281.347</v>
      </c>
      <c r="O120" t="n">
        <v>116.255</v>
      </c>
      <c r="P120" t="n">
        <v>297.254</v>
      </c>
      <c r="Q120" t="n">
        <v>153.686</v>
      </c>
      <c r="R120" t="n">
        <v>203.571</v>
      </c>
      <c r="S120" t="n">
        <v>389.633</v>
      </c>
      <c r="T120" t="n">
        <v>394.969</v>
      </c>
      <c r="U120" t="n">
        <v>254.339</v>
      </c>
      <c r="V120" t="n">
        <v>228.947</v>
      </c>
      <c r="W120" t="n">
        <v>418.422</v>
      </c>
      <c r="X120" t="n">
        <v>302.483</v>
      </c>
      <c r="Y120" t="n">
        <v>311.628</v>
      </c>
      <c r="Z120" t="n">
        <v>334.023</v>
      </c>
      <c r="AA120" t="n">
        <v>282.829</v>
      </c>
      <c r="AB120" t="n">
        <v>315.412</v>
      </c>
      <c r="AC120" t="n">
        <v>302.536</v>
      </c>
      <c r="AD120" t="n">
        <v>264.621</v>
      </c>
      <c r="AE120" t="n">
        <v>262.653</v>
      </c>
      <c r="AF120" t="n">
        <v>241.282</v>
      </c>
      <c r="AG120" t="n">
        <v>259.912</v>
      </c>
      <c r="AH120" t="n">
        <v>293.231</v>
      </c>
      <c r="AI120" t="n">
        <v>279.565</v>
      </c>
      <c r="AJ120" t="n">
        <v>319.7</v>
      </c>
      <c r="AK120" t="n">
        <v>331.519</v>
      </c>
      <c r="AL120" t="n">
        <v>309.185</v>
      </c>
      <c r="AM120" t="n">
        <v>303.113</v>
      </c>
      <c r="AN120" t="n">
        <v>250.32</v>
      </c>
      <c r="AO120" t="n">
        <v>226.964</v>
      </c>
      <c r="AP120" t="n">
        <v>228.116</v>
      </c>
      <c r="AQ120" t="n">
        <v>243.467</v>
      </c>
      <c r="AR120" t="n">
        <v>239.085</v>
      </c>
      <c r="AS120" t="n">
        <v>216.057</v>
      </c>
      <c r="AT120" t="n">
        <v>172.045</v>
      </c>
      <c r="AU120" t="n">
        <v>124.306</v>
      </c>
      <c r="AV120" t="n">
        <v>123.945</v>
      </c>
      <c r="AW120" t="n">
        <v>107.303</v>
      </c>
      <c r="AX120" t="n">
        <v>223.929</v>
      </c>
      <c r="AY120" t="n">
        <v>131.712</v>
      </c>
      <c r="AZ120" t="n">
        <v>146.173</v>
      </c>
      <c r="BA120" t="n">
        <v>159.412</v>
      </c>
      <c r="BB120" t="n">
        <v>180.849</v>
      </c>
      <c r="BC120" t="n">
        <v>200.165</v>
      </c>
      <c r="BD120" t="n">
        <v>209.787</v>
      </c>
      <c r="BE120" t="n">
        <v>208.449</v>
      </c>
      <c r="BF120" t="n">
        <v>201.699</v>
      </c>
      <c r="BG120" t="n">
        <v>194.248</v>
      </c>
      <c r="BH120" t="n">
        <v>199.875</v>
      </c>
      <c r="BI120" t="n">
        <v>217.337</v>
      </c>
      <c r="BJ120" t="n">
        <v>154.418</v>
      </c>
      <c r="BK120" t="n">
        <v>153.587</v>
      </c>
      <c r="BL120" t="n">
        <v>62.677</v>
      </c>
      <c r="BM120" t="n">
        <v>93.127</v>
      </c>
      <c r="BN120" t="n">
        <v>112.538</v>
      </c>
      <c r="BO120" t="n">
        <v>167.709</v>
      </c>
      <c r="BP120" t="n">
        <v>178.472</v>
      </c>
      <c r="BQ120" t="n">
        <v>203.316</v>
      </c>
      <c r="BR120" t="n">
        <v>48.19</v>
      </c>
      <c r="BS120" t="n">
        <v>46.558</v>
      </c>
      <c r="BT120" t="n">
        <v>45.878</v>
      </c>
      <c r="BU120" t="n">
        <v>245.867</v>
      </c>
      <c r="BV120" t="n">
        <v>218.213</v>
      </c>
    </row>
    <row r="121">
      <c r="A121" t="inlineStr">
        <is>
          <t>Necora puber</t>
        </is>
      </c>
      <c r="B121" t="inlineStr">
        <is>
          <t>Velvet swimcrab</t>
        </is>
      </c>
      <c r="C121" t="inlineStr">
        <is>
          <t>Lobsters, crabs</t>
        </is>
      </c>
      <c r="D121" t="inlineStr">
        <is>
          <t>Crustaceans</t>
        </is>
      </c>
      <c r="E121" t="n">
        <v>36.178</v>
      </c>
      <c r="F121" t="n">
        <v>42.613</v>
      </c>
      <c r="G121" t="n">
        <v>43.111</v>
      </c>
      <c r="H121" t="n">
        <v>46.525</v>
      </c>
      <c r="I121" t="n">
        <v>33.031</v>
      </c>
      <c r="J121" t="n">
        <v>36.737</v>
      </c>
      <c r="K121" t="n">
        <v>36.3</v>
      </c>
      <c r="L121" t="n">
        <v>35.08</v>
      </c>
      <c r="M121" t="n">
        <v>37.112</v>
      </c>
      <c r="N121" t="n">
        <v>35.101</v>
      </c>
      <c r="O121" t="n">
        <v>32.157</v>
      </c>
      <c r="P121" t="n">
        <v>32.154</v>
      </c>
      <c r="Q121" t="n">
        <v>26.953</v>
      </c>
      <c r="R121" t="n">
        <v>26.169</v>
      </c>
      <c r="S121" t="n">
        <v>26.378</v>
      </c>
      <c r="T121" t="n">
        <v>42.134</v>
      </c>
      <c r="U121" t="n">
        <v>45.563</v>
      </c>
      <c r="V121" t="n">
        <v>43.604</v>
      </c>
      <c r="W121" t="n">
        <v>48.503</v>
      </c>
      <c r="X121" t="n">
        <v>63.201</v>
      </c>
      <c r="Y121" t="n">
        <v>43.111</v>
      </c>
      <c r="Z121" t="n">
        <v>46.525</v>
      </c>
      <c r="AA121" t="n">
        <v>33.031</v>
      </c>
      <c r="AB121" t="n">
        <v>36.737</v>
      </c>
      <c r="AC121" t="n">
        <v>36.3</v>
      </c>
      <c r="AD121" t="n">
        <v>35.08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0.246</v>
      </c>
      <c r="AS121" t="n">
        <v>0.246</v>
      </c>
      <c r="AT121" t="n">
        <v>0</v>
      </c>
      <c r="AU121" t="n">
        <v>1.244</v>
      </c>
      <c r="AV121" t="n">
        <v>2.241</v>
      </c>
      <c r="AW121" t="n">
        <v>39.914</v>
      </c>
      <c r="AX121" t="n">
        <v>5.973</v>
      </c>
      <c r="AY121" t="n">
        <v>8.228</v>
      </c>
      <c r="AZ121" t="n">
        <v>7.983</v>
      </c>
      <c r="BA121" t="n">
        <v>1.996</v>
      </c>
      <c r="BB121" t="n">
        <v>12.973</v>
      </c>
      <c r="BC121" t="n">
        <v>50.252</v>
      </c>
      <c r="BD121" t="n">
        <v>0.036</v>
      </c>
      <c r="BE121" t="n">
        <v>0.483</v>
      </c>
      <c r="BF121" t="n">
        <v>1.496</v>
      </c>
      <c r="BG121" t="n">
        <v>0.061</v>
      </c>
      <c r="BH121" t="n">
        <v>0.023</v>
      </c>
      <c r="BI121" t="n">
        <v>0.035</v>
      </c>
      <c r="BJ121" t="n">
        <v>0.036</v>
      </c>
      <c r="BK121" t="n">
        <v>2081.042</v>
      </c>
      <c r="BL121" t="n">
        <v>1953.237</v>
      </c>
      <c r="BM121" t="n">
        <v>1658.172</v>
      </c>
      <c r="BN121" t="n">
        <v>1598.373</v>
      </c>
      <c r="BO121" t="n">
        <v>1363.261</v>
      </c>
      <c r="BP121" t="n">
        <v>1092.086</v>
      </c>
      <c r="BQ121" t="n">
        <v>1085.042</v>
      </c>
      <c r="BR121" t="n">
        <v>932.224</v>
      </c>
      <c r="BS121" t="n">
        <v>950.621</v>
      </c>
      <c r="BT121" t="n">
        <v>997.986</v>
      </c>
      <c r="BU121" t="n">
        <v>863.597</v>
      </c>
      <c r="BV121" t="n">
        <v>1124.472</v>
      </c>
    </row>
    <row r="122">
      <c r="A122" t="inlineStr">
        <is>
          <t>Pectinidae</t>
        </is>
      </c>
      <c r="B122" t="inlineStr">
        <is>
          <t>Scallops</t>
        </is>
      </c>
      <c r="C122" t="inlineStr">
        <is>
          <t>Other demersal invertebrates</t>
        </is>
      </c>
      <c r="D122" t="inlineStr">
        <is>
          <t>Molluscs</t>
        </is>
      </c>
      <c r="E122" t="n">
        <v>0.254</v>
      </c>
      <c r="F122" t="n">
        <v>1.41</v>
      </c>
      <c r="G122" t="n">
        <v>1.157</v>
      </c>
      <c r="H122" t="n">
        <v>1.027</v>
      </c>
      <c r="I122" t="n">
        <v>1.202</v>
      </c>
      <c r="J122" t="n">
        <v>0.778</v>
      </c>
      <c r="K122" t="n">
        <v>1.196</v>
      </c>
      <c r="L122" t="n">
        <v>12.293</v>
      </c>
      <c r="M122" t="n">
        <v>0.857</v>
      </c>
      <c r="N122" t="n">
        <v>0.309</v>
      </c>
      <c r="O122" t="n">
        <v>0.384</v>
      </c>
      <c r="P122" t="n">
        <v>0.915</v>
      </c>
      <c r="Q122" t="n">
        <v>1.866</v>
      </c>
      <c r="R122" t="n">
        <v>3.177</v>
      </c>
      <c r="S122" t="n">
        <v>5.453</v>
      </c>
      <c r="T122" t="n">
        <v>3.758</v>
      </c>
      <c r="U122" t="n">
        <v>3.57</v>
      </c>
      <c r="V122" t="n">
        <v>5.746</v>
      </c>
      <c r="W122" t="n">
        <v>24.668</v>
      </c>
      <c r="X122" t="n">
        <v>72.66200000000001</v>
      </c>
      <c r="Y122" t="n">
        <v>51.414</v>
      </c>
      <c r="Z122" t="n">
        <v>68.205</v>
      </c>
      <c r="AA122" t="n">
        <v>55.573</v>
      </c>
      <c r="AB122" t="n">
        <v>46.333</v>
      </c>
      <c r="AC122" t="n">
        <v>18.509</v>
      </c>
      <c r="AD122" t="n">
        <v>19.6</v>
      </c>
      <c r="AE122" t="n">
        <v>31.448</v>
      </c>
      <c r="AF122" t="n">
        <v>28.994</v>
      </c>
      <c r="AG122" t="n">
        <v>35.698</v>
      </c>
      <c r="AH122" t="n">
        <v>119.364</v>
      </c>
      <c r="AI122" t="n">
        <v>158.203</v>
      </c>
      <c r="AJ122" t="n">
        <v>150.622</v>
      </c>
      <c r="AK122" t="n">
        <v>111.121</v>
      </c>
      <c r="AL122" t="n">
        <v>99.73</v>
      </c>
      <c r="AM122" t="n">
        <v>93.68300000000001</v>
      </c>
      <c r="AN122" t="n">
        <v>67.357</v>
      </c>
      <c r="AO122" t="n">
        <v>88.68000000000001</v>
      </c>
      <c r="AP122" t="n">
        <v>98.09</v>
      </c>
      <c r="AQ122" t="n">
        <v>92.93000000000001</v>
      </c>
      <c r="AR122" t="n">
        <v>186.014</v>
      </c>
      <c r="AS122" t="n">
        <v>230.515</v>
      </c>
      <c r="AT122" t="n">
        <v>161.365</v>
      </c>
      <c r="AU122" t="n">
        <v>252.226</v>
      </c>
      <c r="AV122" t="n">
        <v>234.043</v>
      </c>
      <c r="AW122" t="n">
        <v>430.604</v>
      </c>
      <c r="AX122" t="n">
        <v>536.607</v>
      </c>
      <c r="AY122" t="n">
        <v>440.728</v>
      </c>
      <c r="AZ122" t="n">
        <v>471.393</v>
      </c>
      <c r="BA122" t="n">
        <v>472.63</v>
      </c>
      <c r="BB122" t="n">
        <v>466.073</v>
      </c>
      <c r="BC122" t="n">
        <v>380.671</v>
      </c>
      <c r="BD122" t="n">
        <v>1037.552</v>
      </c>
      <c r="BE122" t="n">
        <v>1326.481</v>
      </c>
      <c r="BF122" t="n">
        <v>864.321</v>
      </c>
      <c r="BG122" t="n">
        <v>577.2569999999999</v>
      </c>
      <c r="BH122" t="n">
        <v>528.1420000000001</v>
      </c>
      <c r="BI122" t="n">
        <v>369.171</v>
      </c>
      <c r="BJ122" t="n">
        <v>402.492</v>
      </c>
      <c r="BK122" t="n">
        <v>365.208</v>
      </c>
      <c r="BL122" t="n">
        <v>402.977</v>
      </c>
      <c r="BM122" t="n">
        <v>366.479</v>
      </c>
      <c r="BN122" t="n">
        <v>293.945</v>
      </c>
      <c r="BO122" t="n">
        <v>427.927</v>
      </c>
      <c r="BP122" t="n">
        <v>574.003</v>
      </c>
      <c r="BQ122" t="n">
        <v>542.492</v>
      </c>
      <c r="BR122" t="n">
        <v>675.965</v>
      </c>
      <c r="BS122" t="n">
        <v>583.749</v>
      </c>
      <c r="BT122" t="n">
        <v>563.859</v>
      </c>
      <c r="BU122" t="n">
        <v>488.748</v>
      </c>
      <c r="BV122" t="n">
        <v>488.748</v>
      </c>
    </row>
    <row r="123">
      <c r="A123" t="inlineStr">
        <is>
          <t>Arnoglossus laterna</t>
        </is>
      </c>
      <c r="B123" t="inlineStr">
        <is>
          <t>Mediterranean scaldfish</t>
        </is>
      </c>
      <c r="C123" t="inlineStr">
        <is>
          <t>Small to medium flatfishes (&lt;90 cm)</t>
        </is>
      </c>
      <c r="D123" t="inlineStr">
        <is>
          <t>Flatfishes</t>
        </is>
      </c>
      <c r="E123" t="n">
        <v>101.954</v>
      </c>
      <c r="F123" t="n">
        <v>97.17700000000001</v>
      </c>
      <c r="G123" t="n">
        <v>102.041</v>
      </c>
      <c r="H123" t="n">
        <v>117.958</v>
      </c>
      <c r="I123" t="n">
        <v>102.962</v>
      </c>
      <c r="J123" t="n">
        <v>89.89100000000001</v>
      </c>
      <c r="K123" t="n">
        <v>98.33499999999999</v>
      </c>
      <c r="L123" t="n">
        <v>113.274</v>
      </c>
      <c r="M123" t="n">
        <v>122.561</v>
      </c>
      <c r="N123" t="n">
        <v>125.582</v>
      </c>
      <c r="O123" t="n">
        <v>144.628</v>
      </c>
      <c r="P123" t="n">
        <v>170.684</v>
      </c>
      <c r="Q123" t="n">
        <v>200.927</v>
      </c>
      <c r="R123" t="n">
        <v>203.523</v>
      </c>
      <c r="S123" t="n">
        <v>182.764</v>
      </c>
      <c r="T123" t="n">
        <v>199.267</v>
      </c>
      <c r="U123" t="n">
        <v>276.446</v>
      </c>
      <c r="V123" t="n">
        <v>193.866</v>
      </c>
      <c r="W123" t="n">
        <v>283.829</v>
      </c>
      <c r="X123" t="n">
        <v>334.59</v>
      </c>
      <c r="Y123" t="n">
        <v>339.736</v>
      </c>
      <c r="Z123" t="n">
        <v>342.877</v>
      </c>
      <c r="AA123" t="n">
        <v>378.059</v>
      </c>
      <c r="AB123" t="n">
        <v>403.369</v>
      </c>
      <c r="AC123" t="n">
        <v>377.23</v>
      </c>
      <c r="AD123" t="n">
        <v>359.113</v>
      </c>
      <c r="AE123" t="n">
        <v>311.661</v>
      </c>
      <c r="AF123" t="n">
        <v>292.479</v>
      </c>
      <c r="AG123" t="n">
        <v>195.563</v>
      </c>
      <c r="AH123" t="n">
        <v>253.601</v>
      </c>
      <c r="AI123" t="n">
        <v>286.273</v>
      </c>
      <c r="AJ123" t="n">
        <v>300.142</v>
      </c>
      <c r="AK123" t="n">
        <v>391.382</v>
      </c>
      <c r="AL123" t="n">
        <v>383.676</v>
      </c>
      <c r="AM123" t="n">
        <v>417.623</v>
      </c>
      <c r="AN123" t="n">
        <v>460.565</v>
      </c>
      <c r="AO123" t="n">
        <v>432.622</v>
      </c>
      <c r="AP123" t="n">
        <v>407.226</v>
      </c>
      <c r="AQ123" t="n">
        <v>406.502</v>
      </c>
      <c r="AR123" t="n">
        <v>435.827</v>
      </c>
      <c r="AS123" t="n">
        <v>430.574</v>
      </c>
      <c r="AT123" t="n">
        <v>389.504</v>
      </c>
      <c r="AU123" t="n">
        <v>306.796</v>
      </c>
      <c r="AV123" t="n">
        <v>302.465</v>
      </c>
      <c r="AW123" t="n">
        <v>312.407</v>
      </c>
      <c r="AX123" t="n">
        <v>283.232</v>
      </c>
      <c r="AY123" t="n">
        <v>217.602</v>
      </c>
      <c r="AZ123" t="n">
        <v>189.263</v>
      </c>
      <c r="BA123" t="n">
        <v>194.021</v>
      </c>
      <c r="BB123" t="n">
        <v>234.045</v>
      </c>
      <c r="BC123" t="n">
        <v>213.787</v>
      </c>
      <c r="BD123" t="n">
        <v>203.509</v>
      </c>
      <c r="BE123" t="n">
        <v>174.729</v>
      </c>
      <c r="BF123" t="n">
        <v>169.254</v>
      </c>
      <c r="BG123" t="n">
        <v>150.611</v>
      </c>
      <c r="BH123" t="n">
        <v>141.968</v>
      </c>
      <c r="BI123" t="n">
        <v>133.968</v>
      </c>
      <c r="BJ123" t="n">
        <v>134.937</v>
      </c>
      <c r="BK123" t="n">
        <v>128.343</v>
      </c>
      <c r="BL123" t="n">
        <v>147.218</v>
      </c>
      <c r="BM123" t="n">
        <v>169.603</v>
      </c>
      <c r="BN123" t="n">
        <v>158.631</v>
      </c>
      <c r="BO123" t="n">
        <v>174.861</v>
      </c>
      <c r="BP123" t="n">
        <v>181.26</v>
      </c>
      <c r="BQ123" t="n">
        <v>156.894</v>
      </c>
      <c r="BR123" t="n">
        <v>176.899</v>
      </c>
      <c r="BS123" t="n">
        <v>189.412</v>
      </c>
      <c r="BT123" t="n">
        <v>89.116</v>
      </c>
      <c r="BU123" t="n">
        <v>129.588</v>
      </c>
      <c r="BV123" t="n">
        <v>103.128</v>
      </c>
    </row>
    <row r="124">
      <c r="A124" t="inlineStr">
        <is>
          <t>Salmo trutta</t>
        </is>
      </c>
      <c r="B124" t="inlineStr">
        <is>
          <t>Sea trout</t>
        </is>
      </c>
      <c r="C124" t="inlineStr">
        <is>
          <t>Large pelagics (&gt;=90 cm)</t>
        </is>
      </c>
      <c r="D124" t="inlineStr">
        <is>
          <t>Salmon, smelts, etc</t>
        </is>
      </c>
      <c r="E124" t="n">
        <v>92.29900000000001</v>
      </c>
      <c r="F124" t="n">
        <v>95.432</v>
      </c>
      <c r="G124" t="n">
        <v>88.121</v>
      </c>
      <c r="H124" t="n">
        <v>97.383</v>
      </c>
      <c r="I124" t="n">
        <v>108.839</v>
      </c>
      <c r="J124" t="n">
        <v>119.903</v>
      </c>
      <c r="K124" t="n">
        <v>115.906</v>
      </c>
      <c r="L124" t="n">
        <v>111.429</v>
      </c>
      <c r="M124" t="n">
        <v>133.854</v>
      </c>
      <c r="N124" t="n">
        <v>309.486</v>
      </c>
      <c r="O124" t="n">
        <v>308.92</v>
      </c>
      <c r="P124" t="n">
        <v>297.386</v>
      </c>
      <c r="Q124" t="n">
        <v>380.374</v>
      </c>
      <c r="R124" t="n">
        <v>277.976</v>
      </c>
      <c r="S124" t="n">
        <v>358.827</v>
      </c>
      <c r="T124" t="n">
        <v>371.075</v>
      </c>
      <c r="U124" t="n">
        <v>302.464</v>
      </c>
      <c r="V124" t="n">
        <v>418.995</v>
      </c>
      <c r="W124" t="n">
        <v>363.627</v>
      </c>
      <c r="X124" t="n">
        <v>289.228</v>
      </c>
      <c r="Y124" t="n">
        <v>332.826</v>
      </c>
      <c r="Z124" t="n">
        <v>326.333</v>
      </c>
      <c r="AA124" t="n">
        <v>227.711</v>
      </c>
      <c r="AB124" t="n">
        <v>309.528</v>
      </c>
      <c r="AC124" t="n">
        <v>237.608</v>
      </c>
      <c r="AD124" t="n">
        <v>229.611</v>
      </c>
      <c r="AE124" t="n">
        <v>140.793</v>
      </c>
      <c r="AF124" t="n">
        <v>154.324</v>
      </c>
      <c r="AG124" t="n">
        <v>154.725</v>
      </c>
      <c r="AH124" t="n">
        <v>167.28</v>
      </c>
      <c r="AI124" t="n">
        <v>176.024</v>
      </c>
      <c r="AJ124" t="n">
        <v>194.358</v>
      </c>
      <c r="AK124" t="n">
        <v>194.641</v>
      </c>
      <c r="AL124" t="n">
        <v>297.232</v>
      </c>
      <c r="AM124" t="n">
        <v>301.007</v>
      </c>
      <c r="AN124" t="n">
        <v>283.262</v>
      </c>
      <c r="AO124" t="n">
        <v>175.68</v>
      </c>
      <c r="AP124" t="n">
        <v>182.245</v>
      </c>
      <c r="AQ124" t="n">
        <v>183.851</v>
      </c>
      <c r="AR124" t="n">
        <v>189.866</v>
      </c>
      <c r="AS124" t="n">
        <v>191.712</v>
      </c>
      <c r="AT124" t="n">
        <v>188.955</v>
      </c>
      <c r="AU124" t="n">
        <v>194.109</v>
      </c>
      <c r="AV124" t="n">
        <v>201.215</v>
      </c>
      <c r="AW124" t="n">
        <v>195.054</v>
      </c>
      <c r="AX124" t="n">
        <v>206.047</v>
      </c>
      <c r="AY124" t="n">
        <v>208.579</v>
      </c>
      <c r="AZ124" t="n">
        <v>199.076</v>
      </c>
      <c r="BA124" t="n">
        <v>206.082</v>
      </c>
      <c r="BB124" t="n">
        <v>204.956</v>
      </c>
      <c r="BC124" t="n">
        <v>221.229</v>
      </c>
      <c r="BD124" t="n">
        <v>212.913</v>
      </c>
      <c r="BE124" t="n">
        <v>210.947</v>
      </c>
      <c r="BF124" t="n">
        <v>206.099</v>
      </c>
      <c r="BG124" t="n">
        <v>212.439</v>
      </c>
      <c r="BH124" t="n">
        <v>201.398</v>
      </c>
      <c r="BI124" t="n">
        <v>213.796</v>
      </c>
      <c r="BJ124" t="n">
        <v>209.791</v>
      </c>
      <c r="BK124" t="n">
        <v>205.761</v>
      </c>
      <c r="BL124" t="n">
        <v>202.177</v>
      </c>
      <c r="BM124" t="n">
        <v>202.217</v>
      </c>
      <c r="BN124" t="n">
        <v>181.86</v>
      </c>
      <c r="BO124" t="n">
        <v>189.968</v>
      </c>
      <c r="BP124" t="n">
        <v>197.887</v>
      </c>
      <c r="BQ124" t="n">
        <v>239.15</v>
      </c>
      <c r="BR124" t="n">
        <v>213.715</v>
      </c>
      <c r="BS124" t="n">
        <v>194.532</v>
      </c>
      <c r="BT124" t="n">
        <v>205.142</v>
      </c>
      <c r="BU124" t="n">
        <v>188.578</v>
      </c>
      <c r="BV124" t="n">
        <v>190.014</v>
      </c>
    </row>
    <row r="125">
      <c r="A125" t="inlineStr">
        <is>
          <t>Zoarces viviparus</t>
        </is>
      </c>
      <c r="B125" t="inlineStr">
        <is>
          <t>Eelpout</t>
        </is>
      </c>
      <c r="C125" t="inlineStr">
        <is>
          <t>Medium demersals (30 - 89 cm)</t>
        </is>
      </c>
      <c r="D125" t="inlineStr">
        <is>
          <t>Perch-likes</t>
        </is>
      </c>
      <c r="E125" t="n">
        <v>81.849</v>
      </c>
      <c r="F125" t="n">
        <v>78.018</v>
      </c>
      <c r="G125" t="n">
        <v>81.92</v>
      </c>
      <c r="H125" t="n">
        <v>94.699</v>
      </c>
      <c r="I125" t="n">
        <v>82.65300000000001</v>
      </c>
      <c r="J125" t="n">
        <v>72.16500000000001</v>
      </c>
      <c r="K125" t="n">
        <v>78.946</v>
      </c>
      <c r="L125" t="n">
        <v>90.94</v>
      </c>
      <c r="M125" t="n">
        <v>98.395</v>
      </c>
      <c r="N125" t="n">
        <v>100.824</v>
      </c>
      <c r="O125" t="n">
        <v>116.12</v>
      </c>
      <c r="P125" t="n">
        <v>137.041</v>
      </c>
      <c r="Q125" t="n">
        <v>161.322</v>
      </c>
      <c r="R125" t="n">
        <v>163.427</v>
      </c>
      <c r="S125" t="n">
        <v>146.738</v>
      </c>
      <c r="T125" t="n">
        <v>159.977</v>
      </c>
      <c r="U125" t="n">
        <v>221.898</v>
      </c>
      <c r="V125" t="n">
        <v>155.626</v>
      </c>
      <c r="W125" t="n">
        <v>227.881</v>
      </c>
      <c r="X125" t="n">
        <v>268.66</v>
      </c>
      <c r="Y125" t="n">
        <v>272.795</v>
      </c>
      <c r="Z125" t="n">
        <v>275.32</v>
      </c>
      <c r="AA125" t="n">
        <v>303.594</v>
      </c>
      <c r="AB125" t="n">
        <v>323.917</v>
      </c>
      <c r="AC125" t="n">
        <v>302.95</v>
      </c>
      <c r="AD125" t="n">
        <v>288.404</v>
      </c>
      <c r="AE125" t="n">
        <v>250.294</v>
      </c>
      <c r="AF125" t="n">
        <v>238.816</v>
      </c>
      <c r="AG125" t="n">
        <v>160.617</v>
      </c>
      <c r="AH125" t="n">
        <v>208.304</v>
      </c>
      <c r="AI125" t="n">
        <v>233.83</v>
      </c>
      <c r="AJ125" t="n">
        <v>245.705</v>
      </c>
      <c r="AK125" t="n">
        <v>367.578</v>
      </c>
      <c r="AL125" t="n">
        <v>339.113</v>
      </c>
      <c r="AM125" t="n">
        <v>375.308</v>
      </c>
      <c r="AN125" t="n">
        <v>407.668</v>
      </c>
      <c r="AO125" t="n">
        <v>387.145</v>
      </c>
      <c r="AP125" t="n">
        <v>361.056</v>
      </c>
      <c r="AQ125" t="n">
        <v>350.489</v>
      </c>
      <c r="AR125" t="n">
        <v>372.675</v>
      </c>
      <c r="AS125" t="n">
        <v>364.048</v>
      </c>
      <c r="AT125" t="n">
        <v>329.378</v>
      </c>
      <c r="AU125" t="n">
        <v>257.166</v>
      </c>
      <c r="AV125" t="n">
        <v>251.327</v>
      </c>
      <c r="AW125" t="n">
        <v>255.8</v>
      </c>
      <c r="AX125" t="n">
        <v>228.463</v>
      </c>
      <c r="AY125" t="n">
        <v>176.386</v>
      </c>
      <c r="AZ125" t="n">
        <v>156.854</v>
      </c>
      <c r="BA125" t="n">
        <v>158.112</v>
      </c>
      <c r="BB125" t="n">
        <v>192.197</v>
      </c>
      <c r="BC125" t="n">
        <v>173.668</v>
      </c>
      <c r="BD125" t="n">
        <v>166.695</v>
      </c>
      <c r="BE125" t="n">
        <v>143.013</v>
      </c>
      <c r="BF125" t="n">
        <v>138.886</v>
      </c>
      <c r="BG125" t="n">
        <v>122.94</v>
      </c>
      <c r="BH125" t="n">
        <v>116.149</v>
      </c>
      <c r="BI125" t="n">
        <v>109.51</v>
      </c>
      <c r="BJ125" t="n">
        <v>109.113</v>
      </c>
      <c r="BK125" t="n">
        <v>104.206</v>
      </c>
      <c r="BL125" t="n">
        <v>119.984</v>
      </c>
      <c r="BM125" t="n">
        <v>138.129</v>
      </c>
      <c r="BN125" t="n">
        <v>128.536</v>
      </c>
      <c r="BO125" t="n">
        <v>142.965</v>
      </c>
      <c r="BP125" t="n">
        <v>146.64</v>
      </c>
      <c r="BQ125" t="n">
        <v>126.314</v>
      </c>
      <c r="BR125" t="n">
        <v>143.019</v>
      </c>
      <c r="BS125" t="n">
        <v>152.741</v>
      </c>
      <c r="BT125" t="n">
        <v>71.571</v>
      </c>
      <c r="BU125" t="n">
        <v>104.362</v>
      </c>
      <c r="BV125" t="n">
        <v>82.81</v>
      </c>
    </row>
    <row r="126">
      <c r="A126" t="inlineStr">
        <is>
          <t>Centroscymnus coelolepis</t>
        </is>
      </c>
      <c r="B126" t="inlineStr">
        <is>
          <t>Portuguese dogfish</t>
        </is>
      </c>
      <c r="C126" t="inlineStr">
        <is>
          <t>Large sharks (&gt;=90 cm)</t>
        </is>
      </c>
      <c r="D126" t="inlineStr">
        <is>
          <t>Sharks &amp; rays</t>
        </is>
      </c>
      <c r="E126" t="n">
        <v>353.772</v>
      </c>
      <c r="F126" t="n">
        <v>569.353</v>
      </c>
      <c r="G126" t="n">
        <v>642.662</v>
      </c>
      <c r="H126" t="n">
        <v>505.123</v>
      </c>
      <c r="I126" t="n">
        <v>460.137</v>
      </c>
      <c r="J126" t="n">
        <v>512.577</v>
      </c>
      <c r="K126" t="n">
        <v>500.656</v>
      </c>
      <c r="L126" t="n">
        <v>488.208</v>
      </c>
      <c r="M126" t="n">
        <v>443.252</v>
      </c>
      <c r="N126" t="n">
        <v>399.253</v>
      </c>
      <c r="O126" t="n">
        <v>359.343</v>
      </c>
      <c r="P126" t="n">
        <v>282.89</v>
      </c>
      <c r="Q126" t="n">
        <v>231.585</v>
      </c>
      <c r="R126" t="n">
        <v>200.433</v>
      </c>
      <c r="S126" t="n">
        <v>214.644</v>
      </c>
      <c r="T126" t="n">
        <v>499.534</v>
      </c>
      <c r="U126" t="n">
        <v>562.333</v>
      </c>
      <c r="V126" t="n">
        <v>647.967</v>
      </c>
      <c r="W126" t="n">
        <v>650.821</v>
      </c>
      <c r="X126" t="n">
        <v>590.877</v>
      </c>
      <c r="Y126" t="n">
        <v>608.004</v>
      </c>
      <c r="Z126" t="n">
        <v>767.872</v>
      </c>
      <c r="AA126" t="n">
        <v>807.836</v>
      </c>
      <c r="AB126" t="n">
        <v>19.982</v>
      </c>
      <c r="AC126" t="n">
        <v>816.399</v>
      </c>
      <c r="AD126" t="n">
        <v>926.504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0.25</v>
      </c>
      <c r="AZ126" t="n">
        <v>1.845</v>
      </c>
      <c r="BA126" t="n">
        <v>7.945</v>
      </c>
      <c r="BB126" t="n">
        <v>6.966</v>
      </c>
      <c r="BC126" t="n">
        <v>48.857</v>
      </c>
      <c r="BD126" t="n">
        <v>59.299</v>
      </c>
      <c r="BE126" t="n">
        <v>103.689</v>
      </c>
      <c r="BF126" t="n">
        <v>122.696</v>
      </c>
      <c r="BG126" t="n">
        <v>75.70099999999999</v>
      </c>
      <c r="BH126" t="n">
        <v>63.548</v>
      </c>
      <c r="BI126" t="n">
        <v>18.265</v>
      </c>
      <c r="BJ126" t="n">
        <v>9.148</v>
      </c>
      <c r="BK126" t="n">
        <v>4.517</v>
      </c>
      <c r="BL126" t="n">
        <v>1.571</v>
      </c>
      <c r="BM126" t="n">
        <v>2.259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</row>
    <row r="127">
      <c r="A127" t="inlineStr">
        <is>
          <t>Leucoraja naevus</t>
        </is>
      </c>
      <c r="B127" t="inlineStr">
        <is>
          <t>Cuckoo ray</t>
        </is>
      </c>
      <c r="C127" t="inlineStr">
        <is>
          <t>Small to medium rays (&lt;90 cm)</t>
        </is>
      </c>
      <c r="D127" t="inlineStr">
        <is>
          <t>Sharks &amp; rays</t>
        </is>
      </c>
      <c r="E127" t="n">
        <v>505.036</v>
      </c>
      <c r="F127" t="n">
        <v>505.516</v>
      </c>
      <c r="G127" t="n">
        <v>456.207</v>
      </c>
      <c r="H127" t="n">
        <v>466.74</v>
      </c>
      <c r="I127" t="n">
        <v>448.234</v>
      </c>
      <c r="J127" t="n">
        <v>441.407</v>
      </c>
      <c r="K127" t="n">
        <v>443.84</v>
      </c>
      <c r="L127" t="n">
        <v>449.979</v>
      </c>
      <c r="M127" t="n">
        <v>458.569</v>
      </c>
      <c r="N127" t="n">
        <v>417.777</v>
      </c>
      <c r="O127" t="n">
        <v>366.666</v>
      </c>
      <c r="P127" t="n">
        <v>358.857</v>
      </c>
      <c r="Q127" t="n">
        <v>343.964</v>
      </c>
      <c r="R127" t="n">
        <v>359.474</v>
      </c>
      <c r="S127" t="n">
        <v>309.699</v>
      </c>
      <c r="T127" t="n">
        <v>527.749</v>
      </c>
      <c r="U127" t="n">
        <v>470.973</v>
      </c>
      <c r="V127" t="n">
        <v>452.057</v>
      </c>
      <c r="W127" t="n">
        <v>458.486</v>
      </c>
      <c r="X127" t="n">
        <v>429.41</v>
      </c>
      <c r="Y127" t="n">
        <v>368.308</v>
      </c>
      <c r="Z127" t="n">
        <v>391.525</v>
      </c>
      <c r="AA127" t="n">
        <v>368.316</v>
      </c>
      <c r="AB127" t="n">
        <v>315.707</v>
      </c>
      <c r="AC127" t="n">
        <v>277.65</v>
      </c>
      <c r="AD127" t="n">
        <v>279.22</v>
      </c>
      <c r="AE127" t="n">
        <v>0.19</v>
      </c>
      <c r="AF127" t="n">
        <v>0.186</v>
      </c>
      <c r="AG127" t="n">
        <v>0.243</v>
      </c>
      <c r="AH127" t="n">
        <v>12.282</v>
      </c>
      <c r="AI127" t="n">
        <v>1.319</v>
      </c>
      <c r="AJ127" t="n">
        <v>1.239</v>
      </c>
      <c r="AK127" t="n">
        <v>3.94</v>
      </c>
      <c r="AL127" t="n">
        <v>47.363</v>
      </c>
      <c r="AM127" t="n">
        <v>96.26000000000001</v>
      </c>
      <c r="AN127" t="n">
        <v>56.465</v>
      </c>
      <c r="AO127" t="n">
        <v>50.779</v>
      </c>
      <c r="AP127" t="n">
        <v>51.403</v>
      </c>
      <c r="AQ127" t="n">
        <v>35.025</v>
      </c>
      <c r="AR127" t="n">
        <v>19.681</v>
      </c>
      <c r="AS127" t="n">
        <v>21.737</v>
      </c>
      <c r="AT127" t="n">
        <v>12.171</v>
      </c>
      <c r="AU127" t="n">
        <v>14.578</v>
      </c>
      <c r="AV127" t="n">
        <v>9.98</v>
      </c>
      <c r="AW127" t="n">
        <v>7.521</v>
      </c>
      <c r="AX127" t="n">
        <v>7.898</v>
      </c>
      <c r="AY127" t="n">
        <v>5.808</v>
      </c>
      <c r="AZ127" t="n">
        <v>4.697</v>
      </c>
      <c r="BA127" t="n">
        <v>4.128</v>
      </c>
      <c r="BB127" t="n">
        <v>4.563</v>
      </c>
      <c r="BC127" t="n">
        <v>3.321</v>
      </c>
      <c r="BD127" t="n">
        <v>3.133</v>
      </c>
      <c r="BE127" t="n">
        <v>2.33</v>
      </c>
      <c r="BF127" t="n">
        <v>3.231</v>
      </c>
      <c r="BG127" t="n">
        <v>4.195</v>
      </c>
      <c r="BH127" t="n">
        <v>2.905</v>
      </c>
      <c r="BI127" t="n">
        <v>3.852</v>
      </c>
      <c r="BJ127" t="n">
        <v>4.353</v>
      </c>
      <c r="BK127" t="n">
        <v>6.429</v>
      </c>
      <c r="BL127" t="n">
        <v>11.846</v>
      </c>
      <c r="BM127" t="n">
        <v>90.431</v>
      </c>
      <c r="BN127" t="n">
        <v>149.841</v>
      </c>
      <c r="BO127" t="n">
        <v>129.914</v>
      </c>
      <c r="BP127" t="n">
        <v>132.495</v>
      </c>
      <c r="BQ127" t="n">
        <v>164.296</v>
      </c>
      <c r="BR127" t="n">
        <v>176.076</v>
      </c>
      <c r="BS127" t="n">
        <v>174.285</v>
      </c>
      <c r="BT127" t="n">
        <v>168.102</v>
      </c>
      <c r="BU127" t="n">
        <v>183.52</v>
      </c>
      <c r="BV127" t="n">
        <v>257.572</v>
      </c>
    </row>
    <row r="128">
      <c r="A128" t="inlineStr">
        <is>
          <t>Trisopterus minutus</t>
        </is>
      </c>
      <c r="B128" t="inlineStr">
        <is>
          <t>Poor cod</t>
        </is>
      </c>
      <c r="C128" t="inlineStr">
        <is>
          <t>Medium benthopelagics (30 - 89 cm)</t>
        </is>
      </c>
      <c r="D128" t="inlineStr">
        <is>
          <t>Cod-likes</t>
        </is>
      </c>
      <c r="E128" t="n">
        <v>0.01</v>
      </c>
      <c r="F128" t="n">
        <v>0.897</v>
      </c>
      <c r="G128" t="n">
        <v>0.589</v>
      </c>
      <c r="H128" t="n">
        <v>0.841</v>
      </c>
      <c r="I128" t="n">
        <v>0.5639999999999999</v>
      </c>
      <c r="J128" t="n">
        <v>20.046</v>
      </c>
      <c r="K128" t="n">
        <v>19.507</v>
      </c>
      <c r="L128" t="n">
        <v>25.759</v>
      </c>
      <c r="M128" t="n">
        <v>19.064</v>
      </c>
      <c r="N128" t="n">
        <v>27.734</v>
      </c>
      <c r="O128" t="n">
        <v>587.117</v>
      </c>
      <c r="P128" t="n">
        <v>37.344</v>
      </c>
      <c r="Q128" t="n">
        <v>32.854</v>
      </c>
      <c r="R128" t="n">
        <v>34.879</v>
      </c>
      <c r="S128" t="n">
        <v>48.388</v>
      </c>
      <c r="T128" t="n">
        <v>47.16</v>
      </c>
      <c r="U128" t="n">
        <v>82.56100000000001</v>
      </c>
      <c r="V128" t="n">
        <v>69.776</v>
      </c>
      <c r="W128" t="n">
        <v>69.85299999999999</v>
      </c>
      <c r="X128" t="n">
        <v>67.789</v>
      </c>
      <c r="Y128" t="n">
        <v>63.808</v>
      </c>
      <c r="Z128" t="n">
        <v>75.009</v>
      </c>
      <c r="AA128" t="n">
        <v>82.845</v>
      </c>
      <c r="AB128" t="n">
        <v>77.148</v>
      </c>
      <c r="AC128" t="n">
        <v>73.724</v>
      </c>
      <c r="AD128" t="n">
        <v>64.33799999999999</v>
      </c>
      <c r="AE128" t="n">
        <v>109.053</v>
      </c>
      <c r="AF128" t="n">
        <v>93.2</v>
      </c>
      <c r="AG128" t="n">
        <v>93.254</v>
      </c>
      <c r="AH128" t="n">
        <v>84.616</v>
      </c>
      <c r="AI128" t="n">
        <v>82.176</v>
      </c>
      <c r="AJ128" t="n">
        <v>87.97199999999999</v>
      </c>
      <c r="AK128" t="n">
        <v>115.56</v>
      </c>
      <c r="AL128" t="n">
        <v>121.177</v>
      </c>
      <c r="AM128" t="n">
        <v>51.308</v>
      </c>
      <c r="AN128" t="n">
        <v>211.012</v>
      </c>
      <c r="AO128" t="n">
        <v>34.716</v>
      </c>
      <c r="AP128" t="n">
        <v>344.678</v>
      </c>
      <c r="AQ128" t="n">
        <v>319.441</v>
      </c>
      <c r="AR128" t="n">
        <v>183.007</v>
      </c>
      <c r="AS128" t="n">
        <v>340.785</v>
      </c>
      <c r="AT128" t="n">
        <v>318.928</v>
      </c>
      <c r="AU128" t="n">
        <v>366.996</v>
      </c>
      <c r="AV128" t="n">
        <v>205.916</v>
      </c>
      <c r="AW128" t="n">
        <v>347.848</v>
      </c>
      <c r="AX128" t="n">
        <v>260.101</v>
      </c>
      <c r="AY128" t="n">
        <v>273.96</v>
      </c>
      <c r="AZ128" t="n">
        <v>281.363</v>
      </c>
      <c r="BA128" t="n">
        <v>236.767</v>
      </c>
      <c r="BB128" t="n">
        <v>278.557</v>
      </c>
      <c r="BC128" t="n">
        <v>431.624</v>
      </c>
      <c r="BD128" t="n">
        <v>262.486</v>
      </c>
      <c r="BE128" t="n">
        <v>274.722</v>
      </c>
      <c r="BF128" t="n">
        <v>262.521</v>
      </c>
      <c r="BG128" t="n">
        <v>317.393</v>
      </c>
      <c r="BH128" t="n">
        <v>287.896</v>
      </c>
      <c r="BI128" t="n">
        <v>441.093</v>
      </c>
      <c r="BJ128" t="n">
        <v>446.889</v>
      </c>
      <c r="BK128" t="n">
        <v>413.504</v>
      </c>
      <c r="BL128" t="n">
        <v>461.5</v>
      </c>
      <c r="BM128" t="n">
        <v>395</v>
      </c>
      <c r="BN128" t="n">
        <v>300.899</v>
      </c>
      <c r="BO128" t="n">
        <v>241.558</v>
      </c>
      <c r="BP128" t="n">
        <v>189.899</v>
      </c>
      <c r="BQ128" t="n">
        <v>241.586</v>
      </c>
      <c r="BR128" t="n">
        <v>154.982</v>
      </c>
      <c r="BS128" t="n">
        <v>209</v>
      </c>
      <c r="BT128" t="n">
        <v>257.277</v>
      </c>
      <c r="BU128" t="n">
        <v>442.675</v>
      </c>
      <c r="BV128" t="n">
        <v>183.266</v>
      </c>
    </row>
    <row r="129">
      <c r="A129" t="inlineStr">
        <is>
          <t>Chondrichthyes</t>
        </is>
      </c>
      <c r="B129" t="inlineStr">
        <is>
          <t>Sharks, rays, chimaeras</t>
        </is>
      </c>
      <c r="C129" t="inlineStr">
        <is>
          <t>Large sharks (&gt;=90 cm)</t>
        </is>
      </c>
      <c r="D129" t="inlineStr">
        <is>
          <t>Sharks &amp; rays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16.953</v>
      </c>
      <c r="Q129" t="n">
        <v>0</v>
      </c>
      <c r="R129" t="n">
        <v>0</v>
      </c>
      <c r="S129" t="n">
        <v>0.998</v>
      </c>
      <c r="T129" t="n">
        <v>0.997</v>
      </c>
      <c r="U129" t="n">
        <v>34.866</v>
      </c>
      <c r="V129" t="n">
        <v>3.993</v>
      </c>
      <c r="W129" t="n">
        <v>7.151</v>
      </c>
      <c r="X129" t="n">
        <v>0</v>
      </c>
      <c r="Y129" t="n">
        <v>0.997</v>
      </c>
      <c r="Z129" t="n">
        <v>19.996</v>
      </c>
      <c r="AA129" t="n">
        <v>0</v>
      </c>
      <c r="AB129" t="n">
        <v>3175.076</v>
      </c>
      <c r="AC129" t="n">
        <v>2375.378</v>
      </c>
      <c r="AD129" t="n">
        <v>2106.837</v>
      </c>
      <c r="AE129" t="n">
        <v>1841.473</v>
      </c>
      <c r="AF129" t="n">
        <v>1518.001</v>
      </c>
      <c r="AG129" t="n">
        <v>3.373</v>
      </c>
      <c r="AH129" t="n">
        <v>12.988</v>
      </c>
      <c r="AI129" t="n">
        <v>62.781</v>
      </c>
      <c r="AJ129" t="n">
        <v>17.988</v>
      </c>
      <c r="AK129" t="n">
        <v>16.24</v>
      </c>
      <c r="AL129" t="n">
        <v>6.504</v>
      </c>
      <c r="AM129" t="n">
        <v>5.504</v>
      </c>
      <c r="AN129" t="n">
        <v>3.52</v>
      </c>
      <c r="AO129" t="n">
        <v>5.252</v>
      </c>
      <c r="AP129" t="n">
        <v>5.005</v>
      </c>
      <c r="AQ129" t="n">
        <v>4.002</v>
      </c>
      <c r="AR129" t="n">
        <v>35.42</v>
      </c>
      <c r="AS129" t="n">
        <v>24.219</v>
      </c>
      <c r="AT129" t="n">
        <v>22.348</v>
      </c>
      <c r="AU129" t="n">
        <v>29.748</v>
      </c>
      <c r="AV129" t="n">
        <v>34.031</v>
      </c>
      <c r="AW129" t="n">
        <v>36.469</v>
      </c>
      <c r="AX129" t="n">
        <v>37.493</v>
      </c>
      <c r="AY129" t="n">
        <v>39.547</v>
      </c>
      <c r="AZ129" t="n">
        <v>111.984</v>
      </c>
      <c r="BA129" t="n">
        <v>29.389</v>
      </c>
      <c r="BB129" t="n">
        <v>291.061</v>
      </c>
      <c r="BC129" t="n">
        <v>27.072</v>
      </c>
      <c r="BD129" t="n">
        <v>28.711</v>
      </c>
      <c r="BE129" t="n">
        <v>18.06</v>
      </c>
      <c r="BF129" t="n">
        <v>18.594</v>
      </c>
      <c r="BG129" t="n">
        <v>17.129</v>
      </c>
      <c r="BH129" t="n">
        <v>11.031</v>
      </c>
      <c r="BI129" t="n">
        <v>12.408</v>
      </c>
      <c r="BJ129" t="n">
        <v>29.773</v>
      </c>
      <c r="BK129" t="n">
        <v>46.153</v>
      </c>
      <c r="BL129" t="n">
        <v>17.869</v>
      </c>
      <c r="BM129" t="n">
        <v>5.076</v>
      </c>
      <c r="BN129" t="n">
        <v>1.03</v>
      </c>
      <c r="BO129" t="n">
        <v>1</v>
      </c>
      <c r="BP129" t="n">
        <v>2</v>
      </c>
      <c r="BQ129" t="n">
        <v>0.03</v>
      </c>
      <c r="BR129" t="n">
        <v>0</v>
      </c>
      <c r="BS129" t="n">
        <v>0</v>
      </c>
      <c r="BT129" t="n">
        <v>0.269</v>
      </c>
      <c r="BU129" t="n">
        <v>1.408</v>
      </c>
      <c r="BV129" t="n">
        <v>0.526</v>
      </c>
    </row>
    <row r="130">
      <c r="A130" t="inlineStr">
        <is>
          <t>Macrourus berglax</t>
        </is>
      </c>
      <c r="B130" t="inlineStr">
        <is>
          <t>Roughhead grenadier</t>
        </is>
      </c>
      <c r="C130" t="inlineStr">
        <is>
          <t>Large benthopelagics (&gt;=90 cm)</t>
        </is>
      </c>
      <c r="D130" t="inlineStr">
        <is>
          <t>Cod-likes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0.022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343.965</v>
      </c>
      <c r="AS130" t="n">
        <v>830.599</v>
      </c>
      <c r="AT130" t="n">
        <v>1078.012</v>
      </c>
      <c r="AU130" t="n">
        <v>965.389</v>
      </c>
      <c r="AV130" t="n">
        <v>774.1369999999999</v>
      </c>
      <c r="AW130" t="n">
        <v>694.353</v>
      </c>
      <c r="AX130" t="n">
        <v>612.518</v>
      </c>
      <c r="AY130" t="n">
        <v>574.309</v>
      </c>
      <c r="AZ130" t="n">
        <v>507.35</v>
      </c>
      <c r="BA130" t="n">
        <v>434.301</v>
      </c>
      <c r="BB130" t="n">
        <v>599.403</v>
      </c>
      <c r="BC130" t="n">
        <v>635.501</v>
      </c>
      <c r="BD130" t="n">
        <v>485.098</v>
      </c>
      <c r="BE130" t="n">
        <v>442.04</v>
      </c>
      <c r="BF130" t="n">
        <v>289.924</v>
      </c>
      <c r="BG130" t="n">
        <v>266.72</v>
      </c>
      <c r="BH130" t="n">
        <v>230.499</v>
      </c>
      <c r="BI130" t="n">
        <v>151.178</v>
      </c>
      <c r="BJ130" t="n">
        <v>154.429</v>
      </c>
      <c r="BK130" t="n">
        <v>152.323</v>
      </c>
      <c r="BL130" t="n">
        <v>167.379</v>
      </c>
      <c r="BM130" t="n">
        <v>1202.74</v>
      </c>
      <c r="BN130" t="n">
        <v>0.08699999999999999</v>
      </c>
      <c r="BO130" t="n">
        <v>0.647</v>
      </c>
      <c r="BP130" t="n">
        <v>0.436</v>
      </c>
      <c r="BQ130" t="n">
        <v>1.065</v>
      </c>
      <c r="BR130" t="n">
        <v>0.291</v>
      </c>
      <c r="BS130" t="n">
        <v>0.132</v>
      </c>
      <c r="BT130" t="n">
        <v>0.412</v>
      </c>
      <c r="BU130" t="n">
        <v>1.225</v>
      </c>
      <c r="BV130" t="n">
        <v>1.272</v>
      </c>
    </row>
    <row r="131">
      <c r="A131" t="inlineStr">
        <is>
          <t>Malacostraca</t>
        </is>
      </c>
      <c r="B131" t="inlineStr">
        <is>
          <t>Lobsters, crabs, shrimps, krill</t>
        </is>
      </c>
      <c r="C131" t="inlineStr">
        <is>
          <t>Shrimps</t>
        </is>
      </c>
      <c r="D131" t="inlineStr">
        <is>
          <t>Crustaceans</t>
        </is>
      </c>
      <c r="E131" t="n">
        <v>0</v>
      </c>
      <c r="F131" t="n">
        <v>12.962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1706.917</v>
      </c>
      <c r="R131" t="n">
        <v>1710.71</v>
      </c>
      <c r="S131" t="n">
        <v>1745.657</v>
      </c>
      <c r="T131" t="n">
        <v>1558.045</v>
      </c>
      <c r="U131" t="n">
        <v>626.724</v>
      </c>
      <c r="V131" t="n">
        <v>1614.968</v>
      </c>
      <c r="W131" t="n">
        <v>1524.034</v>
      </c>
      <c r="X131" t="n">
        <v>680.648</v>
      </c>
      <c r="Y131" t="n">
        <v>0</v>
      </c>
      <c r="Z131" t="n">
        <v>27.924</v>
      </c>
      <c r="AA131" t="n">
        <v>118.696</v>
      </c>
      <c r="AB131" t="n">
        <v>0</v>
      </c>
      <c r="AC131" t="n">
        <v>0</v>
      </c>
      <c r="AD131" t="n">
        <v>0</v>
      </c>
      <c r="AE131" t="n">
        <v>0.999</v>
      </c>
      <c r="AF131" t="n">
        <v>2.997</v>
      </c>
      <c r="AG131" t="n">
        <v>0.999</v>
      </c>
      <c r="AH131" t="n">
        <v>0.25</v>
      </c>
      <c r="AI131" t="n">
        <v>3.242</v>
      </c>
      <c r="AJ131" t="n">
        <v>6.989</v>
      </c>
      <c r="AK131" t="n">
        <v>9.981</v>
      </c>
      <c r="AL131" t="n">
        <v>16.965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2.303</v>
      </c>
      <c r="BC131" t="n">
        <v>1.149</v>
      </c>
      <c r="BD131" t="n">
        <v>0</v>
      </c>
      <c r="BE131" t="n">
        <v>0</v>
      </c>
      <c r="BF131" t="n">
        <v>0</v>
      </c>
      <c r="BG131" t="n">
        <v>1.136</v>
      </c>
      <c r="BH131" t="n">
        <v>2.266</v>
      </c>
      <c r="BI131" t="n">
        <v>2.457</v>
      </c>
      <c r="BJ131" t="n">
        <v>1.127</v>
      </c>
      <c r="BK131" t="n">
        <v>1.14</v>
      </c>
      <c r="BL131" t="n">
        <v>0.016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0.394</v>
      </c>
      <c r="BV131" t="n">
        <v>0.254</v>
      </c>
    </row>
    <row r="132">
      <c r="A132" t="inlineStr">
        <is>
          <t>Raja brachyura</t>
        </is>
      </c>
      <c r="B132" t="inlineStr">
        <is>
          <t>Blonde ray</t>
        </is>
      </c>
      <c r="C132" t="inlineStr">
        <is>
          <t>Large rays (&gt;=90 cm)</t>
        </is>
      </c>
      <c r="D132" t="inlineStr">
        <is>
          <t>Sharks &amp; rays</t>
        </is>
      </c>
      <c r="E132" t="n">
        <v>446.436</v>
      </c>
      <c r="F132" t="n">
        <v>446.853</v>
      </c>
      <c r="G132" t="n">
        <v>403.267</v>
      </c>
      <c r="H132" t="n">
        <v>412.579</v>
      </c>
      <c r="I132" t="n">
        <v>396.218</v>
      </c>
      <c r="J132" t="n">
        <v>390.187</v>
      </c>
      <c r="K132" t="n">
        <v>392.338</v>
      </c>
      <c r="L132" t="n">
        <v>397.67</v>
      </c>
      <c r="M132" t="n">
        <v>405.358</v>
      </c>
      <c r="N132" t="n">
        <v>369.301</v>
      </c>
      <c r="O132" t="n">
        <v>324.121</v>
      </c>
      <c r="P132" t="n">
        <v>317.216</v>
      </c>
      <c r="Q132" t="n">
        <v>304.048</v>
      </c>
      <c r="R132" t="n">
        <v>317.755</v>
      </c>
      <c r="S132" t="n">
        <v>273.739</v>
      </c>
      <c r="T132" t="n">
        <v>466.479</v>
      </c>
      <c r="U132" t="n">
        <v>416.3</v>
      </c>
      <c r="V132" t="n">
        <v>399.574</v>
      </c>
      <c r="W132" t="n">
        <v>405.149</v>
      </c>
      <c r="X132" t="n">
        <v>379.13</v>
      </c>
      <c r="Y132" t="n">
        <v>325.234</v>
      </c>
      <c r="Z132" t="n">
        <v>345.678</v>
      </c>
      <c r="AA132" t="n">
        <v>325.234</v>
      </c>
      <c r="AB132" t="n">
        <v>278.772</v>
      </c>
      <c r="AC132" t="n">
        <v>245.32</v>
      </c>
      <c r="AD132" t="n">
        <v>246.713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76.176</v>
      </c>
      <c r="BL132" t="n">
        <v>104.027</v>
      </c>
      <c r="BM132" t="n">
        <v>78.08199999999999</v>
      </c>
      <c r="BN132" t="n">
        <v>86.742</v>
      </c>
      <c r="BO132" t="n">
        <v>204.968</v>
      </c>
      <c r="BP132" t="n">
        <v>206.552</v>
      </c>
      <c r="BQ132" t="n">
        <v>198.261</v>
      </c>
      <c r="BR132" t="n">
        <v>152.451</v>
      </c>
      <c r="BS132" t="n">
        <v>104.978</v>
      </c>
      <c r="BT132" t="n">
        <v>184.244</v>
      </c>
      <c r="BU132" t="n">
        <v>243.366</v>
      </c>
      <c r="BV132" t="n">
        <v>228.377</v>
      </c>
    </row>
    <row r="133">
      <c r="A133" t="inlineStr">
        <is>
          <t>Spisula solida</t>
        </is>
      </c>
      <c r="B133" t="inlineStr">
        <is>
          <t>Surf clam</t>
        </is>
      </c>
      <c r="C133" t="inlineStr">
        <is>
          <t>Other demersal invertebrates</t>
        </is>
      </c>
      <c r="D133" t="inlineStr">
        <is>
          <t>Molluscs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54.186</v>
      </c>
      <c r="BD133" t="n">
        <v>210.841</v>
      </c>
      <c r="BE133" t="n">
        <v>0.045</v>
      </c>
      <c r="BF133" t="n">
        <v>0.03</v>
      </c>
      <c r="BG133" t="n">
        <v>0.008999999999999999</v>
      </c>
      <c r="BH133" t="n">
        <v>30.564</v>
      </c>
      <c r="BI133" t="n">
        <v>5.218</v>
      </c>
      <c r="BJ133" t="n">
        <v>5.915</v>
      </c>
      <c r="BK133" t="n">
        <v>140.506</v>
      </c>
      <c r="BL133" t="n">
        <v>93.392</v>
      </c>
      <c r="BM133" t="n">
        <v>108.008</v>
      </c>
      <c r="BN133" t="n">
        <v>0</v>
      </c>
      <c r="BO133" t="n">
        <v>0</v>
      </c>
      <c r="BP133" t="n">
        <v>0</v>
      </c>
      <c r="BQ133" t="n">
        <v>181.461</v>
      </c>
      <c r="BR133" t="n">
        <v>261.459</v>
      </c>
      <c r="BS133" t="n">
        <v>353.928</v>
      </c>
      <c r="BT133" t="n">
        <v>937.52</v>
      </c>
      <c r="BU133" t="n">
        <v>2654.945</v>
      </c>
      <c r="BV133" t="n">
        <v>6187.091</v>
      </c>
    </row>
    <row r="134">
      <c r="A134" t="inlineStr">
        <is>
          <t>Aphanopus carbo</t>
        </is>
      </c>
      <c r="B134" t="inlineStr">
        <is>
          <t>Black scabbardfish</t>
        </is>
      </c>
      <c r="C134" t="inlineStr">
        <is>
          <t>Large benthopelagics (&gt;=90 cm)</t>
        </is>
      </c>
      <c r="D134" t="inlineStr">
        <is>
          <t>Perch-likes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23.59</v>
      </c>
      <c r="AS134" t="n">
        <v>209.013</v>
      </c>
      <c r="AT134" t="n">
        <v>409.435</v>
      </c>
      <c r="AU134" t="n">
        <v>646.391</v>
      </c>
      <c r="AV134" t="n">
        <v>460.074</v>
      </c>
      <c r="AW134" t="n">
        <v>333.709</v>
      </c>
      <c r="AX134" t="n">
        <v>295.746</v>
      </c>
      <c r="AY134" t="n">
        <v>365.661</v>
      </c>
      <c r="AZ134" t="n">
        <v>300.419</v>
      </c>
      <c r="BA134" t="n">
        <v>231.756</v>
      </c>
      <c r="BB134" t="n">
        <v>243.424</v>
      </c>
      <c r="BC134" t="n">
        <v>502.655</v>
      </c>
      <c r="BD134" t="n">
        <v>668.928</v>
      </c>
      <c r="BE134" t="n">
        <v>729.76</v>
      </c>
      <c r="BF134" t="n">
        <v>464.756</v>
      </c>
      <c r="BG134" t="n">
        <v>430.441</v>
      </c>
      <c r="BH134" t="n">
        <v>604.462</v>
      </c>
      <c r="BI134" t="n">
        <v>290.387</v>
      </c>
      <c r="BJ134" t="n">
        <v>329.717</v>
      </c>
      <c r="BK134" t="n">
        <v>313.422</v>
      </c>
      <c r="BL134" t="n">
        <v>410.826</v>
      </c>
      <c r="BM134" t="n">
        <v>288.436</v>
      </c>
      <c r="BN134" t="n">
        <v>296.887</v>
      </c>
      <c r="BO134" t="n">
        <v>237.473</v>
      </c>
      <c r="BP134" t="n">
        <v>286.34</v>
      </c>
      <c r="BQ134" t="n">
        <v>312.972</v>
      </c>
      <c r="BR134" t="n">
        <v>324.556</v>
      </c>
      <c r="BS134" t="n">
        <v>384.175</v>
      </c>
      <c r="BT134" t="n">
        <v>271.924</v>
      </c>
      <c r="BU134" t="n">
        <v>250.762</v>
      </c>
      <c r="BV134" t="n">
        <v>182.183</v>
      </c>
    </row>
    <row r="135">
      <c r="A135" t="inlineStr">
        <is>
          <t>Sebastes</t>
        </is>
      </c>
      <c r="B135" t="inlineStr">
        <is>
          <t>Redfishes</t>
        </is>
      </c>
      <c r="C135" t="inlineStr">
        <is>
          <t>Large reef assoc. fish (&gt;=90 cm)</t>
        </is>
      </c>
      <c r="D135" t="inlineStr">
        <is>
          <t>Scorpionfishes</t>
        </is>
      </c>
      <c r="E135" t="n">
        <v>129.081</v>
      </c>
      <c r="F135" t="n">
        <v>12.211</v>
      </c>
      <c r="G135" t="n">
        <v>15.794</v>
      </c>
      <c r="H135" t="n">
        <v>30.675</v>
      </c>
      <c r="I135" t="n">
        <v>16.579</v>
      </c>
      <c r="J135" t="n">
        <v>6.913</v>
      </c>
      <c r="K135" t="n">
        <v>10.791</v>
      </c>
      <c r="L135" t="n">
        <v>33.645</v>
      </c>
      <c r="M135" t="n">
        <v>18.949</v>
      </c>
      <c r="N135" t="n">
        <v>3.729</v>
      </c>
      <c r="O135" t="n">
        <v>17.526</v>
      </c>
      <c r="P135" t="n">
        <v>44.501</v>
      </c>
      <c r="Q135" t="n">
        <v>509.076</v>
      </c>
      <c r="R135" t="n">
        <v>132.061</v>
      </c>
      <c r="S135" t="n">
        <v>58.216</v>
      </c>
      <c r="T135" t="n">
        <v>148.836</v>
      </c>
      <c r="U135" t="n">
        <v>5.506</v>
      </c>
      <c r="V135" t="n">
        <v>10.362</v>
      </c>
      <c r="W135" t="n">
        <v>38.267</v>
      </c>
      <c r="X135" t="n">
        <v>18.977</v>
      </c>
      <c r="Y135" t="n">
        <v>72.536</v>
      </c>
      <c r="Z135" t="n">
        <v>2.114</v>
      </c>
      <c r="AA135" t="n">
        <v>61.587</v>
      </c>
      <c r="AB135" t="n">
        <v>86.19199999999999</v>
      </c>
      <c r="AC135" t="n">
        <v>7.582</v>
      </c>
      <c r="AD135" t="n">
        <v>40.594</v>
      </c>
      <c r="AE135" t="n">
        <v>86.753</v>
      </c>
      <c r="AF135" t="n">
        <v>256.355</v>
      </c>
      <c r="AG135" t="n">
        <v>2272.991</v>
      </c>
      <c r="AH135" t="n">
        <v>918.014</v>
      </c>
      <c r="AI135" t="n">
        <v>445.235</v>
      </c>
      <c r="AJ135" t="n">
        <v>187.067</v>
      </c>
      <c r="AK135" t="n">
        <v>358.264</v>
      </c>
      <c r="AL135" t="n">
        <v>593.651</v>
      </c>
      <c r="AM135" t="n">
        <v>588.351</v>
      </c>
      <c r="AN135" t="n">
        <v>171.925</v>
      </c>
      <c r="AO135" t="n">
        <v>183.05</v>
      </c>
      <c r="AP135" t="n">
        <v>68.806</v>
      </c>
      <c r="AQ135" t="n">
        <v>183.732</v>
      </c>
      <c r="AR135" t="n">
        <v>134.654</v>
      </c>
      <c r="AS135" t="n">
        <v>87.58199999999999</v>
      </c>
      <c r="AT135" t="n">
        <v>240.492</v>
      </c>
      <c r="AU135" t="n">
        <v>185.81</v>
      </c>
      <c r="AV135" t="n">
        <v>69.173</v>
      </c>
      <c r="AW135" t="n">
        <v>348.616</v>
      </c>
      <c r="AX135" t="n">
        <v>124.388</v>
      </c>
      <c r="AY135" t="n">
        <v>139.224</v>
      </c>
      <c r="AZ135" t="n">
        <v>123.69</v>
      </c>
      <c r="BA135" t="n">
        <v>399.109</v>
      </c>
      <c r="BB135" t="n">
        <v>109.013</v>
      </c>
      <c r="BC135" t="n">
        <v>64.91200000000001</v>
      </c>
      <c r="BD135" t="n">
        <v>34.625</v>
      </c>
      <c r="BE135" t="n">
        <v>22.658</v>
      </c>
      <c r="BF135" t="n">
        <v>9.002000000000001</v>
      </c>
      <c r="BG135" t="n">
        <v>9.837</v>
      </c>
      <c r="BH135" t="n">
        <v>4.974</v>
      </c>
      <c r="BI135" t="n">
        <v>56.71</v>
      </c>
      <c r="BJ135" t="n">
        <v>16.323</v>
      </c>
      <c r="BK135" t="n">
        <v>3.195</v>
      </c>
      <c r="BL135" t="n">
        <v>1.055</v>
      </c>
      <c r="BM135" t="n">
        <v>0.178</v>
      </c>
      <c r="BN135" t="n">
        <v>165.078</v>
      </c>
      <c r="BO135" t="n">
        <v>107.531</v>
      </c>
      <c r="BP135" t="n">
        <v>219.076</v>
      </c>
      <c r="BQ135" t="n">
        <v>128.079</v>
      </c>
      <c r="BR135" t="n">
        <v>78.239</v>
      </c>
      <c r="BS135" t="n">
        <v>36.192</v>
      </c>
      <c r="BT135" t="n">
        <v>53.204</v>
      </c>
      <c r="BU135" t="n">
        <v>10.112</v>
      </c>
      <c r="BV135" t="n">
        <v>35.425</v>
      </c>
    </row>
    <row r="136">
      <c r="A136" t="inlineStr">
        <is>
          <t>Trigla</t>
        </is>
      </c>
      <c r="B136" t="inlineStr">
        <is>
          <t>Piper gurnards</t>
        </is>
      </c>
      <c r="C136" t="inlineStr">
        <is>
          <t>Medium bathydemersals (30 - 89 cm)</t>
        </is>
      </c>
      <c r="D136" t="inlineStr">
        <is>
          <t>Scorpionfishes</t>
        </is>
      </c>
      <c r="E136" t="n">
        <v>373.739</v>
      </c>
      <c r="F136" t="n">
        <v>394.611</v>
      </c>
      <c r="G136" t="n">
        <v>362.802</v>
      </c>
      <c r="H136" t="n">
        <v>409.208</v>
      </c>
      <c r="I136" t="n">
        <v>404.479</v>
      </c>
      <c r="J136" t="n">
        <v>245.818</v>
      </c>
      <c r="K136" t="n">
        <v>160.863</v>
      </c>
      <c r="L136" t="n">
        <v>95.952</v>
      </c>
      <c r="M136" t="n">
        <v>138.501</v>
      </c>
      <c r="N136" t="n">
        <v>145.174</v>
      </c>
      <c r="O136" t="n">
        <v>200.011</v>
      </c>
      <c r="P136" t="n">
        <v>169.407</v>
      </c>
      <c r="Q136" t="n">
        <v>209.658</v>
      </c>
      <c r="R136" t="n">
        <v>196.475</v>
      </c>
      <c r="S136" t="n">
        <v>51.371</v>
      </c>
      <c r="T136" t="n">
        <v>51.318</v>
      </c>
      <c r="U136" t="n">
        <v>90.095</v>
      </c>
      <c r="V136" t="n">
        <v>90.361</v>
      </c>
      <c r="W136" t="n">
        <v>92.52200000000001</v>
      </c>
      <c r="X136" t="n">
        <v>52.841</v>
      </c>
      <c r="Y136" t="n">
        <v>43.411</v>
      </c>
      <c r="Z136" t="n">
        <v>61.786</v>
      </c>
      <c r="AA136" t="n">
        <v>102.682</v>
      </c>
      <c r="AB136" t="n">
        <v>124.945</v>
      </c>
      <c r="AC136" t="n">
        <v>113.03</v>
      </c>
      <c r="AD136" t="n">
        <v>146.887</v>
      </c>
      <c r="AE136" t="n">
        <v>94.428</v>
      </c>
      <c r="AF136" t="n">
        <v>165.053</v>
      </c>
      <c r="AG136" t="n">
        <v>157.856</v>
      </c>
      <c r="AH136" t="n">
        <v>195.494</v>
      </c>
      <c r="AI136" t="n">
        <v>104.925</v>
      </c>
      <c r="AJ136" t="n">
        <v>108.783</v>
      </c>
      <c r="AK136" t="n">
        <v>166.113</v>
      </c>
      <c r="AL136" t="n">
        <v>233.304</v>
      </c>
      <c r="AM136" t="n">
        <v>274.573</v>
      </c>
      <c r="AN136" t="n">
        <v>270.671</v>
      </c>
      <c r="AO136" t="n">
        <v>148.256</v>
      </c>
      <c r="AP136" t="n">
        <v>137.836</v>
      </c>
      <c r="AQ136" t="n">
        <v>176.951</v>
      </c>
      <c r="AR136" t="n">
        <v>223.286</v>
      </c>
      <c r="AS136" t="n">
        <v>352.144</v>
      </c>
      <c r="AT136" t="n">
        <v>438.159</v>
      </c>
      <c r="AU136" t="n">
        <v>346.98</v>
      </c>
      <c r="AV136" t="n">
        <v>351.443</v>
      </c>
      <c r="AW136" t="n">
        <v>260.466</v>
      </c>
      <c r="AX136" t="n">
        <v>210.134</v>
      </c>
      <c r="AY136" t="n">
        <v>152.634</v>
      </c>
      <c r="AZ136" t="n">
        <v>112.343</v>
      </c>
      <c r="BA136" t="n">
        <v>149.534</v>
      </c>
      <c r="BB136" t="n">
        <v>156.463</v>
      </c>
      <c r="BC136" t="n">
        <v>177.76</v>
      </c>
      <c r="BD136" t="n">
        <v>136.283</v>
      </c>
      <c r="BE136" t="n">
        <v>81.435</v>
      </c>
      <c r="BF136" t="n">
        <v>75.32299999999999</v>
      </c>
      <c r="BG136" t="n">
        <v>83.423</v>
      </c>
      <c r="BH136" t="n">
        <v>60.49</v>
      </c>
      <c r="BI136" t="n">
        <v>58.468</v>
      </c>
      <c r="BJ136" t="n">
        <v>74.712</v>
      </c>
      <c r="BK136" t="n">
        <v>67.756</v>
      </c>
      <c r="BL136" t="n">
        <v>63.054</v>
      </c>
      <c r="BM136" t="n">
        <v>49.583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0.049</v>
      </c>
      <c r="BV136" t="n">
        <v>0.055</v>
      </c>
    </row>
    <row r="137">
      <c r="A137" t="inlineStr">
        <is>
          <t>Sparidae</t>
        </is>
      </c>
      <c r="B137" t="inlineStr">
        <is>
          <t>Porgies, seabreams</t>
        </is>
      </c>
      <c r="C137" t="inlineStr">
        <is>
          <t>Medium benthopelagics (30 - 89 cm)</t>
        </is>
      </c>
      <c r="D137" t="inlineStr">
        <is>
          <t>Perch-likes</t>
        </is>
      </c>
      <c r="E137" t="n">
        <v>32.909</v>
      </c>
      <c r="F137" t="n">
        <v>356.247</v>
      </c>
      <c r="G137" t="n">
        <v>30.245</v>
      </c>
      <c r="H137" t="n">
        <v>149.851</v>
      </c>
      <c r="I137" t="n">
        <v>164.114</v>
      </c>
      <c r="J137" t="n">
        <v>274.38</v>
      </c>
      <c r="K137" t="n">
        <v>98.13200000000001</v>
      </c>
      <c r="L137" t="n">
        <v>135.698</v>
      </c>
      <c r="M137" t="n">
        <v>93.765</v>
      </c>
      <c r="N137" t="n">
        <v>166.673</v>
      </c>
      <c r="O137" t="n">
        <v>136.061</v>
      </c>
      <c r="P137" t="n">
        <v>372.314</v>
      </c>
      <c r="Q137" t="n">
        <v>300.067</v>
      </c>
      <c r="R137" t="n">
        <v>231.505</v>
      </c>
      <c r="S137" t="n">
        <v>292.929</v>
      </c>
      <c r="T137" t="n">
        <v>221.191</v>
      </c>
      <c r="U137" t="n">
        <v>204.493</v>
      </c>
      <c r="V137" t="n">
        <v>914.296</v>
      </c>
      <c r="W137" t="n">
        <v>1025.328</v>
      </c>
      <c r="X137" t="n">
        <v>1108.612</v>
      </c>
      <c r="Y137" t="n">
        <v>726.871</v>
      </c>
      <c r="Z137" t="n">
        <v>62.147</v>
      </c>
      <c r="AA137" t="n">
        <v>273.712</v>
      </c>
      <c r="AB137" t="n">
        <v>244.712</v>
      </c>
      <c r="AC137" t="n">
        <v>395.396</v>
      </c>
      <c r="AD137" t="n">
        <v>991.001</v>
      </c>
      <c r="AE137" t="n">
        <v>243.904</v>
      </c>
      <c r="AF137" t="n">
        <v>9.766999999999999</v>
      </c>
      <c r="AG137" t="n">
        <v>10.181</v>
      </c>
      <c r="AH137" t="n">
        <v>10.594</v>
      </c>
      <c r="AI137" t="n">
        <v>32.694</v>
      </c>
      <c r="AJ137" t="n">
        <v>13.081</v>
      </c>
      <c r="AK137" t="n">
        <v>29.625</v>
      </c>
      <c r="AL137" t="n">
        <v>12.588</v>
      </c>
      <c r="AM137" t="n">
        <v>12.91</v>
      </c>
      <c r="AN137" t="n">
        <v>13.074</v>
      </c>
      <c r="AO137" t="n">
        <v>13.488</v>
      </c>
      <c r="AP137" t="n">
        <v>13.943</v>
      </c>
      <c r="AQ137" t="n">
        <v>14.314</v>
      </c>
      <c r="AR137" t="n">
        <v>15.358</v>
      </c>
      <c r="AS137" t="n">
        <v>15.903</v>
      </c>
      <c r="AT137" t="n">
        <v>16.329</v>
      </c>
      <c r="AU137" t="n">
        <v>16.723</v>
      </c>
      <c r="AV137" t="n">
        <v>17.588</v>
      </c>
      <c r="AW137" t="n">
        <v>19.417</v>
      </c>
      <c r="AX137" t="n">
        <v>20.123</v>
      </c>
      <c r="AY137" t="n">
        <v>19.448</v>
      </c>
      <c r="AZ137" t="n">
        <v>20.474</v>
      </c>
      <c r="BA137" t="n">
        <v>19.301</v>
      </c>
      <c r="BB137" t="n">
        <v>19.379</v>
      </c>
      <c r="BC137" t="n">
        <v>19.521</v>
      </c>
      <c r="BD137" t="n">
        <v>19.688</v>
      </c>
      <c r="BE137" t="n">
        <v>20.597</v>
      </c>
      <c r="BF137" t="n">
        <v>22.498</v>
      </c>
      <c r="BG137" t="n">
        <v>28.817</v>
      </c>
      <c r="BH137" t="n">
        <v>21.342</v>
      </c>
      <c r="BI137" t="n">
        <v>22.252</v>
      </c>
      <c r="BJ137" t="n">
        <v>25.931</v>
      </c>
      <c r="BK137" t="n">
        <v>23.885</v>
      </c>
      <c r="BL137" t="n">
        <v>25.54</v>
      </c>
      <c r="BM137" t="n">
        <v>24.548</v>
      </c>
      <c r="BN137" t="n">
        <v>23.492</v>
      </c>
      <c r="BO137" t="n">
        <v>23.45</v>
      </c>
      <c r="BP137" t="n">
        <v>23.551</v>
      </c>
      <c r="BQ137" t="n">
        <v>23.846</v>
      </c>
      <c r="BR137" t="n">
        <v>23.829</v>
      </c>
      <c r="BS137" t="n">
        <v>23.91</v>
      </c>
      <c r="BT137" t="n">
        <v>24.326</v>
      </c>
      <c r="BU137" t="n">
        <v>23.711</v>
      </c>
      <c r="BV137" t="n">
        <v>24.041</v>
      </c>
    </row>
    <row r="138">
      <c r="A138" t="inlineStr">
        <is>
          <t>Mullus barbatus</t>
        </is>
      </c>
      <c r="B138" t="inlineStr">
        <is>
          <t>Red mullet</t>
        </is>
      </c>
      <c r="C138" t="inlineStr">
        <is>
          <t>Medium demersals (30 - 89 cm)</t>
        </is>
      </c>
      <c r="D138" t="inlineStr">
        <is>
          <t>Perch-likes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2.993</v>
      </c>
      <c r="N138" t="n">
        <v>0</v>
      </c>
      <c r="O138" t="n">
        <v>0.998</v>
      </c>
      <c r="P138" t="n">
        <v>0</v>
      </c>
      <c r="Q138" t="n">
        <v>0</v>
      </c>
      <c r="R138" t="n">
        <v>0.999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0.999</v>
      </c>
      <c r="AA138" t="n">
        <v>0</v>
      </c>
      <c r="AB138" t="n">
        <v>1.996</v>
      </c>
      <c r="AC138" t="n">
        <v>0.999</v>
      </c>
      <c r="AD138" t="n">
        <v>0.035</v>
      </c>
      <c r="AE138" t="n">
        <v>3.034</v>
      </c>
      <c r="AF138" t="n">
        <v>18.971</v>
      </c>
      <c r="AG138" t="n">
        <v>27.978</v>
      </c>
      <c r="AH138" t="n">
        <v>37.934</v>
      </c>
      <c r="AI138" t="n">
        <v>24.978</v>
      </c>
      <c r="AJ138" t="n">
        <v>18.978</v>
      </c>
      <c r="AK138" t="n">
        <v>17.98</v>
      </c>
      <c r="AL138" t="n">
        <v>40.737</v>
      </c>
      <c r="AM138" t="n">
        <v>21.803</v>
      </c>
      <c r="AN138" t="n">
        <v>6.954</v>
      </c>
      <c r="AO138" t="n">
        <v>3.975</v>
      </c>
      <c r="AP138" t="n">
        <v>4.953</v>
      </c>
      <c r="AQ138" t="n">
        <v>3.963</v>
      </c>
      <c r="AR138" t="n">
        <v>2.975</v>
      </c>
      <c r="AS138" t="n">
        <v>32.762</v>
      </c>
      <c r="AT138" t="n">
        <v>22.788</v>
      </c>
      <c r="AU138" t="n">
        <v>26.796</v>
      </c>
      <c r="AV138" t="n">
        <v>59.437</v>
      </c>
      <c r="AW138" t="n">
        <v>53.453</v>
      </c>
      <c r="AX138" t="n">
        <v>515.479</v>
      </c>
      <c r="AY138" t="n">
        <v>252.495</v>
      </c>
      <c r="AZ138" t="n">
        <v>123.749</v>
      </c>
      <c r="BA138" t="n">
        <v>364.385</v>
      </c>
      <c r="BB138" t="n">
        <v>322.032</v>
      </c>
      <c r="BC138" t="n">
        <v>833.11</v>
      </c>
      <c r="BD138" t="n">
        <v>756.596</v>
      </c>
      <c r="BE138" t="n">
        <v>542.409</v>
      </c>
      <c r="BF138" t="n">
        <v>740.866</v>
      </c>
      <c r="BG138" t="n">
        <v>865.907</v>
      </c>
      <c r="BH138" t="n">
        <v>641.042</v>
      </c>
      <c r="BI138" t="n">
        <v>290.689</v>
      </c>
      <c r="BJ138" t="n">
        <v>745.761</v>
      </c>
      <c r="BK138" t="n">
        <v>868.575</v>
      </c>
      <c r="BL138" t="n">
        <v>418.507</v>
      </c>
      <c r="BM138" t="n">
        <v>319.445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0.006</v>
      </c>
      <c r="BV138" t="n">
        <v>0.006</v>
      </c>
    </row>
    <row r="139">
      <c r="A139" t="inlineStr">
        <is>
          <t>Teuthida</t>
        </is>
      </c>
      <c r="B139" t="inlineStr">
        <is>
          <t>Squids</t>
        </is>
      </c>
      <c r="C139" t="inlineStr">
        <is>
          <t>Cephalopods</t>
        </is>
      </c>
      <c r="D139" t="inlineStr">
        <is>
          <t>Other fishes &amp; inverts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0.123</v>
      </c>
      <c r="Q139" t="n">
        <v>0.616</v>
      </c>
      <c r="R139" t="n">
        <v>0.246</v>
      </c>
      <c r="S139" t="n">
        <v>0.041</v>
      </c>
      <c r="T139" t="n">
        <v>0.233</v>
      </c>
      <c r="U139" t="n">
        <v>0.047</v>
      </c>
      <c r="V139" t="n">
        <v>0</v>
      </c>
      <c r="W139" t="n">
        <v>0</v>
      </c>
      <c r="X139" t="n">
        <v>0.047</v>
      </c>
      <c r="Y139" t="n">
        <v>0.186</v>
      </c>
      <c r="Z139" t="n">
        <v>1.023</v>
      </c>
      <c r="AA139" t="n">
        <v>10.124</v>
      </c>
      <c r="AB139" t="n">
        <v>543.447</v>
      </c>
      <c r="AC139" t="n">
        <v>737.525</v>
      </c>
      <c r="AD139" t="n">
        <v>2.151</v>
      </c>
      <c r="AE139" t="n">
        <v>17.806</v>
      </c>
      <c r="AF139" t="n">
        <v>54.029</v>
      </c>
      <c r="AG139" t="n">
        <v>51.529</v>
      </c>
      <c r="AH139" t="n">
        <v>60.397</v>
      </c>
      <c r="AI139" t="n">
        <v>40.721</v>
      </c>
      <c r="AJ139" t="n">
        <v>28.627</v>
      </c>
      <c r="AK139" t="n">
        <v>79.11499999999999</v>
      </c>
      <c r="AL139" t="n">
        <v>49.879</v>
      </c>
      <c r="AM139" t="n">
        <v>27.411</v>
      </c>
      <c r="AN139" t="n">
        <v>52.591</v>
      </c>
      <c r="AO139" t="n">
        <v>88.652</v>
      </c>
      <c r="AP139" t="n">
        <v>136.528</v>
      </c>
      <c r="AQ139" t="n">
        <v>78.33199999999999</v>
      </c>
      <c r="AR139" t="n">
        <v>133.53</v>
      </c>
      <c r="AS139" t="n">
        <v>148.658</v>
      </c>
      <c r="AT139" t="n">
        <v>131.088</v>
      </c>
      <c r="AU139" t="n">
        <v>141.244</v>
      </c>
      <c r="AV139" t="n">
        <v>307.974</v>
      </c>
      <c r="AW139" t="n">
        <v>200.529</v>
      </c>
      <c r="AX139" t="n">
        <v>196.236</v>
      </c>
      <c r="AY139" t="n">
        <v>93.003</v>
      </c>
      <c r="AZ139" t="n">
        <v>126.568</v>
      </c>
      <c r="BA139" t="n">
        <v>103.88</v>
      </c>
      <c r="BB139" t="n">
        <v>169.102</v>
      </c>
      <c r="BC139" t="n">
        <v>930.254</v>
      </c>
      <c r="BD139" t="n">
        <v>382.076</v>
      </c>
      <c r="BE139" t="n">
        <v>892.284</v>
      </c>
      <c r="BF139" t="n">
        <v>593.833</v>
      </c>
      <c r="BG139" t="n">
        <v>367.69</v>
      </c>
      <c r="BH139" t="n">
        <v>220.938</v>
      </c>
      <c r="BI139" t="n">
        <v>219.975</v>
      </c>
      <c r="BJ139" t="n">
        <v>95.292</v>
      </c>
      <c r="BK139" t="n">
        <v>88.697</v>
      </c>
      <c r="BL139" t="n">
        <v>91.44</v>
      </c>
      <c r="BM139" t="n">
        <v>76.11</v>
      </c>
      <c r="BN139" t="n">
        <v>57.676</v>
      </c>
      <c r="BO139" t="n">
        <v>48.729</v>
      </c>
      <c r="BP139" t="n">
        <v>57.514</v>
      </c>
      <c r="BQ139" t="n">
        <v>12.358</v>
      </c>
      <c r="BR139" t="n">
        <v>0.001</v>
      </c>
      <c r="BS139" t="n">
        <v>0.057</v>
      </c>
      <c r="BT139" t="n">
        <v>0.491</v>
      </c>
      <c r="BU139" t="n">
        <v>6.14</v>
      </c>
      <c r="BV139" t="n">
        <v>654.364</v>
      </c>
    </row>
    <row r="140">
      <c r="A140" t="inlineStr">
        <is>
          <t>Trachurus</t>
        </is>
      </c>
      <c r="B140" t="inlineStr">
        <is>
          <t>Jacks, horse mackerels</t>
        </is>
      </c>
      <c r="C140" t="inlineStr">
        <is>
          <t>Medium pelagics (30 - 89 cm)</t>
        </is>
      </c>
      <c r="D140" t="inlineStr">
        <is>
          <t>Perch-likes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467.893</v>
      </c>
      <c r="AB140" t="n">
        <v>292.323</v>
      </c>
      <c r="AC140" t="n">
        <v>19.984</v>
      </c>
      <c r="AD140" t="n">
        <v>7.494</v>
      </c>
      <c r="AE140" t="n">
        <v>8.743</v>
      </c>
      <c r="AF140" t="n">
        <v>7.344</v>
      </c>
      <c r="AG140" t="n">
        <v>4.546</v>
      </c>
      <c r="AH140" t="n">
        <v>0.999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0.6</v>
      </c>
      <c r="AP140" t="n">
        <v>1.199</v>
      </c>
      <c r="AQ140" t="n">
        <v>1.499</v>
      </c>
      <c r="AR140" t="n">
        <v>2.298</v>
      </c>
      <c r="AS140" t="n">
        <v>3.897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0.012</v>
      </c>
      <c r="BB140" t="n">
        <v>0</v>
      </c>
      <c r="BC140" t="n">
        <v>0</v>
      </c>
      <c r="BD140" t="n">
        <v>0.2</v>
      </c>
      <c r="BE140" t="n">
        <v>0.05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0.764</v>
      </c>
      <c r="BL140" t="n">
        <v>359.35</v>
      </c>
      <c r="BM140" t="n">
        <v>726.013</v>
      </c>
      <c r="BN140" t="n">
        <v>714.7140000000001</v>
      </c>
      <c r="BO140" t="n">
        <v>878.525</v>
      </c>
      <c r="BP140" t="n">
        <v>1211.576</v>
      </c>
      <c r="BQ140" t="n">
        <v>1112.243</v>
      </c>
      <c r="BR140" t="n">
        <v>361.433</v>
      </c>
      <c r="BS140" t="n">
        <v>509.35</v>
      </c>
      <c r="BT140" t="n">
        <v>620.0890000000001</v>
      </c>
      <c r="BU140" t="n">
        <v>682.287</v>
      </c>
      <c r="BV140" t="n">
        <v>382.504</v>
      </c>
    </row>
    <row r="141">
      <c r="A141" t="inlineStr">
        <is>
          <t>Argentina silus</t>
        </is>
      </c>
      <c r="B141" t="inlineStr">
        <is>
          <t>Greater argentine</t>
        </is>
      </c>
      <c r="C141" t="inlineStr">
        <is>
          <t>Medium bathydemersals (30 - 89 cm)</t>
        </is>
      </c>
      <c r="D141" t="inlineStr">
        <is>
          <t>Salmon, smelts, etc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1.302</v>
      </c>
      <c r="AU141" t="n">
        <v>0.044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7.809</v>
      </c>
      <c r="BD141" t="n">
        <v>28.212</v>
      </c>
      <c r="BE141" t="n">
        <v>613.005</v>
      </c>
      <c r="BF141" t="n">
        <v>1026.864</v>
      </c>
      <c r="BG141" t="n">
        <v>1121.241</v>
      </c>
      <c r="BH141" t="n">
        <v>627.1180000000001</v>
      </c>
      <c r="BI141" t="n">
        <v>380.648</v>
      </c>
      <c r="BJ141" t="n">
        <v>168.37</v>
      </c>
      <c r="BK141" t="n">
        <v>131.799</v>
      </c>
      <c r="BL141" t="n">
        <v>1.674</v>
      </c>
      <c r="BM141" t="n">
        <v>137.251</v>
      </c>
      <c r="BN141" t="n">
        <v>72.289</v>
      </c>
      <c r="BO141" t="n">
        <v>102.383</v>
      </c>
      <c r="BP141" t="n">
        <v>308.07</v>
      </c>
      <c r="BQ141" t="n">
        <v>779.429</v>
      </c>
      <c r="BR141" t="n">
        <v>173.274</v>
      </c>
      <c r="BS141" t="n">
        <v>248.684</v>
      </c>
      <c r="BT141" t="n">
        <v>334.438</v>
      </c>
      <c r="BU141" t="n">
        <v>399.129</v>
      </c>
      <c r="BV141" t="n">
        <v>621.655</v>
      </c>
    </row>
    <row r="142">
      <c r="A142" t="inlineStr">
        <is>
          <t>Raja montagui</t>
        </is>
      </c>
      <c r="B142" t="inlineStr">
        <is>
          <t>Spotted ray</t>
        </is>
      </c>
      <c r="C142" t="inlineStr">
        <is>
          <t>Small to medium rays (&lt;90 cm)</t>
        </is>
      </c>
      <c r="D142" t="inlineStr">
        <is>
          <t>Sharks &amp; rays</t>
        </is>
      </c>
      <c r="E142" t="n">
        <v>186.183</v>
      </c>
      <c r="F142" t="n">
        <v>185.223</v>
      </c>
      <c r="G142" t="n">
        <v>167.817</v>
      </c>
      <c r="H142" t="n">
        <v>171.987</v>
      </c>
      <c r="I142" t="n">
        <v>165.073</v>
      </c>
      <c r="J142" t="n">
        <v>161.709</v>
      </c>
      <c r="K142" t="n">
        <v>163.054</v>
      </c>
      <c r="L142" t="n">
        <v>166.582</v>
      </c>
      <c r="M142" t="n">
        <v>169.619</v>
      </c>
      <c r="N142" t="n">
        <v>154.324</v>
      </c>
      <c r="O142" t="n">
        <v>136.11</v>
      </c>
      <c r="P142" t="n">
        <v>132.981</v>
      </c>
      <c r="Q142" t="n">
        <v>127.584</v>
      </c>
      <c r="R142" t="n">
        <v>133.822</v>
      </c>
      <c r="S142" t="n">
        <v>115.743</v>
      </c>
      <c r="T142" t="n">
        <v>194.472</v>
      </c>
      <c r="U142" t="n">
        <v>173.951</v>
      </c>
      <c r="V142" t="n">
        <v>167.909</v>
      </c>
      <c r="W142" t="n">
        <v>170.261</v>
      </c>
      <c r="X142" t="n">
        <v>159.537</v>
      </c>
      <c r="Y142" t="n">
        <v>137.889</v>
      </c>
      <c r="Z142" t="n">
        <v>144.327</v>
      </c>
      <c r="AA142" t="n">
        <v>136.823</v>
      </c>
      <c r="AB142" t="n">
        <v>118.84</v>
      </c>
      <c r="AC142" t="n">
        <v>103.149</v>
      </c>
      <c r="AD142" t="n">
        <v>104.41</v>
      </c>
      <c r="AE142" t="n">
        <v>3.175</v>
      </c>
      <c r="AF142" t="n">
        <v>4.812</v>
      </c>
      <c r="AG142" t="n">
        <v>3.858</v>
      </c>
      <c r="AH142" t="n">
        <v>4.061</v>
      </c>
      <c r="AI142" t="n">
        <v>4.062</v>
      </c>
      <c r="AJ142" t="n">
        <v>2.941</v>
      </c>
      <c r="AK142" t="n">
        <v>3.418</v>
      </c>
      <c r="AL142" t="n">
        <v>4.747</v>
      </c>
      <c r="AM142" t="n">
        <v>4.149</v>
      </c>
      <c r="AN142" t="n">
        <v>3.169</v>
      </c>
      <c r="AO142" t="n">
        <v>1.14</v>
      </c>
      <c r="AP142" t="n">
        <v>2.04</v>
      </c>
      <c r="AQ142" t="n">
        <v>1.854</v>
      </c>
      <c r="AR142" t="n">
        <v>4.935</v>
      </c>
      <c r="AS142" t="n">
        <v>8.163</v>
      </c>
      <c r="AT142" t="n">
        <v>7.421</v>
      </c>
      <c r="AU142" t="n">
        <v>6.612</v>
      </c>
      <c r="AV142" t="n">
        <v>6.6</v>
      </c>
      <c r="AW142" t="n">
        <v>5.93</v>
      </c>
      <c r="AX142" t="n">
        <v>6.57</v>
      </c>
      <c r="AY142" t="n">
        <v>4.903</v>
      </c>
      <c r="AZ142" t="n">
        <v>4.235</v>
      </c>
      <c r="BA142" t="n">
        <v>3.101</v>
      </c>
      <c r="BB142" t="n">
        <v>3.602</v>
      </c>
      <c r="BC142" t="n">
        <v>4.138</v>
      </c>
      <c r="BD142" t="n">
        <v>6.474</v>
      </c>
      <c r="BE142" t="n">
        <v>3.582</v>
      </c>
      <c r="BF142" t="n">
        <v>3.853</v>
      </c>
      <c r="BG142" t="n">
        <v>3.949</v>
      </c>
      <c r="BH142" t="n">
        <v>3.391</v>
      </c>
      <c r="BI142" t="n">
        <v>3.825</v>
      </c>
      <c r="BJ142" t="n">
        <v>3.259</v>
      </c>
      <c r="BK142" t="n">
        <v>314.945</v>
      </c>
      <c r="BL142" t="n">
        <v>279.597</v>
      </c>
      <c r="BM142" t="n">
        <v>90.494</v>
      </c>
      <c r="BN142" t="n">
        <v>236.517</v>
      </c>
      <c r="BO142" t="n">
        <v>287.651</v>
      </c>
      <c r="BP142" t="n">
        <v>280.783</v>
      </c>
      <c r="BQ142" t="n">
        <v>214.455</v>
      </c>
      <c r="BR142" t="n">
        <v>227.505</v>
      </c>
      <c r="BS142" t="n">
        <v>221.888</v>
      </c>
      <c r="BT142" t="n">
        <v>305.606</v>
      </c>
      <c r="BU142" t="n">
        <v>299.613</v>
      </c>
      <c r="BV142" t="n">
        <v>371.013</v>
      </c>
    </row>
    <row r="143">
      <c r="A143" t="inlineStr">
        <is>
          <t>Conger conger</t>
        </is>
      </c>
      <c r="B143" t="inlineStr">
        <is>
          <t>European conger</t>
        </is>
      </c>
      <c r="C143" t="inlineStr">
        <is>
          <t>Large demersals (&gt;=90 cm)</t>
        </is>
      </c>
      <c r="D143" t="inlineStr">
        <is>
          <t>Other fishes &amp; inverts</t>
        </is>
      </c>
      <c r="E143" t="n">
        <v>207.674</v>
      </c>
      <c r="F143" t="n">
        <v>652.223</v>
      </c>
      <c r="G143" t="n">
        <v>182.965</v>
      </c>
      <c r="H143" t="n">
        <v>394.149</v>
      </c>
      <c r="I143" t="n">
        <v>381.722</v>
      </c>
      <c r="J143" t="n">
        <v>270.008</v>
      </c>
      <c r="K143" t="n">
        <v>246.047</v>
      </c>
      <c r="L143" t="n">
        <v>327.964</v>
      </c>
      <c r="M143" t="n">
        <v>234.183</v>
      </c>
      <c r="N143" t="n">
        <v>219.128</v>
      </c>
      <c r="O143" t="n">
        <v>134.629</v>
      </c>
      <c r="P143" t="n">
        <v>279.328</v>
      </c>
      <c r="Q143" t="n">
        <v>131.719</v>
      </c>
      <c r="R143" t="n">
        <v>107.934</v>
      </c>
      <c r="S143" t="n">
        <v>89.113</v>
      </c>
      <c r="T143" t="n">
        <v>57.401</v>
      </c>
      <c r="U143" t="n">
        <v>70.962</v>
      </c>
      <c r="V143" t="n">
        <v>129.293</v>
      </c>
      <c r="W143" t="n">
        <v>233.432</v>
      </c>
      <c r="X143" t="n">
        <v>175.673</v>
      </c>
      <c r="Y143" t="n">
        <v>51.86</v>
      </c>
      <c r="Z143" t="n">
        <v>64.13</v>
      </c>
      <c r="AA143" t="n">
        <v>102.557</v>
      </c>
      <c r="AB143" t="n">
        <v>94.22</v>
      </c>
      <c r="AC143" t="n">
        <v>79.898</v>
      </c>
      <c r="AD143" t="n">
        <v>60.996</v>
      </c>
      <c r="AE143" t="n">
        <v>36.055</v>
      </c>
      <c r="AF143" t="n">
        <v>31.016</v>
      </c>
      <c r="AG143" t="n">
        <v>32.248</v>
      </c>
      <c r="AH143" t="n">
        <v>28.926</v>
      </c>
      <c r="AI143" t="n">
        <v>22.791</v>
      </c>
      <c r="AJ143" t="n">
        <v>19.43</v>
      </c>
      <c r="AK143" t="n">
        <v>14.843</v>
      </c>
      <c r="AL143" t="n">
        <v>29.224</v>
      </c>
      <c r="AM143" t="n">
        <v>138.503</v>
      </c>
      <c r="AN143" t="n">
        <v>86.119</v>
      </c>
      <c r="AO143" t="n">
        <v>87.124</v>
      </c>
      <c r="AP143" t="n">
        <v>45.194</v>
      </c>
      <c r="AQ143" t="n">
        <v>59.536</v>
      </c>
      <c r="AR143" t="n">
        <v>49.426</v>
      </c>
      <c r="AS143" t="n">
        <v>49.804</v>
      </c>
      <c r="AT143" t="n">
        <v>38.043</v>
      </c>
      <c r="AU143" t="n">
        <v>37.986</v>
      </c>
      <c r="AV143" t="n">
        <v>36.524</v>
      </c>
      <c r="AW143" t="n">
        <v>36.457</v>
      </c>
      <c r="AX143" t="n">
        <v>41.356</v>
      </c>
      <c r="AY143" t="n">
        <v>62.245</v>
      </c>
      <c r="AZ143" t="n">
        <v>49.248</v>
      </c>
      <c r="BA143" t="n">
        <v>47.782</v>
      </c>
      <c r="BB143" t="n">
        <v>47.42</v>
      </c>
      <c r="BC143" t="n">
        <v>36.295</v>
      </c>
      <c r="BD143" t="n">
        <v>37.468</v>
      </c>
      <c r="BE143" t="n">
        <v>34.637</v>
      </c>
      <c r="BF143" t="n">
        <v>27.594</v>
      </c>
      <c r="BG143" t="n">
        <v>21.655</v>
      </c>
      <c r="BH143" t="n">
        <v>13.138</v>
      </c>
      <c r="BI143" t="n">
        <v>16.15</v>
      </c>
      <c r="BJ143" t="n">
        <v>24.188</v>
      </c>
      <c r="BK143" t="n">
        <v>19.87</v>
      </c>
      <c r="BL143" t="n">
        <v>126.887</v>
      </c>
      <c r="BM143" t="n">
        <v>41.418</v>
      </c>
      <c r="BN143" t="n">
        <v>34.982</v>
      </c>
      <c r="BO143" t="n">
        <v>20.783</v>
      </c>
      <c r="BP143" t="n">
        <v>14.671</v>
      </c>
      <c r="BQ143" t="n">
        <v>26.162</v>
      </c>
      <c r="BR143" t="n">
        <v>34.233</v>
      </c>
      <c r="BS143" t="n">
        <v>27.371</v>
      </c>
      <c r="BT143" t="n">
        <v>33.432</v>
      </c>
      <c r="BU143" t="n">
        <v>46.452</v>
      </c>
      <c r="BV143" t="n">
        <v>43.794</v>
      </c>
    </row>
    <row r="144">
      <c r="A144" t="inlineStr">
        <is>
          <t>Sepia officinalis</t>
        </is>
      </c>
      <c r="B144" t="inlineStr">
        <is>
          <t>Common cuttlefish</t>
        </is>
      </c>
      <c r="C144" t="inlineStr">
        <is>
          <t>Cephalopods</t>
        </is>
      </c>
      <c r="D144" t="inlineStr">
        <is>
          <t>Other fishes &amp; inverts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1.965</v>
      </c>
      <c r="AP144" t="n">
        <v>0.982</v>
      </c>
      <c r="AQ144" t="n">
        <v>6.889</v>
      </c>
      <c r="AR144" t="n">
        <v>0</v>
      </c>
      <c r="AS144" t="n">
        <v>0</v>
      </c>
      <c r="AT144" t="n">
        <v>22.345</v>
      </c>
      <c r="AU144" t="n">
        <v>39.956</v>
      </c>
      <c r="AV144" t="n">
        <v>102.627</v>
      </c>
      <c r="AW144" t="n">
        <v>123.349</v>
      </c>
      <c r="AX144" t="n">
        <v>165.67</v>
      </c>
      <c r="AY144" t="n">
        <v>94.05200000000001</v>
      </c>
      <c r="AZ144" t="n">
        <v>44.793</v>
      </c>
      <c r="BA144" t="n">
        <v>45.368</v>
      </c>
      <c r="BB144" t="n">
        <v>85.679</v>
      </c>
      <c r="BC144" t="n">
        <v>239.703</v>
      </c>
      <c r="BD144" t="n">
        <v>237.133</v>
      </c>
      <c r="BE144" t="n">
        <v>587.615</v>
      </c>
      <c r="BF144" t="n">
        <v>302.217</v>
      </c>
      <c r="BG144" t="n">
        <v>460.398</v>
      </c>
      <c r="BH144" t="n">
        <v>203.925</v>
      </c>
      <c r="BI144" t="n">
        <v>357.448</v>
      </c>
      <c r="BJ144" t="n">
        <v>214.467</v>
      </c>
      <c r="BK144" t="n">
        <v>197.143</v>
      </c>
      <c r="BL144" t="n">
        <v>183.129</v>
      </c>
      <c r="BM144" t="n">
        <v>288.116</v>
      </c>
      <c r="BN144" t="n">
        <v>87.905</v>
      </c>
      <c r="BO144" t="n">
        <v>296.66</v>
      </c>
      <c r="BP144" t="n">
        <v>271.141</v>
      </c>
      <c r="BQ144" t="n">
        <v>179.247</v>
      </c>
      <c r="BR144" t="n">
        <v>224.059</v>
      </c>
      <c r="BS144" t="n">
        <v>279.823</v>
      </c>
      <c r="BT144" t="n">
        <v>144.99</v>
      </c>
      <c r="BU144" t="n">
        <v>269.092</v>
      </c>
      <c r="BV144" t="n">
        <v>805.961</v>
      </c>
    </row>
    <row r="145">
      <c r="A145" t="inlineStr">
        <is>
          <t>Balistidae</t>
        </is>
      </c>
      <c r="B145" t="inlineStr">
        <is>
          <t>Triggerfishes</t>
        </is>
      </c>
      <c r="C145" t="inlineStr">
        <is>
          <t>Medium reef assoc. fish (30 - 89 cm)</t>
        </is>
      </c>
      <c r="D145" t="inlineStr">
        <is>
          <t>Other fishes &amp; inverts</t>
        </is>
      </c>
      <c r="E145" t="n">
        <v>51.387</v>
      </c>
      <c r="F145" t="n">
        <v>86.861</v>
      </c>
      <c r="G145" t="n">
        <v>43.501</v>
      </c>
      <c r="H145" t="n">
        <v>51.73</v>
      </c>
      <c r="I145" t="n">
        <v>75.816</v>
      </c>
      <c r="J145" t="n">
        <v>84.54900000000001</v>
      </c>
      <c r="K145" t="n">
        <v>87.22499999999999</v>
      </c>
      <c r="L145" t="n">
        <v>90.336</v>
      </c>
      <c r="M145" t="n">
        <v>92.559</v>
      </c>
      <c r="N145" t="n">
        <v>92.39400000000001</v>
      </c>
      <c r="O145" t="n">
        <v>31.601</v>
      </c>
      <c r="P145" t="n">
        <v>108.631</v>
      </c>
      <c r="Q145" t="n">
        <v>16.854</v>
      </c>
      <c r="R145" t="n">
        <v>16.533</v>
      </c>
      <c r="S145" t="n">
        <v>152.207</v>
      </c>
      <c r="T145" t="n">
        <v>174.435</v>
      </c>
      <c r="U145" t="n">
        <v>127.048</v>
      </c>
      <c r="V145" t="n">
        <v>108.454</v>
      </c>
      <c r="W145" t="n">
        <v>175.171</v>
      </c>
      <c r="X145" t="n">
        <v>141.295</v>
      </c>
      <c r="Y145" t="n">
        <v>174.559</v>
      </c>
      <c r="Z145" t="n">
        <v>175.416</v>
      </c>
      <c r="AA145" t="n">
        <v>157.858</v>
      </c>
      <c r="AB145" t="n">
        <v>155.432</v>
      </c>
      <c r="AC145" t="n">
        <v>135.554</v>
      </c>
      <c r="AD145" t="n">
        <v>127.257</v>
      </c>
      <c r="AE145" t="n">
        <v>131.495</v>
      </c>
      <c r="AF145" t="n">
        <v>142.127</v>
      </c>
      <c r="AG145" t="n">
        <v>149.473</v>
      </c>
      <c r="AH145" t="n">
        <v>168.364</v>
      </c>
      <c r="AI145" t="n">
        <v>153.319</v>
      </c>
      <c r="AJ145" t="n">
        <v>186.353</v>
      </c>
      <c r="AK145" t="n">
        <v>187.231</v>
      </c>
      <c r="AL145" t="n">
        <v>172.807</v>
      </c>
      <c r="AM145" t="n">
        <v>162.253</v>
      </c>
      <c r="AN145" t="n">
        <v>128.379</v>
      </c>
      <c r="AO145" t="n">
        <v>125.543</v>
      </c>
      <c r="AP145" t="n">
        <v>123.693</v>
      </c>
      <c r="AQ145" t="n">
        <v>104.387</v>
      </c>
      <c r="AR145" t="n">
        <v>85.59699999999999</v>
      </c>
      <c r="AS145" t="n">
        <v>79.849</v>
      </c>
      <c r="AT145" t="n">
        <v>48.186</v>
      </c>
      <c r="AU145" t="n">
        <v>41.262</v>
      </c>
      <c r="AV145" t="n">
        <v>52.434</v>
      </c>
      <c r="AW145" t="n">
        <v>47.369</v>
      </c>
      <c r="AX145" t="n">
        <v>49.096</v>
      </c>
      <c r="AY145" t="n">
        <v>45.646</v>
      </c>
      <c r="AZ145" t="n">
        <v>38.28</v>
      </c>
      <c r="BA145" t="n">
        <v>39.032</v>
      </c>
      <c r="BB145" t="n">
        <v>46.575</v>
      </c>
      <c r="BC145" t="n">
        <v>59.915</v>
      </c>
      <c r="BD145" t="n">
        <v>61.342</v>
      </c>
      <c r="BE145" t="n">
        <v>67.17</v>
      </c>
      <c r="BF145" t="n">
        <v>48.899</v>
      </c>
      <c r="BG145" t="n">
        <v>37.203</v>
      </c>
      <c r="BH145" t="n">
        <v>33.175</v>
      </c>
      <c r="BI145" t="n">
        <v>42.99</v>
      </c>
      <c r="BJ145" t="n">
        <v>44.59</v>
      </c>
      <c r="BK145" t="n">
        <v>44.272</v>
      </c>
      <c r="BL145" t="n">
        <v>29.274</v>
      </c>
      <c r="BM145" t="n">
        <v>15.514</v>
      </c>
      <c r="BN145" t="n">
        <v>35.689</v>
      </c>
      <c r="BO145" t="n">
        <v>29.701</v>
      </c>
      <c r="BP145" t="n">
        <v>25.767</v>
      </c>
      <c r="BQ145" t="n">
        <v>27.95</v>
      </c>
      <c r="BR145" t="n">
        <v>10.797</v>
      </c>
      <c r="BS145" t="n">
        <v>10.42</v>
      </c>
      <c r="BT145" t="n">
        <v>10.259</v>
      </c>
      <c r="BU145" t="n">
        <v>29.74</v>
      </c>
      <c r="BV145" t="n">
        <v>24.334</v>
      </c>
    </row>
    <row r="146">
      <c r="A146" t="inlineStr">
        <is>
          <t>Cardiidae</t>
        </is>
      </c>
      <c r="B146" t="inlineStr">
        <is>
          <t>Cockles</t>
        </is>
      </c>
      <c r="C146" t="inlineStr">
        <is>
          <t>Other demersal invertebrates</t>
        </is>
      </c>
      <c r="D146" t="inlineStr">
        <is>
          <t>Molluscs</t>
        </is>
      </c>
      <c r="E146" t="n">
        <v>5816.137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</row>
    <row r="147">
      <c r="A147" t="inlineStr">
        <is>
          <t>Sepiidae</t>
        </is>
      </c>
      <c r="B147" t="inlineStr">
        <is>
          <t>Cuttlefishes</t>
        </is>
      </c>
      <c r="C147" t="inlineStr">
        <is>
          <t>Cephalopods</t>
        </is>
      </c>
      <c r="D147" t="inlineStr">
        <is>
          <t>Other fishes &amp; inverts</t>
        </is>
      </c>
      <c r="E147" t="n">
        <v>1.845</v>
      </c>
      <c r="F147" t="n">
        <v>1.932</v>
      </c>
      <c r="G147" t="n">
        <v>2.018</v>
      </c>
      <c r="H147" t="n">
        <v>2.106</v>
      </c>
      <c r="I147" t="n">
        <v>2.192</v>
      </c>
      <c r="J147" t="n">
        <v>2.283</v>
      </c>
      <c r="K147" t="n">
        <v>2.378</v>
      </c>
      <c r="L147" t="n">
        <v>2.477</v>
      </c>
      <c r="M147" t="n">
        <v>2.581</v>
      </c>
      <c r="N147" t="n">
        <v>2.684</v>
      </c>
      <c r="O147" t="n">
        <v>2.788</v>
      </c>
      <c r="P147" t="n">
        <v>2.894</v>
      </c>
      <c r="Q147" t="n">
        <v>9.951000000000001</v>
      </c>
      <c r="R147" t="n">
        <v>7.13</v>
      </c>
      <c r="S147" t="n">
        <v>3.275</v>
      </c>
      <c r="T147" t="n">
        <v>4.379</v>
      </c>
      <c r="U147" t="n">
        <v>4.495</v>
      </c>
      <c r="V147" t="n">
        <v>5.601</v>
      </c>
      <c r="W147" t="n">
        <v>4.719</v>
      </c>
      <c r="X147" t="n">
        <v>3.842</v>
      </c>
      <c r="Y147" t="n">
        <v>3.96</v>
      </c>
      <c r="Z147" t="n">
        <v>4.085</v>
      </c>
      <c r="AA147" t="n">
        <v>5.202</v>
      </c>
      <c r="AB147" t="n">
        <v>4.829</v>
      </c>
      <c r="AC147" t="n">
        <v>4.997</v>
      </c>
      <c r="AD147" t="n">
        <v>5.627</v>
      </c>
      <c r="AE147" t="n">
        <v>20.811</v>
      </c>
      <c r="AF147" t="n">
        <v>136.332</v>
      </c>
      <c r="AG147" t="n">
        <v>16.102</v>
      </c>
      <c r="AH147" t="n">
        <v>18.254</v>
      </c>
      <c r="AI147" t="n">
        <v>22.644</v>
      </c>
      <c r="AJ147" t="n">
        <v>26.574</v>
      </c>
      <c r="AK147" t="n">
        <v>42.793</v>
      </c>
      <c r="AL147" t="n">
        <v>110.418</v>
      </c>
      <c r="AM147" t="n">
        <v>124.435</v>
      </c>
      <c r="AN147" t="n">
        <v>86.682</v>
      </c>
      <c r="AO147" t="n">
        <v>11.091</v>
      </c>
      <c r="AP147" t="n">
        <v>27.03</v>
      </c>
      <c r="AQ147" t="n">
        <v>48.941</v>
      </c>
      <c r="AR147" t="n">
        <v>99.10299999999999</v>
      </c>
      <c r="AS147" t="n">
        <v>162.081</v>
      </c>
      <c r="AT147" t="n">
        <v>89.539</v>
      </c>
      <c r="AU147" t="n">
        <v>198.591</v>
      </c>
      <c r="AV147" t="n">
        <v>208.882</v>
      </c>
      <c r="AW147" t="n">
        <v>245.524</v>
      </c>
      <c r="AX147" t="n">
        <v>406.749</v>
      </c>
      <c r="AY147" t="n">
        <v>271.1</v>
      </c>
      <c r="AZ147" t="n">
        <v>82.504</v>
      </c>
      <c r="BA147" t="n">
        <v>177.401</v>
      </c>
      <c r="BB147" t="n">
        <v>296.937</v>
      </c>
      <c r="BC147" t="n">
        <v>463.677</v>
      </c>
      <c r="BD147" t="n">
        <v>203.799</v>
      </c>
      <c r="BE147" t="n">
        <v>256.334</v>
      </c>
      <c r="BF147" t="n">
        <v>234.347</v>
      </c>
      <c r="BG147" t="n">
        <v>205.046</v>
      </c>
      <c r="BH147" t="n">
        <v>181.488</v>
      </c>
      <c r="BI147" t="n">
        <v>192.477</v>
      </c>
      <c r="BJ147" t="n">
        <v>191.439</v>
      </c>
      <c r="BK147" t="n">
        <v>147.84</v>
      </c>
      <c r="BL147" t="n">
        <v>77.798</v>
      </c>
      <c r="BM147" t="n">
        <v>84.101</v>
      </c>
      <c r="BN147" t="n">
        <v>62.481</v>
      </c>
      <c r="BO147" t="n">
        <v>42.205</v>
      </c>
      <c r="BP147" t="n">
        <v>59.026</v>
      </c>
      <c r="BQ147" t="n">
        <v>14.369</v>
      </c>
      <c r="BR147" t="n">
        <v>24.544</v>
      </c>
      <c r="BS147" t="n">
        <v>23.142</v>
      </c>
      <c r="BT147" t="n">
        <v>24.191</v>
      </c>
      <c r="BU147" t="n">
        <v>22.82</v>
      </c>
      <c r="BV147" t="n">
        <v>18.113</v>
      </c>
    </row>
    <row r="148">
      <c r="A148" t="inlineStr">
        <is>
          <t>Palaemon serratus</t>
        </is>
      </c>
      <c r="B148" t="inlineStr">
        <is>
          <t>Common prawn</t>
        </is>
      </c>
      <c r="C148" t="inlineStr">
        <is>
          <t>Shrimps</t>
        </is>
      </c>
      <c r="D148" t="inlineStr">
        <is>
          <t>Crustaceans</t>
        </is>
      </c>
      <c r="E148" t="n">
        <v>59.124</v>
      </c>
      <c r="F148" t="n">
        <v>43.992</v>
      </c>
      <c r="G148" t="n">
        <v>23.243</v>
      </c>
      <c r="H148" t="n">
        <v>25.224</v>
      </c>
      <c r="I148" t="n">
        <v>19.179</v>
      </c>
      <c r="J148" t="n">
        <v>15.786</v>
      </c>
      <c r="K148" t="n">
        <v>3704.243</v>
      </c>
      <c r="L148" t="n">
        <v>34.277</v>
      </c>
      <c r="M148" t="n">
        <v>9.984999999999999</v>
      </c>
      <c r="N148" t="n">
        <v>13.65</v>
      </c>
      <c r="O148" t="n">
        <v>60.158</v>
      </c>
      <c r="P148" t="n">
        <v>38.685</v>
      </c>
      <c r="Q148" t="n">
        <v>8.621</v>
      </c>
      <c r="R148" t="n">
        <v>5.174</v>
      </c>
      <c r="S148" t="n">
        <v>17.107</v>
      </c>
      <c r="T148" t="n">
        <v>5.31</v>
      </c>
      <c r="U148" t="n">
        <v>3.493</v>
      </c>
      <c r="V148" t="n">
        <v>8.744</v>
      </c>
      <c r="W148" t="n">
        <v>9.746</v>
      </c>
      <c r="X148" t="n">
        <v>9.964</v>
      </c>
      <c r="Y148" t="n">
        <v>6.905</v>
      </c>
      <c r="Z148" t="n">
        <v>26.443</v>
      </c>
      <c r="AA148" t="n">
        <v>7.414</v>
      </c>
      <c r="AB148" t="n">
        <v>5.094</v>
      </c>
      <c r="AC148" t="n">
        <v>13.137</v>
      </c>
      <c r="AD148" t="n">
        <v>15.261</v>
      </c>
      <c r="AE148" t="n">
        <v>27.197</v>
      </c>
      <c r="AF148" t="n">
        <v>23.427</v>
      </c>
      <c r="AG148" t="n">
        <v>23.463</v>
      </c>
      <c r="AH148" t="n">
        <v>0.506</v>
      </c>
      <c r="AI148" t="n">
        <v>392.749</v>
      </c>
      <c r="AJ148" t="n">
        <v>0.256</v>
      </c>
      <c r="AK148" t="n">
        <v>1.083</v>
      </c>
      <c r="AL148" t="n">
        <v>1.253</v>
      </c>
      <c r="AM148" t="n">
        <v>1.301</v>
      </c>
      <c r="AN148" t="n">
        <v>6.529</v>
      </c>
      <c r="AO148" t="n">
        <v>4.509</v>
      </c>
      <c r="AP148" t="n">
        <v>1.345</v>
      </c>
      <c r="AQ148" t="n">
        <v>1.578</v>
      </c>
      <c r="AR148" t="n">
        <v>3.817</v>
      </c>
      <c r="AS148" t="n">
        <v>10.369</v>
      </c>
      <c r="AT148" t="n">
        <v>10.133</v>
      </c>
      <c r="AU148" t="n">
        <v>12.615</v>
      </c>
      <c r="AV148" t="n">
        <v>28.581</v>
      </c>
      <c r="AW148" t="n">
        <v>68</v>
      </c>
      <c r="AX148" t="n">
        <v>10.639</v>
      </c>
      <c r="AY148" t="n">
        <v>17.798</v>
      </c>
      <c r="AZ148" t="n">
        <v>21.145</v>
      </c>
      <c r="BA148" t="n">
        <v>16.845</v>
      </c>
      <c r="BB148" t="n">
        <v>12.367</v>
      </c>
      <c r="BC148" t="n">
        <v>13.423</v>
      </c>
      <c r="BD148" t="n">
        <v>17.021</v>
      </c>
      <c r="BE148" t="n">
        <v>10.972</v>
      </c>
      <c r="BF148" t="n">
        <v>6.623</v>
      </c>
      <c r="BG148" t="n">
        <v>4.855</v>
      </c>
      <c r="BH148" t="n">
        <v>18.301</v>
      </c>
      <c r="BI148" t="n">
        <v>20.926</v>
      </c>
      <c r="BJ148" t="n">
        <v>31.323</v>
      </c>
      <c r="BK148" t="n">
        <v>64.67</v>
      </c>
      <c r="BL148" t="n">
        <v>62.261</v>
      </c>
      <c r="BM148" t="n">
        <v>24.553</v>
      </c>
      <c r="BN148" t="n">
        <v>15.922</v>
      </c>
      <c r="BO148" t="n">
        <v>26.611</v>
      </c>
      <c r="BP148" t="n">
        <v>21.687</v>
      </c>
      <c r="BQ148" t="n">
        <v>20.429</v>
      </c>
      <c r="BR148" t="n">
        <v>26.653</v>
      </c>
      <c r="BS148" t="n">
        <v>26.263</v>
      </c>
      <c r="BT148" t="n">
        <v>41.534</v>
      </c>
      <c r="BU148" t="n">
        <v>21.831</v>
      </c>
      <c r="BV148" t="n">
        <v>41.422</v>
      </c>
    </row>
    <row r="149">
      <c r="A149" t="inlineStr">
        <is>
          <t>Mugilidae</t>
        </is>
      </c>
      <c r="B149" t="inlineStr">
        <is>
          <t>Mullets, grey mullets</t>
        </is>
      </c>
      <c r="C149" t="inlineStr">
        <is>
          <t>Medium reef assoc. fish (30 - 89 cm)</t>
        </is>
      </c>
      <c r="D149" t="inlineStr">
        <is>
          <t>Perch-likes</t>
        </is>
      </c>
      <c r="E149" t="n">
        <v>3.689</v>
      </c>
      <c r="F149" t="n">
        <v>3.864</v>
      </c>
      <c r="G149" t="n">
        <v>4.035</v>
      </c>
      <c r="H149" t="n">
        <v>4.21</v>
      </c>
      <c r="I149" t="n">
        <v>4.383</v>
      </c>
      <c r="J149" t="n">
        <v>4.565</v>
      </c>
      <c r="K149" t="n">
        <v>4.756</v>
      </c>
      <c r="L149" t="n">
        <v>4.953</v>
      </c>
      <c r="M149" t="n">
        <v>5.161</v>
      </c>
      <c r="N149" t="n">
        <v>5.367</v>
      </c>
      <c r="O149" t="n">
        <v>6.573</v>
      </c>
      <c r="P149" t="n">
        <v>5.786</v>
      </c>
      <c r="Q149" t="n">
        <v>8.004</v>
      </c>
      <c r="R149" t="n">
        <v>12.281</v>
      </c>
      <c r="S149" t="n">
        <v>10.513</v>
      </c>
      <c r="T149" t="n">
        <v>9.773999999999999</v>
      </c>
      <c r="U149" t="n">
        <v>16.968</v>
      </c>
      <c r="V149" t="n">
        <v>24.189</v>
      </c>
      <c r="W149" t="n">
        <v>27.436</v>
      </c>
      <c r="X149" t="n">
        <v>45.653</v>
      </c>
      <c r="Y149" t="n">
        <v>36.809</v>
      </c>
      <c r="Z149" t="n">
        <v>32.083</v>
      </c>
      <c r="AA149" t="n">
        <v>59.053</v>
      </c>
      <c r="AB149" t="n">
        <v>71.334</v>
      </c>
      <c r="AC149" t="n">
        <v>76.502</v>
      </c>
      <c r="AD149" t="n">
        <v>135.377</v>
      </c>
      <c r="AE149" t="n">
        <v>141.528</v>
      </c>
      <c r="AF149" t="n">
        <v>128.214</v>
      </c>
      <c r="AG149" t="n">
        <v>129.661</v>
      </c>
      <c r="AH149" t="n">
        <v>100.303</v>
      </c>
      <c r="AI149" t="n">
        <v>85.669</v>
      </c>
      <c r="AJ149" t="n">
        <v>105.002</v>
      </c>
      <c r="AK149" t="n">
        <v>100.731</v>
      </c>
      <c r="AL149" t="n">
        <v>99.819</v>
      </c>
      <c r="AM149" t="n">
        <v>45.416</v>
      </c>
      <c r="AN149" t="n">
        <v>58.268</v>
      </c>
      <c r="AO149" t="n">
        <v>46.387</v>
      </c>
      <c r="AP149" t="n">
        <v>58.954</v>
      </c>
      <c r="AQ149" t="n">
        <v>57.751</v>
      </c>
      <c r="AR149" t="n">
        <v>76.629</v>
      </c>
      <c r="AS149" t="n">
        <v>44.455</v>
      </c>
      <c r="AT149" t="n">
        <v>42.711</v>
      </c>
      <c r="AU149" t="n">
        <v>38.953</v>
      </c>
      <c r="AV149" t="n">
        <v>47.19</v>
      </c>
      <c r="AW149" t="n">
        <v>64.145</v>
      </c>
      <c r="AX149" t="n">
        <v>84.036</v>
      </c>
      <c r="AY149" t="n">
        <v>58.309</v>
      </c>
      <c r="AZ149" t="n">
        <v>53.78</v>
      </c>
      <c r="BA149" t="n">
        <v>51.4</v>
      </c>
      <c r="BB149" t="n">
        <v>84.833</v>
      </c>
      <c r="BC149" t="n">
        <v>96.113</v>
      </c>
      <c r="BD149" t="n">
        <v>190.442</v>
      </c>
      <c r="BE149" t="n">
        <v>195.216</v>
      </c>
      <c r="BF149" t="n">
        <v>181.679</v>
      </c>
      <c r="BG149" t="n">
        <v>219.399</v>
      </c>
      <c r="BH149" t="n">
        <v>203.777</v>
      </c>
      <c r="BI149" t="n">
        <v>191.3</v>
      </c>
      <c r="BJ149" t="n">
        <v>145.655</v>
      </c>
      <c r="BK149" t="n">
        <v>187.948</v>
      </c>
      <c r="BL149" t="n">
        <v>162.008</v>
      </c>
      <c r="BM149" t="n">
        <v>183.86</v>
      </c>
      <c r="BN149" t="n">
        <v>179.986</v>
      </c>
      <c r="BO149" t="n">
        <v>173.796</v>
      </c>
      <c r="BP149" t="n">
        <v>116.743</v>
      </c>
      <c r="BQ149" t="n">
        <v>57.761</v>
      </c>
      <c r="BR149" t="n">
        <v>62.012</v>
      </c>
      <c r="BS149" t="n">
        <v>55.649</v>
      </c>
      <c r="BT149" t="n">
        <v>41.964</v>
      </c>
      <c r="BU149" t="n">
        <v>35.406</v>
      </c>
      <c r="BV149" t="n">
        <v>30.058</v>
      </c>
    </row>
    <row r="150">
      <c r="A150" t="inlineStr">
        <is>
          <t>Mullus surmuletus</t>
        </is>
      </c>
      <c r="B150" t="inlineStr">
        <is>
          <t>Surmullet</t>
        </is>
      </c>
      <c r="C150" t="inlineStr">
        <is>
          <t>Medium demersals (30 - 89 cm)</t>
        </is>
      </c>
      <c r="D150" t="inlineStr">
        <is>
          <t>Perch-likes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1.991</v>
      </c>
      <c r="AL150" t="n">
        <v>0.249</v>
      </c>
      <c r="AM150" t="n">
        <v>0</v>
      </c>
      <c r="AN150" t="n">
        <v>0.996</v>
      </c>
      <c r="AO150" t="n">
        <v>1.493</v>
      </c>
      <c r="AP150" t="n">
        <v>2.238</v>
      </c>
      <c r="AQ150" t="n">
        <v>1.451</v>
      </c>
      <c r="AR150" t="n">
        <v>0.498</v>
      </c>
      <c r="AS150" t="n">
        <v>0.747</v>
      </c>
      <c r="AT150" t="n">
        <v>0.498</v>
      </c>
      <c r="AU150" t="n">
        <v>0.249</v>
      </c>
      <c r="AV150" t="n">
        <v>0.249</v>
      </c>
      <c r="AW150" t="n">
        <v>0.498</v>
      </c>
      <c r="AX150" t="n">
        <v>0.498</v>
      </c>
      <c r="AY150" t="n">
        <v>1.244</v>
      </c>
      <c r="AZ150" t="n">
        <v>1.244</v>
      </c>
      <c r="BA150" t="n">
        <v>1.244</v>
      </c>
      <c r="BB150" t="n">
        <v>2.239</v>
      </c>
      <c r="BC150" t="n">
        <v>2.239</v>
      </c>
      <c r="BD150" t="n">
        <v>5.223</v>
      </c>
      <c r="BE150" t="n">
        <v>11.94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301.876</v>
      </c>
      <c r="BO150" t="n">
        <v>191.783</v>
      </c>
      <c r="BP150" t="n">
        <v>96.583</v>
      </c>
      <c r="BQ150" t="n">
        <v>261.928</v>
      </c>
      <c r="BR150" t="n">
        <v>796.054</v>
      </c>
      <c r="BS150" t="n">
        <v>815.52</v>
      </c>
      <c r="BT150" t="n">
        <v>516.894</v>
      </c>
      <c r="BU150" t="n">
        <v>423.925</v>
      </c>
      <c r="BV150" t="n">
        <v>1158.723</v>
      </c>
    </row>
    <row r="151">
      <c r="A151" t="inlineStr">
        <is>
          <t>Pandalus</t>
        </is>
      </c>
      <c r="B151" t="inlineStr">
        <is>
          <t>Seabed shrimps</t>
        </is>
      </c>
      <c r="C151" t="inlineStr">
        <is>
          <t>Shrimps</t>
        </is>
      </c>
      <c r="D151" t="inlineStr">
        <is>
          <t>Crustaceans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669.3</v>
      </c>
      <c r="AB151" t="n">
        <v>0</v>
      </c>
      <c r="AC151" t="n">
        <v>0.06</v>
      </c>
      <c r="AD151" t="n">
        <v>0</v>
      </c>
      <c r="AE151" t="n">
        <v>0</v>
      </c>
      <c r="AF151" t="n">
        <v>0</v>
      </c>
      <c r="AG151" t="n">
        <v>0.114</v>
      </c>
      <c r="AH151" t="n">
        <v>0</v>
      </c>
      <c r="AI151" t="n">
        <v>0</v>
      </c>
      <c r="AJ151" t="n">
        <v>0</v>
      </c>
      <c r="AK151" t="n">
        <v>0</v>
      </c>
      <c r="AL151" t="n">
        <v>308.41</v>
      </c>
      <c r="AM151" t="n">
        <v>243.163</v>
      </c>
      <c r="AN151" t="n">
        <v>408.263</v>
      </c>
      <c r="AO151" t="n">
        <v>317.26</v>
      </c>
      <c r="AP151" t="n">
        <v>310.289</v>
      </c>
      <c r="AQ151" t="n">
        <v>371.219</v>
      </c>
      <c r="AR151" t="n">
        <v>193.614</v>
      </c>
      <c r="AS151" t="n">
        <v>159.202</v>
      </c>
      <c r="AT151" t="n">
        <v>125.312</v>
      </c>
      <c r="AU151" t="n">
        <v>67.10299999999999</v>
      </c>
      <c r="AV151" t="n">
        <v>28.615</v>
      </c>
      <c r="AW151" t="n">
        <v>36.512</v>
      </c>
      <c r="AX151" t="n">
        <v>45.397</v>
      </c>
      <c r="AY151" t="n">
        <v>38.456</v>
      </c>
      <c r="AZ151" t="n">
        <v>47.367</v>
      </c>
      <c r="BA151" t="n">
        <v>54.292</v>
      </c>
      <c r="BB151" t="n">
        <v>45.42</v>
      </c>
      <c r="BC151" t="n">
        <v>80.86499999999999</v>
      </c>
      <c r="BD151" t="n">
        <v>72.994</v>
      </c>
      <c r="BE151" t="n">
        <v>35.502</v>
      </c>
      <c r="BF151" t="n">
        <v>26.643</v>
      </c>
      <c r="BG151" t="n">
        <v>25.648</v>
      </c>
      <c r="BH151" t="n">
        <v>22.642</v>
      </c>
      <c r="BI151" t="n">
        <v>18.747</v>
      </c>
      <c r="BJ151" t="n">
        <v>9.859999999999999</v>
      </c>
      <c r="BK151" t="n">
        <v>12.82</v>
      </c>
      <c r="BL151" t="n">
        <v>16.767</v>
      </c>
      <c r="BM151" t="n">
        <v>18.767</v>
      </c>
      <c r="BN151" t="n">
        <v>57.451</v>
      </c>
      <c r="BO151" t="n">
        <v>39.015</v>
      </c>
      <c r="BP151" t="n">
        <v>14.278</v>
      </c>
      <c r="BQ151" t="n">
        <v>17.978</v>
      </c>
      <c r="BR151" t="n">
        <v>1.716</v>
      </c>
      <c r="BS151" t="n">
        <v>5.257</v>
      </c>
      <c r="BT151" t="n">
        <v>0.949</v>
      </c>
      <c r="BU151" t="n">
        <v>3.622</v>
      </c>
      <c r="BV151" t="n">
        <v>2.213</v>
      </c>
    </row>
    <row r="152">
      <c r="A152" t="inlineStr">
        <is>
          <t>Gasterosteus aculeatus</t>
        </is>
      </c>
      <c r="B152" t="inlineStr">
        <is>
          <t>Three-spined stickleback</t>
        </is>
      </c>
      <c r="C152" t="inlineStr">
        <is>
          <t>Small benthopelagics (&lt;30 cm)</t>
        </is>
      </c>
      <c r="D152" t="inlineStr">
        <is>
          <t>Other fishes &amp; inverts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2.219</v>
      </c>
      <c r="AM152" t="n">
        <v>0</v>
      </c>
      <c r="AN152" t="n">
        <v>229.874</v>
      </c>
      <c r="AO152" t="n">
        <v>453.319</v>
      </c>
      <c r="AP152" t="n">
        <v>229.569</v>
      </c>
      <c r="AQ152" t="n">
        <v>411.032</v>
      </c>
      <c r="AR152" t="n">
        <v>1124.708</v>
      </c>
      <c r="AS152" t="n">
        <v>803.606</v>
      </c>
      <c r="AT152" t="n">
        <v>210.358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1.611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4.431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9.140000000000001</v>
      </c>
      <c r="BO152" t="n">
        <v>146.977</v>
      </c>
      <c r="BP152" t="n">
        <v>0</v>
      </c>
      <c r="BQ152" t="n">
        <v>0</v>
      </c>
      <c r="BR152" t="n">
        <v>2.027</v>
      </c>
      <c r="BS152" t="n">
        <v>0.06900000000000001</v>
      </c>
      <c r="BT152" t="n">
        <v>12.384</v>
      </c>
      <c r="BU152" t="n">
        <v>0.182</v>
      </c>
      <c r="BV152" t="n">
        <v>0.168</v>
      </c>
    </row>
    <row r="153">
      <c r="A153" t="inlineStr">
        <is>
          <t>Buccinidae</t>
        </is>
      </c>
      <c r="B153" t="inlineStr">
        <is>
          <t>Buccinidae</t>
        </is>
      </c>
      <c r="C153" t="inlineStr">
        <is>
          <t>Other demersal invertebrates</t>
        </is>
      </c>
      <c r="D153" t="inlineStr">
        <is>
          <t>Molluscs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0.002</v>
      </c>
      <c r="AH153" t="n">
        <v>0</v>
      </c>
      <c r="AI153" t="n">
        <v>0</v>
      </c>
      <c r="AJ153" t="n">
        <v>0.001</v>
      </c>
      <c r="AK153" t="n">
        <v>0</v>
      </c>
      <c r="AL153" t="n">
        <v>3.002</v>
      </c>
      <c r="AM153" t="n">
        <v>0.003</v>
      </c>
      <c r="AN153" t="n">
        <v>6.003</v>
      </c>
      <c r="AO153" t="n">
        <v>0.043</v>
      </c>
      <c r="AP153" t="n">
        <v>7</v>
      </c>
      <c r="AQ153" t="n">
        <v>3.002</v>
      </c>
      <c r="AR153" t="n">
        <v>3.003</v>
      </c>
      <c r="AS153" t="n">
        <v>4.132</v>
      </c>
      <c r="AT153" t="n">
        <v>8.023</v>
      </c>
      <c r="AU153" t="n">
        <v>4.997</v>
      </c>
      <c r="AV153" t="n">
        <v>1</v>
      </c>
      <c r="AW153" t="n">
        <v>1.005</v>
      </c>
      <c r="AX153" t="n">
        <v>1.002</v>
      </c>
      <c r="AY153" t="n">
        <v>0.001</v>
      </c>
      <c r="AZ153" t="n">
        <v>1.282</v>
      </c>
      <c r="BA153" t="n">
        <v>1.005</v>
      </c>
      <c r="BB153" t="n">
        <v>1.591</v>
      </c>
      <c r="BC153" t="n">
        <v>3.222</v>
      </c>
      <c r="BD153" t="n">
        <v>3.129</v>
      </c>
      <c r="BE153" t="n">
        <v>2.094</v>
      </c>
      <c r="BF153" t="n">
        <v>1.091</v>
      </c>
      <c r="BG153" t="n">
        <v>0.386</v>
      </c>
      <c r="BH153" t="n">
        <v>1.096</v>
      </c>
      <c r="BI153" t="n">
        <v>1.247</v>
      </c>
      <c r="BJ153" t="n">
        <v>5.57</v>
      </c>
      <c r="BK153" t="n">
        <v>4.489</v>
      </c>
      <c r="BL153" t="n">
        <v>16.308</v>
      </c>
      <c r="BM153" t="n">
        <v>3386.882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</row>
    <row r="154">
      <c r="A154" t="inlineStr">
        <is>
          <t>Mullidae</t>
        </is>
      </c>
      <c r="B154" t="inlineStr">
        <is>
          <t>Goatfishes</t>
        </is>
      </c>
      <c r="C154" t="inlineStr">
        <is>
          <t>Medium reef assoc. fish (30 - 89 cm)</t>
        </is>
      </c>
      <c r="D154" t="inlineStr">
        <is>
          <t>Perch-likes</t>
        </is>
      </c>
      <c r="E154" t="n">
        <v>51.605</v>
      </c>
      <c r="F154" t="n">
        <v>87.23099999999999</v>
      </c>
      <c r="G154" t="n">
        <v>38.603</v>
      </c>
      <c r="H154" t="n">
        <v>49.448</v>
      </c>
      <c r="I154" t="n">
        <v>72.76900000000001</v>
      </c>
      <c r="J154" t="n">
        <v>84.81999999999999</v>
      </c>
      <c r="K154" t="n">
        <v>74.215</v>
      </c>
      <c r="L154" t="n">
        <v>79.898</v>
      </c>
      <c r="M154" t="n">
        <v>72.51900000000001</v>
      </c>
      <c r="N154" t="n">
        <v>66.687</v>
      </c>
      <c r="O154" t="n">
        <v>31.612</v>
      </c>
      <c r="P154" t="n">
        <v>109.09</v>
      </c>
      <c r="Q154" t="n">
        <v>15.478</v>
      </c>
      <c r="R154" t="n">
        <v>14.02</v>
      </c>
      <c r="S154" t="n">
        <v>154.852</v>
      </c>
      <c r="T154" t="n">
        <v>175.189</v>
      </c>
      <c r="U154" t="n">
        <v>128.574</v>
      </c>
      <c r="V154" t="n">
        <v>2.265</v>
      </c>
      <c r="W154" t="n">
        <v>72.10899999999999</v>
      </c>
      <c r="X154" t="n">
        <v>33.356</v>
      </c>
      <c r="Y154" t="n">
        <v>81.48099999999999</v>
      </c>
      <c r="Z154" t="n">
        <v>77.06100000000001</v>
      </c>
      <c r="AA154" t="n">
        <v>63.51</v>
      </c>
      <c r="AB154" t="n">
        <v>70.378</v>
      </c>
      <c r="AC154" t="n">
        <v>62.022</v>
      </c>
      <c r="AD154" t="n">
        <v>57.624</v>
      </c>
      <c r="AE154" t="n">
        <v>40.15</v>
      </c>
      <c r="AF154" t="n">
        <v>38.948</v>
      </c>
      <c r="AG154" t="n">
        <v>54.3</v>
      </c>
      <c r="AH154" t="n">
        <v>69.66200000000001</v>
      </c>
      <c r="AI154" t="n">
        <v>56.12</v>
      </c>
      <c r="AJ154" t="n">
        <v>62.99</v>
      </c>
      <c r="AK154" t="n">
        <v>45.438</v>
      </c>
      <c r="AL154" t="n">
        <v>39.847</v>
      </c>
      <c r="AM154" t="n">
        <v>34.638</v>
      </c>
      <c r="AN154" t="n">
        <v>34.238</v>
      </c>
      <c r="AO154" t="n">
        <v>25.997</v>
      </c>
      <c r="AP154" t="n">
        <v>37.9</v>
      </c>
      <c r="AQ154" t="n">
        <v>41.397</v>
      </c>
      <c r="AR154" t="n">
        <v>28.81</v>
      </c>
      <c r="AS154" t="n">
        <v>23.372</v>
      </c>
      <c r="AT154" t="n">
        <v>22.724</v>
      </c>
      <c r="AU154" t="n">
        <v>21.325</v>
      </c>
      <c r="AV154" t="n">
        <v>22.345</v>
      </c>
      <c r="AW154" t="n">
        <v>22.375</v>
      </c>
      <c r="AX154" t="n">
        <v>28.883</v>
      </c>
      <c r="AY154" t="n">
        <v>26.908</v>
      </c>
      <c r="AZ154" t="n">
        <v>28.213</v>
      </c>
      <c r="BA154" t="n">
        <v>36.578</v>
      </c>
      <c r="BB154" t="n">
        <v>47.56</v>
      </c>
      <c r="BC154" t="n">
        <v>59.052</v>
      </c>
      <c r="BD154" t="n">
        <v>62.465</v>
      </c>
      <c r="BE154" t="n">
        <v>78.095</v>
      </c>
      <c r="BF154" t="n">
        <v>76.70099999999999</v>
      </c>
      <c r="BG154" t="n">
        <v>48.367</v>
      </c>
      <c r="BH154" t="n">
        <v>62.005</v>
      </c>
      <c r="BI154" t="n">
        <v>27.758</v>
      </c>
      <c r="BJ154" t="n">
        <v>28.357</v>
      </c>
      <c r="BK154" t="n">
        <v>35.761</v>
      </c>
      <c r="BL154" t="n">
        <v>40.336</v>
      </c>
      <c r="BM154" t="n">
        <v>38.358</v>
      </c>
      <c r="BN154" t="n">
        <v>14.27</v>
      </c>
      <c r="BO154" t="n">
        <v>12.213</v>
      </c>
      <c r="BP154" t="n">
        <v>8.19</v>
      </c>
      <c r="BQ154" t="n">
        <v>10.499</v>
      </c>
      <c r="BR154" t="n">
        <v>5.84</v>
      </c>
      <c r="BS154" t="n">
        <v>5.642</v>
      </c>
      <c r="BT154" t="n">
        <v>5.554</v>
      </c>
      <c r="BU154" t="n">
        <v>16.329</v>
      </c>
      <c r="BV154" t="n">
        <v>14.192</v>
      </c>
    </row>
    <row r="155">
      <c r="A155" t="inlineStr">
        <is>
          <t>Littorina littorea</t>
        </is>
      </c>
      <c r="B155" t="inlineStr">
        <is>
          <t>Common periwinkle</t>
        </is>
      </c>
      <c r="C155" t="inlineStr">
        <is>
          <t>Other demersal invertebrates</t>
        </is>
      </c>
      <c r="D155" t="inlineStr">
        <is>
          <t>Molluscs</t>
        </is>
      </c>
      <c r="E155" t="n">
        <v>247.395</v>
      </c>
      <c r="F155" t="n">
        <v>252.382</v>
      </c>
      <c r="G155" t="n">
        <v>237.421</v>
      </c>
      <c r="H155" t="n">
        <v>197.527</v>
      </c>
      <c r="I155" t="n">
        <v>173.592</v>
      </c>
      <c r="J155" t="n">
        <v>170.6</v>
      </c>
      <c r="K155" t="n">
        <v>157.633</v>
      </c>
      <c r="L155" t="n">
        <v>174.589</v>
      </c>
      <c r="M155" t="n">
        <v>186.556</v>
      </c>
      <c r="N155" t="n">
        <v>176.583</v>
      </c>
      <c r="O155" t="n">
        <v>180.572</v>
      </c>
      <c r="P155" t="n">
        <v>185.656</v>
      </c>
      <c r="Q155" t="n">
        <v>190.739</v>
      </c>
      <c r="R155" t="n">
        <v>155.928</v>
      </c>
      <c r="S155" t="n">
        <v>126.104</v>
      </c>
      <c r="T155" t="n">
        <v>111.241</v>
      </c>
      <c r="U155" t="n">
        <v>88.398</v>
      </c>
      <c r="V155" t="n">
        <v>67.55</v>
      </c>
      <c r="W155" t="n">
        <v>47.7</v>
      </c>
      <c r="X155" t="n">
        <v>14.884</v>
      </c>
      <c r="Y155" t="n">
        <v>12.986</v>
      </c>
      <c r="Z155" t="n">
        <v>11.687</v>
      </c>
      <c r="AA155" t="n">
        <v>10.389</v>
      </c>
      <c r="AB155" t="n">
        <v>9.09</v>
      </c>
      <c r="AC155" t="n">
        <v>7.792</v>
      </c>
      <c r="AD155" t="n">
        <v>6.493</v>
      </c>
      <c r="AE155" t="n">
        <v>5.194</v>
      </c>
      <c r="AF155" t="n">
        <v>3.896</v>
      </c>
      <c r="AG155" t="n">
        <v>2.597</v>
      </c>
      <c r="AH155" t="n">
        <v>1.299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0.25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0.999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0.163</v>
      </c>
      <c r="BV155" t="n">
        <v>1.474</v>
      </c>
    </row>
    <row r="156">
      <c r="A156" t="inlineStr">
        <is>
          <t>Spondyliosoma cantharus</t>
        </is>
      </c>
      <c r="B156" t="inlineStr">
        <is>
          <t>Black seabream</t>
        </is>
      </c>
      <c r="C156" t="inlineStr">
        <is>
          <t>Medium benthopelagics (30 - 89 cm)</t>
        </is>
      </c>
      <c r="D156" t="inlineStr">
        <is>
          <t>Perch-likes</t>
        </is>
      </c>
      <c r="E156" t="n">
        <v>147.682</v>
      </c>
      <c r="F156" t="n">
        <v>135.383</v>
      </c>
      <c r="G156" t="n">
        <v>120.185</v>
      </c>
      <c r="H156" t="n">
        <v>90.071</v>
      </c>
      <c r="I156" t="n">
        <v>63.524</v>
      </c>
      <c r="J156" t="n">
        <v>66.684</v>
      </c>
      <c r="K156" t="n">
        <v>87.794</v>
      </c>
      <c r="L156" t="n">
        <v>144.289</v>
      </c>
      <c r="M156" t="n">
        <v>121.463</v>
      </c>
      <c r="N156" t="n">
        <v>128.651</v>
      </c>
      <c r="O156" t="n">
        <v>150.861</v>
      </c>
      <c r="P156" t="n">
        <v>123.511</v>
      </c>
      <c r="Q156" t="n">
        <v>119.003</v>
      </c>
      <c r="R156" t="n">
        <v>64.346</v>
      </c>
      <c r="S156" t="n">
        <v>73.72</v>
      </c>
      <c r="T156" t="n">
        <v>53.182</v>
      </c>
      <c r="U156" t="n">
        <v>79.774</v>
      </c>
      <c r="V156" t="n">
        <v>53.182</v>
      </c>
      <c r="W156" t="n">
        <v>53.182</v>
      </c>
      <c r="X156" t="n">
        <v>26.591</v>
      </c>
      <c r="Y156" t="n">
        <v>13.296</v>
      </c>
      <c r="Z156" t="n">
        <v>13.296</v>
      </c>
      <c r="AA156" t="n">
        <v>13.296</v>
      </c>
      <c r="AB156" t="n">
        <v>13.296</v>
      </c>
      <c r="AC156" t="n">
        <v>9.134</v>
      </c>
      <c r="AD156" t="n">
        <v>4.973</v>
      </c>
      <c r="AE156" t="n">
        <v>0</v>
      </c>
      <c r="AF156" t="n">
        <v>88.93300000000001</v>
      </c>
      <c r="AG156" t="n">
        <v>33.142</v>
      </c>
      <c r="AH156" t="n">
        <v>40.067</v>
      </c>
      <c r="AI156" t="n">
        <v>0</v>
      </c>
      <c r="AJ156" t="n">
        <v>0</v>
      </c>
      <c r="AK156" t="n">
        <v>1.245</v>
      </c>
      <c r="AL156" t="n">
        <v>0.024</v>
      </c>
      <c r="AM156" t="n">
        <v>55.79</v>
      </c>
      <c r="AN156" t="n">
        <v>37.909</v>
      </c>
      <c r="AO156" t="n">
        <v>65.794</v>
      </c>
      <c r="AP156" t="n">
        <v>13.988</v>
      </c>
      <c r="AQ156" t="n">
        <v>19.076</v>
      </c>
      <c r="AR156" t="n">
        <v>9.061999999999999</v>
      </c>
      <c r="AS156" t="n">
        <v>18.146</v>
      </c>
      <c r="AT156" t="n">
        <v>31.06</v>
      </c>
      <c r="AU156" t="n">
        <v>27.126</v>
      </c>
      <c r="AV156" t="n">
        <v>38.092</v>
      </c>
      <c r="AW156" t="n">
        <v>20.088</v>
      </c>
      <c r="AX156" t="n">
        <v>29.999</v>
      </c>
      <c r="AY156" t="n">
        <v>8.166</v>
      </c>
      <c r="AZ156" t="n">
        <v>16.091</v>
      </c>
      <c r="BA156" t="n">
        <v>16.474</v>
      </c>
      <c r="BB156" t="n">
        <v>13.246</v>
      </c>
      <c r="BC156" t="n">
        <v>9.413</v>
      </c>
      <c r="BD156" t="n">
        <v>23.053</v>
      </c>
      <c r="BE156" t="n">
        <v>36.268</v>
      </c>
      <c r="BF156" t="n">
        <v>12.623</v>
      </c>
      <c r="BG156" t="n">
        <v>16.131</v>
      </c>
      <c r="BH156" t="n">
        <v>43.621</v>
      </c>
      <c r="BI156" t="n">
        <v>13.648</v>
      </c>
      <c r="BJ156" t="n">
        <v>125.896</v>
      </c>
      <c r="BK156" t="n">
        <v>113.049</v>
      </c>
      <c r="BL156" t="n">
        <v>56.861</v>
      </c>
      <c r="BM156" t="n">
        <v>27.134</v>
      </c>
      <c r="BN156" t="n">
        <v>13.424</v>
      </c>
      <c r="BO156" t="n">
        <v>5.152</v>
      </c>
      <c r="BP156" t="n">
        <v>11.23</v>
      </c>
      <c r="BQ156" t="n">
        <v>13.263</v>
      </c>
      <c r="BR156" t="n">
        <v>3.895</v>
      </c>
      <c r="BS156" t="n">
        <v>6.775</v>
      </c>
      <c r="BT156" t="n">
        <v>7.086</v>
      </c>
      <c r="BU156" t="n">
        <v>5.999</v>
      </c>
      <c r="BV156" t="n">
        <v>10.077</v>
      </c>
    </row>
    <row r="157">
      <c r="A157" t="inlineStr">
        <is>
          <t>Chamelea gallina</t>
        </is>
      </c>
      <c r="B157" t="inlineStr">
        <is>
          <t>Striped venus</t>
        </is>
      </c>
      <c r="C157" t="inlineStr">
        <is>
          <t>Other demersal invertebrates</t>
        </is>
      </c>
      <c r="D157" t="inlineStr">
        <is>
          <t>Molluscs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483.175</v>
      </c>
      <c r="AV157" t="n">
        <v>0</v>
      </c>
      <c r="AW157" t="n">
        <v>1258.318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286.681</v>
      </c>
      <c r="BT157" t="n">
        <v>643.747</v>
      </c>
      <c r="BU157" t="n">
        <v>0</v>
      </c>
      <c r="BV157" t="n">
        <v>19.948</v>
      </c>
    </row>
    <row r="158">
      <c r="A158" t="inlineStr">
        <is>
          <t>Loligo</t>
        </is>
      </c>
      <c r="B158" t="inlineStr">
        <is>
          <t>Common squids</t>
        </is>
      </c>
      <c r="C158" t="inlineStr">
        <is>
          <t>Cephalopods</t>
        </is>
      </c>
      <c r="D158" t="inlineStr">
        <is>
          <t>Other fishes &amp; inverts</t>
        </is>
      </c>
      <c r="E158" t="n">
        <v>0.002</v>
      </c>
      <c r="F158" t="n">
        <v>0.011</v>
      </c>
      <c r="G158" t="n">
        <v>0.008999999999999999</v>
      </c>
      <c r="H158" t="n">
        <v>0.008</v>
      </c>
      <c r="I158" t="n">
        <v>0.01</v>
      </c>
      <c r="J158" t="n">
        <v>0.006</v>
      </c>
      <c r="K158" t="n">
        <v>0.008</v>
      </c>
      <c r="L158" t="n">
        <v>0.11</v>
      </c>
      <c r="M158" t="n">
        <v>0.006</v>
      </c>
      <c r="N158" t="n">
        <v>0.002</v>
      </c>
      <c r="O158" t="n">
        <v>131.57</v>
      </c>
      <c r="P158" t="n">
        <v>41.906</v>
      </c>
      <c r="Q158" t="n">
        <v>17.972</v>
      </c>
      <c r="R158" t="n">
        <v>24.86</v>
      </c>
      <c r="S158" t="n">
        <v>0.042</v>
      </c>
      <c r="T158" t="n">
        <v>0.03</v>
      </c>
      <c r="U158" t="n">
        <v>0.026</v>
      </c>
      <c r="V158" t="n">
        <v>0.041</v>
      </c>
      <c r="W158" t="n">
        <v>0.194</v>
      </c>
      <c r="X158" t="n">
        <v>0.599</v>
      </c>
      <c r="Y158" t="n">
        <v>0.429</v>
      </c>
      <c r="Z158" t="n">
        <v>1.559</v>
      </c>
      <c r="AA158" t="n">
        <v>0.442</v>
      </c>
      <c r="AB158" t="n">
        <v>0.386</v>
      </c>
      <c r="AC158" t="n">
        <v>4.711</v>
      </c>
      <c r="AD158" t="n">
        <v>6.047</v>
      </c>
      <c r="AE158" t="n">
        <v>4.042</v>
      </c>
      <c r="AF158" t="n">
        <v>13.095</v>
      </c>
      <c r="AG158" t="n">
        <v>0.293</v>
      </c>
      <c r="AH158" t="n">
        <v>1.044</v>
      </c>
      <c r="AI158" t="n">
        <v>1.379</v>
      </c>
      <c r="AJ158" t="n">
        <v>1.307</v>
      </c>
      <c r="AK158" t="n">
        <v>1.043</v>
      </c>
      <c r="AL158" t="n">
        <v>0.901</v>
      </c>
      <c r="AM158" t="n">
        <v>0.841</v>
      </c>
      <c r="AN158" t="n">
        <v>1.39</v>
      </c>
      <c r="AO158" t="n">
        <v>1.173</v>
      </c>
      <c r="AP158" t="n">
        <v>0.9370000000000001</v>
      </c>
      <c r="AQ158" t="n">
        <v>1.111</v>
      </c>
      <c r="AR158" t="n">
        <v>1.715</v>
      </c>
      <c r="AS158" t="n">
        <v>1.492</v>
      </c>
      <c r="AT158" t="n">
        <v>1.408</v>
      </c>
      <c r="AU158" t="n">
        <v>1.829</v>
      </c>
      <c r="AV158" t="n">
        <v>1.991</v>
      </c>
      <c r="AW158" t="n">
        <v>3.561</v>
      </c>
      <c r="AX158" t="n">
        <v>4.55</v>
      </c>
      <c r="AY158" t="n">
        <v>3.786</v>
      </c>
      <c r="AZ158" t="n">
        <v>3.792</v>
      </c>
      <c r="BA158" t="n">
        <v>3.118</v>
      </c>
      <c r="BB158" t="n">
        <v>3.478</v>
      </c>
      <c r="BC158" t="n">
        <v>2.103</v>
      </c>
      <c r="BD158" t="n">
        <v>2.043</v>
      </c>
      <c r="BE158" t="n">
        <v>1.65</v>
      </c>
      <c r="BF158" t="n">
        <v>2.563</v>
      </c>
      <c r="BG158" t="n">
        <v>3.767</v>
      </c>
      <c r="BH158" t="n">
        <v>2.262</v>
      </c>
      <c r="BI158" t="n">
        <v>3.294</v>
      </c>
      <c r="BJ158" t="n">
        <v>3.963</v>
      </c>
      <c r="BK158" t="n">
        <v>3.412</v>
      </c>
      <c r="BL158" t="n">
        <v>3.708</v>
      </c>
      <c r="BM158" t="n">
        <v>3.23</v>
      </c>
      <c r="BN158" t="n">
        <v>2.583</v>
      </c>
      <c r="BO158" t="n">
        <v>3.758</v>
      </c>
      <c r="BP158" t="n">
        <v>7.064</v>
      </c>
      <c r="BQ158" t="n">
        <v>4.776</v>
      </c>
      <c r="BR158" t="n">
        <v>58.544</v>
      </c>
      <c r="BS158" t="n">
        <v>34.359</v>
      </c>
      <c r="BT158" t="n">
        <v>71.203</v>
      </c>
      <c r="BU158" t="n">
        <v>28.291</v>
      </c>
      <c r="BV158" t="n">
        <v>2099.643</v>
      </c>
    </row>
    <row r="159">
      <c r="A159" t="inlineStr">
        <is>
          <t>Rajidae</t>
        </is>
      </c>
      <c r="B159" t="inlineStr">
        <is>
          <t>Stingrays</t>
        </is>
      </c>
      <c r="C159" t="inlineStr">
        <is>
          <t>Large rays (&gt;=90 cm)</t>
        </is>
      </c>
      <c r="D159" t="inlineStr">
        <is>
          <t>Sharks &amp; rays</t>
        </is>
      </c>
      <c r="E159" t="n">
        <v>414.991</v>
      </c>
      <c r="F159" t="n">
        <v>14.05</v>
      </c>
      <c r="G159" t="n">
        <v>11.013</v>
      </c>
      <c r="H159" t="n">
        <v>35.897</v>
      </c>
      <c r="I159" t="n">
        <v>31.479</v>
      </c>
      <c r="J159" t="n">
        <v>32.779</v>
      </c>
      <c r="K159" t="n">
        <v>158.09</v>
      </c>
      <c r="L159" t="n">
        <v>209.5</v>
      </c>
      <c r="M159" t="n">
        <v>164.467</v>
      </c>
      <c r="N159" t="n">
        <v>147.677</v>
      </c>
      <c r="O159" t="n">
        <v>181.235</v>
      </c>
      <c r="P159" t="n">
        <v>159.453</v>
      </c>
      <c r="Q159" t="n">
        <v>4.457</v>
      </c>
      <c r="R159" t="n">
        <v>4.191</v>
      </c>
      <c r="S159" t="n">
        <v>4.703</v>
      </c>
      <c r="T159" t="n">
        <v>5.255</v>
      </c>
      <c r="U159" t="n">
        <v>4.621</v>
      </c>
      <c r="V159" t="n">
        <v>4.416</v>
      </c>
      <c r="W159" t="n">
        <v>5.255</v>
      </c>
      <c r="X159" t="n">
        <v>5.541</v>
      </c>
      <c r="Y159" t="n">
        <v>8.076000000000001</v>
      </c>
      <c r="Z159" t="n">
        <v>9.295999999999999</v>
      </c>
      <c r="AA159" t="n">
        <v>6.536</v>
      </c>
      <c r="AB159" t="n">
        <v>7.973</v>
      </c>
      <c r="AC159" t="n">
        <v>7.148</v>
      </c>
      <c r="AD159" t="n">
        <v>11.869</v>
      </c>
      <c r="AE159" t="n">
        <v>8.689</v>
      </c>
      <c r="AF159" t="n">
        <v>7.981</v>
      </c>
      <c r="AG159" t="n">
        <v>6.925</v>
      </c>
      <c r="AH159" t="n">
        <v>5.479</v>
      </c>
      <c r="AI159" t="n">
        <v>8.127000000000001</v>
      </c>
      <c r="AJ159" t="n">
        <v>10.812</v>
      </c>
      <c r="AK159" t="n">
        <v>12.531</v>
      </c>
      <c r="AL159" t="n">
        <v>30.949</v>
      </c>
      <c r="AM159" t="n">
        <v>41.468</v>
      </c>
      <c r="AN159" t="n">
        <v>28.908</v>
      </c>
      <c r="AO159" t="n">
        <v>14.754</v>
      </c>
      <c r="AP159" t="n">
        <v>22.876</v>
      </c>
      <c r="AQ159" t="n">
        <v>29.532</v>
      </c>
      <c r="AR159" t="n">
        <v>29.269</v>
      </c>
      <c r="AS159" t="n">
        <v>17.194</v>
      </c>
      <c r="AT159" t="n">
        <v>12.303</v>
      </c>
      <c r="AU159" t="n">
        <v>39.924</v>
      </c>
      <c r="AV159" t="n">
        <v>42.952</v>
      </c>
      <c r="AW159" t="n">
        <v>46.164</v>
      </c>
      <c r="AX159" t="n">
        <v>10.305</v>
      </c>
      <c r="AY159" t="n">
        <v>13.924</v>
      </c>
      <c r="AZ159" t="n">
        <v>21.426</v>
      </c>
      <c r="BA159" t="n">
        <v>12.281</v>
      </c>
      <c r="BB159" t="n">
        <v>11.38</v>
      </c>
      <c r="BC159" t="n">
        <v>9.446999999999999</v>
      </c>
      <c r="BD159" t="n">
        <v>18.865</v>
      </c>
      <c r="BE159" t="n">
        <v>15.769</v>
      </c>
      <c r="BF159" t="n">
        <v>21.378</v>
      </c>
      <c r="BG159" t="n">
        <v>29.832</v>
      </c>
      <c r="BH159" t="n">
        <v>13.052</v>
      </c>
      <c r="BI159" t="n">
        <v>21.945</v>
      </c>
      <c r="BJ159" t="n">
        <v>14.666</v>
      </c>
      <c r="BK159" t="n">
        <v>9.153</v>
      </c>
      <c r="BL159" t="n">
        <v>3.606</v>
      </c>
      <c r="BM159" t="n">
        <v>11.244</v>
      </c>
      <c r="BN159" t="n">
        <v>33.382</v>
      </c>
      <c r="BO159" t="n">
        <v>17.635</v>
      </c>
      <c r="BP159" t="n">
        <v>9.146000000000001</v>
      </c>
      <c r="BQ159" t="n">
        <v>9.359</v>
      </c>
      <c r="BR159" t="n">
        <v>9.939</v>
      </c>
      <c r="BS159" t="n">
        <v>1.575</v>
      </c>
      <c r="BT159" t="n">
        <v>5.893</v>
      </c>
      <c r="BU159" t="n">
        <v>17.201</v>
      </c>
      <c r="BV159" t="n">
        <v>12.651</v>
      </c>
    </row>
    <row r="160">
      <c r="A160" t="inlineStr">
        <is>
          <t>Mustelus mustelus</t>
        </is>
      </c>
      <c r="B160" t="inlineStr">
        <is>
          <t>Smooth-hound</t>
        </is>
      </c>
      <c r="C160" t="inlineStr">
        <is>
          <t>Large sharks (&gt;=90 cm)</t>
        </is>
      </c>
      <c r="D160" t="inlineStr">
        <is>
          <t>Sharks &amp; rays</t>
        </is>
      </c>
      <c r="E160" t="n">
        <v>23.379</v>
      </c>
      <c r="F160" t="n">
        <v>24.649</v>
      </c>
      <c r="G160" t="n">
        <v>25.793</v>
      </c>
      <c r="H160" t="n">
        <v>28.581</v>
      </c>
      <c r="I160" t="n">
        <v>25.927</v>
      </c>
      <c r="J160" t="n">
        <v>27.695</v>
      </c>
      <c r="K160" t="n">
        <v>20.995</v>
      </c>
      <c r="L160" t="n">
        <v>17.131</v>
      </c>
      <c r="M160" t="n">
        <v>15.08</v>
      </c>
      <c r="N160" t="n">
        <v>19.84</v>
      </c>
      <c r="O160" t="n">
        <v>16.689</v>
      </c>
      <c r="P160" t="n">
        <v>17.662</v>
      </c>
      <c r="Q160" t="n">
        <v>19.311</v>
      </c>
      <c r="R160" t="n">
        <v>18.512</v>
      </c>
      <c r="S160" t="n">
        <v>26.54</v>
      </c>
      <c r="T160" t="n">
        <v>65.258</v>
      </c>
      <c r="U160" t="n">
        <v>83.67100000000001</v>
      </c>
      <c r="V160" t="n">
        <v>62.291</v>
      </c>
      <c r="W160" t="n">
        <v>58.1</v>
      </c>
      <c r="X160" t="n">
        <v>65.526</v>
      </c>
      <c r="Y160" t="n">
        <v>59.863</v>
      </c>
      <c r="Z160" t="n">
        <v>71.782</v>
      </c>
      <c r="AA160" t="n">
        <v>82.89100000000001</v>
      </c>
      <c r="AB160" t="n">
        <v>216.747</v>
      </c>
      <c r="AC160" t="n">
        <v>109.876</v>
      </c>
      <c r="AD160" t="n">
        <v>96.40900000000001</v>
      </c>
      <c r="AE160" t="n">
        <v>0.054</v>
      </c>
      <c r="AF160" t="n">
        <v>0.055</v>
      </c>
      <c r="AG160" t="n">
        <v>0.056</v>
      </c>
      <c r="AH160" t="n">
        <v>0.056</v>
      </c>
      <c r="AI160" t="n">
        <v>0.057</v>
      </c>
      <c r="AJ160" t="n">
        <v>0.058</v>
      </c>
      <c r="AK160" t="n">
        <v>0.059</v>
      </c>
      <c r="AL160" t="n">
        <v>0.06</v>
      </c>
      <c r="AM160" t="n">
        <v>0.061</v>
      </c>
      <c r="AN160" t="n">
        <v>0.062</v>
      </c>
      <c r="AO160" t="n">
        <v>0.063</v>
      </c>
      <c r="AP160" t="n">
        <v>0.064</v>
      </c>
      <c r="AQ160" t="n">
        <v>0.065</v>
      </c>
      <c r="AR160" t="n">
        <v>0.066</v>
      </c>
      <c r="AS160" t="n">
        <v>0.067</v>
      </c>
      <c r="AT160" t="n">
        <v>0.068</v>
      </c>
      <c r="AU160" t="n">
        <v>0.06900000000000001</v>
      </c>
      <c r="AV160" t="n">
        <v>0.07000000000000001</v>
      </c>
      <c r="AW160" t="n">
        <v>0.07099999999999999</v>
      </c>
      <c r="AX160" t="n">
        <v>0.07199999999999999</v>
      </c>
      <c r="AY160" t="n">
        <v>0.073</v>
      </c>
      <c r="AZ160" t="n">
        <v>0.074</v>
      </c>
      <c r="BA160" t="n">
        <v>0.075</v>
      </c>
      <c r="BB160" t="n">
        <v>0.076</v>
      </c>
      <c r="BC160" t="n">
        <v>3.265</v>
      </c>
      <c r="BD160" t="n">
        <v>0.078</v>
      </c>
      <c r="BE160" t="n">
        <v>0.079</v>
      </c>
      <c r="BF160" t="n">
        <v>0.079</v>
      </c>
      <c r="BG160" t="n">
        <v>0.08</v>
      </c>
      <c r="BH160" t="n">
        <v>0.081</v>
      </c>
      <c r="BI160" t="n">
        <v>0.905</v>
      </c>
      <c r="BJ160" t="n">
        <v>0.638</v>
      </c>
      <c r="BK160" t="n">
        <v>29.601</v>
      </c>
      <c r="BL160" t="n">
        <v>115.16</v>
      </c>
      <c r="BM160" t="n">
        <v>185.126</v>
      </c>
      <c r="BN160" t="n">
        <v>222.874</v>
      </c>
      <c r="BO160" t="n">
        <v>221.499</v>
      </c>
      <c r="BP160" t="n">
        <v>38.632</v>
      </c>
      <c r="BQ160" t="n">
        <v>53.964</v>
      </c>
      <c r="BR160" t="n">
        <v>45.388</v>
      </c>
      <c r="BS160" t="n">
        <v>48.97</v>
      </c>
      <c r="BT160" t="n">
        <v>38.69</v>
      </c>
      <c r="BU160" t="n">
        <v>41.442</v>
      </c>
      <c r="BV160" t="n">
        <v>66.12</v>
      </c>
    </row>
    <row r="161">
      <c r="A161" t="inlineStr">
        <is>
          <t>Raja microocellata</t>
        </is>
      </c>
      <c r="B161" t="inlineStr">
        <is>
          <t>Small-eyed ray</t>
        </is>
      </c>
      <c r="C161" t="inlineStr">
        <is>
          <t>Small to medium rays (&lt;90 cm)</t>
        </is>
      </c>
      <c r="D161" t="inlineStr">
        <is>
          <t>Sharks &amp; rays</t>
        </is>
      </c>
      <c r="E161" t="n">
        <v>111.518</v>
      </c>
      <c r="F161" t="n">
        <v>111.622</v>
      </c>
      <c r="G161" t="n">
        <v>100.735</v>
      </c>
      <c r="H161" t="n">
        <v>103.061</v>
      </c>
      <c r="I161" t="n">
        <v>98.974</v>
      </c>
      <c r="J161" t="n">
        <v>97.467</v>
      </c>
      <c r="K161" t="n">
        <v>98.005</v>
      </c>
      <c r="L161" t="n">
        <v>99.337</v>
      </c>
      <c r="M161" t="n">
        <v>101.257</v>
      </c>
      <c r="N161" t="n">
        <v>92.25</v>
      </c>
      <c r="O161" t="n">
        <v>80.964</v>
      </c>
      <c r="P161" t="n">
        <v>79.239</v>
      </c>
      <c r="Q161" t="n">
        <v>75.95</v>
      </c>
      <c r="R161" t="n">
        <v>79.374</v>
      </c>
      <c r="S161" t="n">
        <v>68.379</v>
      </c>
      <c r="T161" t="n">
        <v>116.53</v>
      </c>
      <c r="U161" t="n">
        <v>103.995</v>
      </c>
      <c r="V161" t="n">
        <v>99.81699999999999</v>
      </c>
      <c r="W161" t="n">
        <v>101.21</v>
      </c>
      <c r="X161" t="n">
        <v>94.70999999999999</v>
      </c>
      <c r="Y161" t="n">
        <v>81.246</v>
      </c>
      <c r="Z161" t="n">
        <v>86.35299999999999</v>
      </c>
      <c r="AA161" t="n">
        <v>81.246</v>
      </c>
      <c r="AB161" t="n">
        <v>69.64</v>
      </c>
      <c r="AC161" t="n">
        <v>61.283</v>
      </c>
      <c r="AD161" t="n">
        <v>61.631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0.001</v>
      </c>
      <c r="BG161" t="n">
        <v>0.001</v>
      </c>
      <c r="BH161" t="n">
        <v>0.001</v>
      </c>
      <c r="BI161" t="n">
        <v>0.001</v>
      </c>
      <c r="BJ161" t="n">
        <v>0.002</v>
      </c>
      <c r="BK161" t="n">
        <v>0</v>
      </c>
      <c r="BL161" t="n">
        <v>0.004</v>
      </c>
      <c r="BM161" t="n">
        <v>0.003</v>
      </c>
      <c r="BN161" t="n">
        <v>0.121</v>
      </c>
      <c r="BO161" t="n">
        <v>0.002</v>
      </c>
      <c r="BP161" t="n">
        <v>0.011</v>
      </c>
      <c r="BQ161" t="n">
        <v>0.012</v>
      </c>
      <c r="BR161" t="n">
        <v>0.101</v>
      </c>
      <c r="BS161" t="n">
        <v>0.275</v>
      </c>
      <c r="BT161" t="n">
        <v>0.001</v>
      </c>
      <c r="BU161" t="n">
        <v>0.163</v>
      </c>
      <c r="BV161" t="n">
        <v>0.035</v>
      </c>
    </row>
    <row r="162">
      <c r="A162" t="inlineStr">
        <is>
          <t>Clupeiformes</t>
        </is>
      </c>
      <c r="B162" t="inlineStr">
        <is>
          <t>Herrings, shads, anchovies</t>
        </is>
      </c>
      <c r="C162" t="inlineStr">
        <is>
          <t>Small pelagics (&lt;30 cm)</t>
        </is>
      </c>
      <c r="D162" t="inlineStr">
        <is>
          <t>Other fishes &amp; inverts</t>
        </is>
      </c>
      <c r="E162" t="n">
        <v>0</v>
      </c>
      <c r="F162" t="n">
        <v>0</v>
      </c>
      <c r="G162" t="n">
        <v>7.167</v>
      </c>
      <c r="H162" t="n">
        <v>0</v>
      </c>
      <c r="I162" t="n">
        <v>0</v>
      </c>
      <c r="J162" t="n">
        <v>64.111</v>
      </c>
      <c r="K162" t="n">
        <v>47.582</v>
      </c>
      <c r="L162" t="n">
        <v>25.043</v>
      </c>
      <c r="M162" t="n">
        <v>10.238</v>
      </c>
      <c r="N162" t="n">
        <v>5.994</v>
      </c>
      <c r="O162" t="n">
        <v>59.445</v>
      </c>
      <c r="P162" t="n">
        <v>13.986</v>
      </c>
      <c r="Q162" t="n">
        <v>1.982</v>
      </c>
      <c r="R162" t="n">
        <v>11.618</v>
      </c>
      <c r="S162" t="n">
        <v>0</v>
      </c>
      <c r="T162" t="n">
        <v>0</v>
      </c>
      <c r="U162" t="n">
        <v>175.404</v>
      </c>
      <c r="V162" t="n">
        <v>589.056</v>
      </c>
      <c r="W162" t="n">
        <v>15.855</v>
      </c>
      <c r="X162" t="n">
        <v>973.375</v>
      </c>
      <c r="Y162" t="n">
        <v>1.982</v>
      </c>
      <c r="Z162" t="n">
        <v>0.999</v>
      </c>
      <c r="AA162" t="n">
        <v>0</v>
      </c>
      <c r="AB162" t="n">
        <v>0</v>
      </c>
      <c r="AC162" t="n">
        <v>0</v>
      </c>
      <c r="AD162" t="n">
        <v>0</v>
      </c>
      <c r="AE162" t="n">
        <v>68.929</v>
      </c>
      <c r="AF162" t="n">
        <v>0.248</v>
      </c>
      <c r="AG162" t="n">
        <v>0</v>
      </c>
      <c r="AH162" t="n">
        <v>4.187</v>
      </c>
      <c r="AI162" t="n">
        <v>0.471</v>
      </c>
      <c r="AJ162" t="n">
        <v>0.248</v>
      </c>
      <c r="AK162" t="n">
        <v>0.991</v>
      </c>
      <c r="AL162" t="n">
        <v>61.458</v>
      </c>
      <c r="AM162" t="n">
        <v>16.85</v>
      </c>
      <c r="AN162" t="n">
        <v>0</v>
      </c>
      <c r="AO162" t="n">
        <v>1.214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0.435</v>
      </c>
      <c r="BV162" t="n">
        <v>0.485</v>
      </c>
    </row>
    <row r="163">
      <c r="A163" t="inlineStr">
        <is>
          <t>Capros aper</t>
        </is>
      </c>
      <c r="B163" t="inlineStr">
        <is>
          <t>Boarfish</t>
        </is>
      </c>
      <c r="C163" t="inlineStr">
        <is>
          <t>Small demersals (&lt;30 cm)</t>
        </is>
      </c>
      <c r="D163" t="inlineStr">
        <is>
          <t>Perch-likes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0.001</v>
      </c>
      <c r="AO163" t="n">
        <v>0</v>
      </c>
      <c r="AP163" t="n">
        <v>0.001</v>
      </c>
      <c r="AQ163" t="n">
        <v>0.001</v>
      </c>
      <c r="AR163" t="n">
        <v>0</v>
      </c>
      <c r="AS163" t="n">
        <v>0.001</v>
      </c>
      <c r="AT163" t="n">
        <v>0.001</v>
      </c>
      <c r="AU163" t="n">
        <v>0.001</v>
      </c>
      <c r="AV163" t="n">
        <v>0.001</v>
      </c>
      <c r="AW163" t="n">
        <v>0.001</v>
      </c>
      <c r="AX163" t="n">
        <v>0.001</v>
      </c>
      <c r="AY163" t="n">
        <v>0.001</v>
      </c>
      <c r="AZ163" t="n">
        <v>0.001</v>
      </c>
      <c r="BA163" t="n">
        <v>0.001</v>
      </c>
      <c r="BB163" t="n">
        <v>0.001</v>
      </c>
      <c r="BC163" t="n">
        <v>0.001</v>
      </c>
      <c r="BD163" t="n">
        <v>0.15</v>
      </c>
      <c r="BE163" t="n">
        <v>1.102</v>
      </c>
      <c r="BF163" t="n">
        <v>1.965</v>
      </c>
      <c r="BG163" t="n">
        <v>8.69</v>
      </c>
      <c r="BH163" t="n">
        <v>0.298</v>
      </c>
      <c r="BI163" t="n">
        <v>0.625</v>
      </c>
      <c r="BJ163" t="n">
        <v>2.798</v>
      </c>
      <c r="BK163" t="n">
        <v>0.849</v>
      </c>
      <c r="BL163" t="n">
        <v>1.34</v>
      </c>
      <c r="BM163" t="n">
        <v>40.914</v>
      </c>
      <c r="BN163" t="n">
        <v>0</v>
      </c>
      <c r="BO163" t="n">
        <v>1744.697</v>
      </c>
      <c r="BP163" t="n">
        <v>0.9350000000000001</v>
      </c>
      <c r="BQ163" t="n">
        <v>6.772</v>
      </c>
      <c r="BR163" t="n">
        <v>4.27</v>
      </c>
      <c r="BS163" t="n">
        <v>20.39</v>
      </c>
      <c r="BT163" t="n">
        <v>0.149</v>
      </c>
      <c r="BU163" t="n">
        <v>14.133</v>
      </c>
      <c r="BV163" t="n">
        <v>38.929</v>
      </c>
    </row>
    <row r="164">
      <c r="A164" t="inlineStr">
        <is>
          <t>Argentina sphyraena</t>
        </is>
      </c>
      <c r="B164" t="inlineStr">
        <is>
          <t>European argentine</t>
        </is>
      </c>
      <c r="C164" t="inlineStr">
        <is>
          <t>Medium pelagics (30 - 89 cm)</t>
        </is>
      </c>
      <c r="D164" t="inlineStr">
        <is>
          <t>Salmon, smelts, etc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156.563</v>
      </c>
      <c r="BI164" t="n">
        <v>250.698</v>
      </c>
      <c r="BJ164" t="n">
        <v>218.148</v>
      </c>
      <c r="BK164" t="n">
        <v>80.14400000000001</v>
      </c>
      <c r="BL164" t="n">
        <v>55.047</v>
      </c>
      <c r="BM164" t="n">
        <v>17.154</v>
      </c>
      <c r="BN164" t="n">
        <v>54.906</v>
      </c>
      <c r="BO164" t="n">
        <v>197.198</v>
      </c>
      <c r="BP164" t="n">
        <v>21.442</v>
      </c>
      <c r="BQ164" t="n">
        <v>121.897</v>
      </c>
      <c r="BR164" t="n">
        <v>56.02</v>
      </c>
      <c r="BS164" t="n">
        <v>133.826</v>
      </c>
      <c r="BT164" t="n">
        <v>112.139</v>
      </c>
      <c r="BU164" t="n">
        <v>20.08</v>
      </c>
      <c r="BV164" t="n">
        <v>297.67</v>
      </c>
    </row>
    <row r="165">
      <c r="A165" t="inlineStr">
        <is>
          <t>Coregonus</t>
        </is>
      </c>
      <c r="B165" t="inlineStr">
        <is>
          <t>Whitefishes</t>
        </is>
      </c>
      <c r="C165" t="inlineStr">
        <is>
          <t>Medium pelagics (30 - 89 cm)</t>
        </is>
      </c>
      <c r="D165" t="inlineStr">
        <is>
          <t>Salmon, smelts, etc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0.73</v>
      </c>
      <c r="R165" t="n">
        <v>0.697</v>
      </c>
      <c r="S165" t="n">
        <v>0.604</v>
      </c>
      <c r="T165" t="n">
        <v>0.528</v>
      </c>
      <c r="U165" t="n">
        <v>0.516</v>
      </c>
      <c r="V165" t="n">
        <v>0.482</v>
      </c>
      <c r="W165" t="n">
        <v>0.462</v>
      </c>
      <c r="X165" t="n">
        <v>0.514</v>
      </c>
      <c r="Y165" t="n">
        <v>0.29</v>
      </c>
      <c r="Z165" t="n">
        <v>0.262</v>
      </c>
      <c r="AA165" t="n">
        <v>0.614</v>
      </c>
      <c r="AB165" t="n">
        <v>0</v>
      </c>
      <c r="AC165" t="n">
        <v>0.455</v>
      </c>
      <c r="AD165" t="n">
        <v>1.095</v>
      </c>
      <c r="AE165" t="n">
        <v>0.625</v>
      </c>
      <c r="AF165" t="n">
        <v>0.375</v>
      </c>
      <c r="AG165" t="n">
        <v>0.501</v>
      </c>
      <c r="AH165" t="n">
        <v>0</v>
      </c>
      <c r="AI165" t="n">
        <v>0</v>
      </c>
      <c r="AJ165" t="n">
        <v>0</v>
      </c>
      <c r="AK165" t="n">
        <v>65.93600000000001</v>
      </c>
      <c r="AL165" t="n">
        <v>11.909</v>
      </c>
      <c r="AM165" t="n">
        <v>28.659</v>
      </c>
      <c r="AN165" t="n">
        <v>14.994</v>
      </c>
      <c r="AO165" t="n">
        <v>8.113</v>
      </c>
      <c r="AP165" t="n">
        <v>25.814</v>
      </c>
      <c r="AQ165" t="n">
        <v>56.097</v>
      </c>
      <c r="AR165" t="n">
        <v>40.456</v>
      </c>
      <c r="AS165" t="n">
        <v>25.595</v>
      </c>
      <c r="AT165" t="n">
        <v>24.613</v>
      </c>
      <c r="AU165" t="n">
        <v>24.851</v>
      </c>
      <c r="AV165" t="n">
        <v>27.604</v>
      </c>
      <c r="AW165" t="n">
        <v>35.544</v>
      </c>
      <c r="AX165" t="n">
        <v>34.626</v>
      </c>
      <c r="AY165" t="n">
        <v>26.823</v>
      </c>
      <c r="AZ165" t="n">
        <v>29.779</v>
      </c>
      <c r="BA165" t="n">
        <v>26.994</v>
      </c>
      <c r="BB165" t="n">
        <v>23.977</v>
      </c>
      <c r="BC165" t="n">
        <v>6.254</v>
      </c>
      <c r="BD165" t="n">
        <v>75.76600000000001</v>
      </c>
      <c r="BE165" t="n">
        <v>49.925</v>
      </c>
      <c r="BF165" t="n">
        <v>69.121</v>
      </c>
      <c r="BG165" t="n">
        <v>68.911</v>
      </c>
      <c r="BH165" t="n">
        <v>89.84</v>
      </c>
      <c r="BI165" t="n">
        <v>95.491</v>
      </c>
      <c r="BJ165" t="n">
        <v>34.74</v>
      </c>
      <c r="BK165" t="n">
        <v>50.605</v>
      </c>
      <c r="BL165" t="n">
        <v>116.643</v>
      </c>
      <c r="BM165" t="n">
        <v>60.135</v>
      </c>
      <c r="BN165" t="n">
        <v>31.546</v>
      </c>
      <c r="BO165" t="n">
        <v>67.036</v>
      </c>
      <c r="BP165" t="n">
        <v>85.767</v>
      </c>
      <c r="BQ165" t="n">
        <v>18.731</v>
      </c>
      <c r="BR165" t="n">
        <v>165.332</v>
      </c>
      <c r="BS165" t="n">
        <v>39.748</v>
      </c>
      <c r="BT165" t="n">
        <v>9.858000000000001</v>
      </c>
      <c r="BU165" t="n">
        <v>42.495</v>
      </c>
      <c r="BV165" t="n">
        <v>57.975</v>
      </c>
    </row>
    <row r="166">
      <c r="A166" t="inlineStr">
        <is>
          <t>Brama brama</t>
        </is>
      </c>
      <c r="B166" t="inlineStr">
        <is>
          <t>Atlantic pomfret</t>
        </is>
      </c>
      <c r="C166" t="inlineStr">
        <is>
          <t>Medium bathypelagics (30 - 89 cm)</t>
        </is>
      </c>
      <c r="D166" t="inlineStr">
        <is>
          <t>Perch-likes</t>
        </is>
      </c>
      <c r="E166" t="n">
        <v>27.559</v>
      </c>
      <c r="F166" t="n">
        <v>25.264</v>
      </c>
      <c r="G166" t="n">
        <v>22.428</v>
      </c>
      <c r="H166" t="n">
        <v>16.808</v>
      </c>
      <c r="I166" t="n">
        <v>11.854</v>
      </c>
      <c r="J166" t="n">
        <v>12.444</v>
      </c>
      <c r="K166" t="n">
        <v>16.383</v>
      </c>
      <c r="L166" t="n">
        <v>26.926</v>
      </c>
      <c r="M166" t="n">
        <v>22.667</v>
      </c>
      <c r="N166" t="n">
        <v>24.008</v>
      </c>
      <c r="O166" t="n">
        <v>28.152</v>
      </c>
      <c r="P166" t="n">
        <v>23.048</v>
      </c>
      <c r="Q166" t="n">
        <v>22.207</v>
      </c>
      <c r="R166" t="n">
        <v>12.008</v>
      </c>
      <c r="S166" t="n">
        <v>13.757</v>
      </c>
      <c r="T166" t="n">
        <v>9.923999999999999</v>
      </c>
      <c r="U166" t="n">
        <v>14.887</v>
      </c>
      <c r="V166" t="n">
        <v>9.923999999999999</v>
      </c>
      <c r="W166" t="n">
        <v>9.923999999999999</v>
      </c>
      <c r="X166" t="n">
        <v>4.962</v>
      </c>
      <c r="Y166" t="n">
        <v>2.481</v>
      </c>
      <c r="Z166" t="n">
        <v>2.481</v>
      </c>
      <c r="AA166" t="n">
        <v>2.481</v>
      </c>
      <c r="AB166" t="n">
        <v>2.481</v>
      </c>
      <c r="AC166" t="n">
        <v>1.705</v>
      </c>
      <c r="AD166" t="n">
        <v>0.928</v>
      </c>
      <c r="AE166" t="n">
        <v>0</v>
      </c>
      <c r="AF166" t="n">
        <v>0</v>
      </c>
      <c r="AG166" t="n">
        <v>10.27</v>
      </c>
      <c r="AH166" t="n">
        <v>0</v>
      </c>
      <c r="AI166" t="n">
        <v>2.524</v>
      </c>
      <c r="AJ166" t="n">
        <v>0.158</v>
      </c>
      <c r="AK166" t="n">
        <v>0.105</v>
      </c>
      <c r="AL166" t="n">
        <v>0.079</v>
      </c>
      <c r="AM166" t="n">
        <v>1.078</v>
      </c>
      <c r="AN166" t="n">
        <v>0.079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0.25</v>
      </c>
      <c r="AV166" t="n">
        <v>0.25</v>
      </c>
      <c r="AW166" t="n">
        <v>0.25</v>
      </c>
      <c r="AX166" t="n">
        <v>0</v>
      </c>
      <c r="AY166" t="n">
        <v>0</v>
      </c>
      <c r="AZ166" t="n">
        <v>0</v>
      </c>
      <c r="BA166" t="n">
        <v>0.026</v>
      </c>
      <c r="BB166" t="n">
        <v>0.013</v>
      </c>
      <c r="BC166" t="n">
        <v>0</v>
      </c>
      <c r="BD166" t="n">
        <v>0</v>
      </c>
      <c r="BE166" t="n">
        <v>0.007</v>
      </c>
      <c r="BF166" t="n">
        <v>0.113</v>
      </c>
      <c r="BG166" t="n">
        <v>0.112</v>
      </c>
      <c r="BH166" t="n">
        <v>0.369</v>
      </c>
      <c r="BI166" t="n">
        <v>0.852</v>
      </c>
      <c r="BJ166" t="n">
        <v>5.094</v>
      </c>
      <c r="BK166" t="n">
        <v>21.44</v>
      </c>
      <c r="BL166" t="n">
        <v>393.674</v>
      </c>
      <c r="BM166" t="n">
        <v>816.974</v>
      </c>
      <c r="BN166" t="n">
        <v>11.367</v>
      </c>
      <c r="BO166" t="n">
        <v>0</v>
      </c>
      <c r="BP166" t="n">
        <v>0</v>
      </c>
      <c r="BQ166" t="n">
        <v>3.245</v>
      </c>
      <c r="BR166" t="n">
        <v>21.785</v>
      </c>
      <c r="BS166" t="n">
        <v>4.032</v>
      </c>
      <c r="BT166" t="n">
        <v>6.681</v>
      </c>
      <c r="BU166" t="n">
        <v>0.675</v>
      </c>
      <c r="BV166" t="n">
        <v>4.194</v>
      </c>
    </row>
    <row r="167">
      <c r="A167" t="inlineStr">
        <is>
          <t>Leucoraja fullonica</t>
        </is>
      </c>
      <c r="B167" t="inlineStr">
        <is>
          <t>Shagreen ray</t>
        </is>
      </c>
      <c r="C167" t="inlineStr">
        <is>
          <t>Large rays (&gt;=90 cm)</t>
        </is>
      </c>
      <c r="D167" t="inlineStr">
        <is>
          <t>Sharks &amp; rays</t>
        </is>
      </c>
      <c r="E167" t="n">
        <v>71.32899999999999</v>
      </c>
      <c r="F167" t="n">
        <v>71.399</v>
      </c>
      <c r="G167" t="n">
        <v>64.435</v>
      </c>
      <c r="H167" t="n">
        <v>65.922</v>
      </c>
      <c r="I167" t="n">
        <v>63.309</v>
      </c>
      <c r="J167" t="n">
        <v>62.344</v>
      </c>
      <c r="K167" t="n">
        <v>62.689</v>
      </c>
      <c r="L167" t="n">
        <v>63.569</v>
      </c>
      <c r="M167" t="n">
        <v>64.768</v>
      </c>
      <c r="N167" t="n">
        <v>59.006</v>
      </c>
      <c r="O167" t="n">
        <v>51.787</v>
      </c>
      <c r="P167" t="n">
        <v>50.685</v>
      </c>
      <c r="Q167" t="n">
        <v>48.584</v>
      </c>
      <c r="R167" t="n">
        <v>50.777</v>
      </c>
      <c r="S167" t="n">
        <v>43.75</v>
      </c>
      <c r="T167" t="n">
        <v>74.45699999999999</v>
      </c>
      <c r="U167" t="n">
        <v>66.44799999999999</v>
      </c>
      <c r="V167" t="n">
        <v>63.783</v>
      </c>
      <c r="W167" t="n">
        <v>64.72</v>
      </c>
      <c r="X167" t="n">
        <v>60.687</v>
      </c>
      <c r="Y167" t="n">
        <v>52.034</v>
      </c>
      <c r="Z167" t="n">
        <v>55.332</v>
      </c>
      <c r="AA167" t="n">
        <v>52.038</v>
      </c>
      <c r="AB167" t="n">
        <v>44.606</v>
      </c>
      <c r="AC167" t="n">
        <v>39.197</v>
      </c>
      <c r="AD167" t="n">
        <v>39.422</v>
      </c>
      <c r="AE167" t="n">
        <v>0.077</v>
      </c>
      <c r="AF167" t="n">
        <v>0.07099999999999999</v>
      </c>
      <c r="AG167" t="n">
        <v>0.08799999999999999</v>
      </c>
      <c r="AH167" t="n">
        <v>0.303</v>
      </c>
      <c r="AI167" t="n">
        <v>0.401</v>
      </c>
      <c r="AJ167" t="n">
        <v>0.382</v>
      </c>
      <c r="AK167" t="n">
        <v>0.278</v>
      </c>
      <c r="AL167" t="n">
        <v>6.481</v>
      </c>
      <c r="AM167" t="n">
        <v>12.972</v>
      </c>
      <c r="AN167" t="n">
        <v>7.907</v>
      </c>
      <c r="AO167" t="n">
        <v>10.791</v>
      </c>
      <c r="AP167" t="n">
        <v>14.115</v>
      </c>
      <c r="AQ167" t="n">
        <v>8.210000000000001</v>
      </c>
      <c r="AR167" t="n">
        <v>5.699</v>
      </c>
      <c r="AS167" t="n">
        <v>4.2</v>
      </c>
      <c r="AT167" t="n">
        <v>1.769</v>
      </c>
      <c r="AU167" t="n">
        <v>2.699</v>
      </c>
      <c r="AV167" t="n">
        <v>1.945</v>
      </c>
      <c r="AW167" t="n">
        <v>1.218</v>
      </c>
      <c r="AX167" t="n">
        <v>1.354</v>
      </c>
      <c r="AY167" t="n">
        <v>1.071</v>
      </c>
      <c r="AZ167" t="n">
        <v>1.092</v>
      </c>
      <c r="BA167" t="n">
        <v>0.848</v>
      </c>
      <c r="BB167" t="n">
        <v>1.415</v>
      </c>
      <c r="BC167" t="n">
        <v>1.148</v>
      </c>
      <c r="BD167" t="n">
        <v>1.165</v>
      </c>
      <c r="BE167" t="n">
        <v>0.455</v>
      </c>
      <c r="BF167" t="n">
        <v>0.743</v>
      </c>
      <c r="BG167" t="n">
        <v>1.102</v>
      </c>
      <c r="BH167" t="n">
        <v>0.702</v>
      </c>
      <c r="BI167" t="n">
        <v>1.032</v>
      </c>
      <c r="BJ167" t="n">
        <v>1.415</v>
      </c>
      <c r="BK167" t="n">
        <v>0.929</v>
      </c>
      <c r="BL167" t="n">
        <v>4.167</v>
      </c>
      <c r="BM167" t="n">
        <v>4.168</v>
      </c>
      <c r="BN167" t="n">
        <v>1.857</v>
      </c>
      <c r="BO167" t="n">
        <v>4.018</v>
      </c>
      <c r="BP167" t="n">
        <v>4.366</v>
      </c>
      <c r="BQ167" t="n">
        <v>3.243</v>
      </c>
      <c r="BR167" t="n">
        <v>1.922</v>
      </c>
      <c r="BS167" t="n">
        <v>2.005</v>
      </c>
      <c r="BT167" t="n">
        <v>1.716</v>
      </c>
      <c r="BU167" t="n">
        <v>1.766</v>
      </c>
      <c r="BV167" t="n">
        <v>3.527</v>
      </c>
    </row>
    <row r="168">
      <c r="A168" t="inlineStr">
        <is>
          <t>Magallana gigas</t>
        </is>
      </c>
      <c r="B168" t="inlineStr">
        <is>
          <t>Pacific cupped oyster</t>
        </is>
      </c>
      <c r="C168" t="inlineStr">
        <is>
          <t>Other demersal invertebrates</t>
        </is>
      </c>
      <c r="D168" t="inlineStr">
        <is>
          <t>Molluscs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13.723</v>
      </c>
      <c r="AC168" t="n">
        <v>3.921</v>
      </c>
      <c r="AD168" t="n">
        <v>25.486</v>
      </c>
      <c r="AE168" t="n">
        <v>8.821999999999999</v>
      </c>
      <c r="AF168" t="n">
        <v>7.842</v>
      </c>
      <c r="AG168" t="n">
        <v>7.842</v>
      </c>
      <c r="AH168" t="n">
        <v>6.862</v>
      </c>
      <c r="AI168" t="n">
        <v>12.743</v>
      </c>
      <c r="AJ168" t="n">
        <v>13.723</v>
      </c>
      <c r="AK168" t="n">
        <v>17.644</v>
      </c>
      <c r="AL168" t="n">
        <v>13.723</v>
      </c>
      <c r="AM168" t="n">
        <v>17.644</v>
      </c>
      <c r="AN168" t="n">
        <v>11.763</v>
      </c>
      <c r="AO168" t="n">
        <v>24.506</v>
      </c>
      <c r="AP168" t="n">
        <v>4.901</v>
      </c>
      <c r="AQ168" t="n">
        <v>4.901</v>
      </c>
      <c r="AR168" t="n">
        <v>8.821999999999999</v>
      </c>
      <c r="AS168" t="n">
        <v>92.339</v>
      </c>
      <c r="AT168" t="n">
        <v>95.286</v>
      </c>
      <c r="AU168" t="n">
        <v>70.727</v>
      </c>
      <c r="AV168" t="n">
        <v>97.28</v>
      </c>
      <c r="AW168" t="n">
        <v>15.722</v>
      </c>
      <c r="AX168" t="n">
        <v>75.66200000000001</v>
      </c>
      <c r="AY168" t="n">
        <v>99.245</v>
      </c>
      <c r="AZ168" t="n">
        <v>71.73099999999999</v>
      </c>
      <c r="BA168" t="n">
        <v>57.975</v>
      </c>
      <c r="BB168" t="n">
        <v>5.896</v>
      </c>
      <c r="BC168" t="n">
        <v>4.913</v>
      </c>
      <c r="BD168" t="n">
        <v>3.93</v>
      </c>
      <c r="BE168" t="n">
        <v>4.913</v>
      </c>
      <c r="BF168" t="n">
        <v>4.913</v>
      </c>
      <c r="BG168" t="n">
        <v>8.843999999999999</v>
      </c>
      <c r="BH168" t="n">
        <v>1.965</v>
      </c>
      <c r="BI168" t="n">
        <v>0.983</v>
      </c>
      <c r="BJ168" t="n">
        <v>13.757</v>
      </c>
      <c r="BK168" t="n">
        <v>19.652</v>
      </c>
      <c r="BL168" t="n">
        <v>49.131</v>
      </c>
      <c r="BM168" t="n">
        <v>40.288</v>
      </c>
      <c r="BN168" t="n">
        <v>79.101</v>
      </c>
      <c r="BO168" t="n">
        <v>56.221</v>
      </c>
      <c r="BP168" t="n">
        <v>21.141</v>
      </c>
      <c r="BQ168" t="n">
        <v>2.506</v>
      </c>
      <c r="BR168" t="n">
        <v>1.517</v>
      </c>
      <c r="BS168" t="n">
        <v>39.16</v>
      </c>
      <c r="BT168" t="n">
        <v>32.134</v>
      </c>
      <c r="BU168" t="n">
        <v>38.508</v>
      </c>
      <c r="BV168" t="n">
        <v>37.155</v>
      </c>
    </row>
    <row r="169">
      <c r="A169" t="inlineStr">
        <is>
          <t>Perca fluviatilis</t>
        </is>
      </c>
      <c r="B169" t="inlineStr">
        <is>
          <t>European perch</t>
        </is>
      </c>
      <c r="C169" t="inlineStr">
        <is>
          <t>Medium demersals (30 - 89 cm)</t>
        </is>
      </c>
      <c r="D169" t="inlineStr">
        <is>
          <t>Perch-likes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0.423</v>
      </c>
      <c r="R169" t="n">
        <v>0.394</v>
      </c>
      <c r="S169" t="n">
        <v>0.328</v>
      </c>
      <c r="T169" t="n">
        <v>0.285</v>
      </c>
      <c r="U169" t="n">
        <v>0.292</v>
      </c>
      <c r="V169" t="n">
        <v>1.223</v>
      </c>
      <c r="W169" t="n">
        <v>0.219</v>
      </c>
      <c r="X169" t="n">
        <v>0.249</v>
      </c>
      <c r="Y169" t="n">
        <v>0.157</v>
      </c>
      <c r="Z169" t="n">
        <v>0</v>
      </c>
      <c r="AA169" t="n">
        <v>0</v>
      </c>
      <c r="AB169" t="n">
        <v>0</v>
      </c>
      <c r="AC169" t="n">
        <v>7.848</v>
      </c>
      <c r="AD169" t="n">
        <v>4.407</v>
      </c>
      <c r="AE169" t="n">
        <v>7.37</v>
      </c>
      <c r="AF169" t="n">
        <v>0.294</v>
      </c>
      <c r="AG169" t="n">
        <v>0</v>
      </c>
      <c r="AH169" t="n">
        <v>0</v>
      </c>
      <c r="AI169" t="n">
        <v>0</v>
      </c>
      <c r="AJ169" t="n">
        <v>0.294</v>
      </c>
      <c r="AK169" t="n">
        <v>18.369</v>
      </c>
      <c r="AL169" t="n">
        <v>21.475</v>
      </c>
      <c r="AM169" t="n">
        <v>36.443</v>
      </c>
      <c r="AN169" t="n">
        <v>29.314</v>
      </c>
      <c r="AO169" t="n">
        <v>25.311</v>
      </c>
      <c r="AP169" t="n">
        <v>27.481</v>
      </c>
      <c r="AQ169" t="n">
        <v>38.595</v>
      </c>
      <c r="AR169" t="n">
        <v>53.203</v>
      </c>
      <c r="AS169" t="n">
        <v>58.34</v>
      </c>
      <c r="AT169" t="n">
        <v>74.074</v>
      </c>
      <c r="AU169" t="n">
        <v>64.748</v>
      </c>
      <c r="AV169" t="n">
        <v>46.134</v>
      </c>
      <c r="AW169" t="n">
        <v>50.96</v>
      </c>
      <c r="AX169" t="n">
        <v>48.463</v>
      </c>
      <c r="AY169" t="n">
        <v>36.063</v>
      </c>
      <c r="AZ169" t="n">
        <v>33.56</v>
      </c>
      <c r="BA169" t="n">
        <v>38.57</v>
      </c>
      <c r="BB169" t="n">
        <v>51.892</v>
      </c>
      <c r="BC169" t="n">
        <v>49.793</v>
      </c>
      <c r="BD169" t="n">
        <v>27.904</v>
      </c>
      <c r="BE169" t="n">
        <v>34.199</v>
      </c>
      <c r="BF169" t="n">
        <v>33.508</v>
      </c>
      <c r="BG169" t="n">
        <v>30.667</v>
      </c>
      <c r="BH169" t="n">
        <v>22.985</v>
      </c>
      <c r="BI169" t="n">
        <v>19.403</v>
      </c>
      <c r="BJ169" t="n">
        <v>33.759</v>
      </c>
      <c r="BK169" t="n">
        <v>22.256</v>
      </c>
      <c r="BL169" t="n">
        <v>24.827</v>
      </c>
      <c r="BM169" t="n">
        <v>14.325</v>
      </c>
      <c r="BN169" t="n">
        <v>29.473</v>
      </c>
      <c r="BO169" t="n">
        <v>32.489</v>
      </c>
      <c r="BP169" t="n">
        <v>37.816</v>
      </c>
      <c r="BQ169" t="n">
        <v>31.39</v>
      </c>
      <c r="BR169" t="n">
        <v>15.898</v>
      </c>
      <c r="BS169" t="n">
        <v>14.355</v>
      </c>
      <c r="BT169" t="n">
        <v>19.386</v>
      </c>
      <c r="BU169" t="n">
        <v>13.135</v>
      </c>
      <c r="BV169" t="n">
        <v>11.424</v>
      </c>
    </row>
    <row r="170">
      <c r="A170" t="inlineStr">
        <is>
          <t>Esox lucius</t>
        </is>
      </c>
      <c r="B170" t="inlineStr">
        <is>
          <t>Northern pike</t>
        </is>
      </c>
      <c r="C170" t="inlineStr">
        <is>
          <t>Large demersals (&gt;=90 cm)</t>
        </is>
      </c>
      <c r="D170" t="inlineStr">
        <is>
          <t>Salmon, smelts, etc</t>
        </is>
      </c>
      <c r="E170" t="n">
        <v>11.23</v>
      </c>
      <c r="F170" t="n">
        <v>11.348</v>
      </c>
      <c r="G170" t="n">
        <v>11.467</v>
      </c>
      <c r="H170" t="n">
        <v>11.586</v>
      </c>
      <c r="I170" t="n">
        <v>11.705</v>
      </c>
      <c r="J170" t="n">
        <v>11.825</v>
      </c>
      <c r="K170" t="n">
        <v>11.946</v>
      </c>
      <c r="L170" t="n">
        <v>12.067</v>
      </c>
      <c r="M170" t="n">
        <v>12.188</v>
      </c>
      <c r="N170" t="n">
        <v>12.31</v>
      </c>
      <c r="O170" t="n">
        <v>12.432</v>
      </c>
      <c r="P170" t="n">
        <v>12.561</v>
      </c>
      <c r="Q170" t="n">
        <v>13.266</v>
      </c>
      <c r="R170" t="n">
        <v>13.337</v>
      </c>
      <c r="S170" t="n">
        <v>13.433</v>
      </c>
      <c r="T170" t="n">
        <v>13.527</v>
      </c>
      <c r="U170" t="n">
        <v>13.742</v>
      </c>
      <c r="V170" t="n">
        <v>13.821</v>
      </c>
      <c r="W170" t="n">
        <v>13.908</v>
      </c>
      <c r="X170" t="n">
        <v>14.091</v>
      </c>
      <c r="Y170" t="n">
        <v>14.134</v>
      </c>
      <c r="Z170" t="n">
        <v>13.975</v>
      </c>
      <c r="AA170" t="n">
        <v>14.098</v>
      </c>
      <c r="AB170" t="n">
        <v>14.227</v>
      </c>
      <c r="AC170" t="n">
        <v>19.415</v>
      </c>
      <c r="AD170" t="n">
        <v>17.99</v>
      </c>
      <c r="AE170" t="n">
        <v>14.493</v>
      </c>
      <c r="AF170" t="n">
        <v>14.578</v>
      </c>
      <c r="AG170" t="n">
        <v>14.664</v>
      </c>
      <c r="AH170" t="n">
        <v>14.74</v>
      </c>
      <c r="AI170" t="n">
        <v>14.796</v>
      </c>
      <c r="AJ170" t="n">
        <v>14.828</v>
      </c>
      <c r="AK170" t="n">
        <v>20.561</v>
      </c>
      <c r="AL170" t="n">
        <v>18.861</v>
      </c>
      <c r="AM170" t="n">
        <v>19.155</v>
      </c>
      <c r="AN170" t="n">
        <v>19.943</v>
      </c>
      <c r="AO170" t="n">
        <v>20.36</v>
      </c>
      <c r="AP170" t="n">
        <v>23.832</v>
      </c>
      <c r="AQ170" t="n">
        <v>22.735</v>
      </c>
      <c r="AR170" t="n">
        <v>25.602</v>
      </c>
      <c r="AS170" t="n">
        <v>21.821</v>
      </c>
      <c r="AT170" t="n">
        <v>20.922</v>
      </c>
      <c r="AU170" t="n">
        <v>20.776</v>
      </c>
      <c r="AV170" t="n">
        <v>20.873</v>
      </c>
      <c r="AW170" t="n">
        <v>19.931</v>
      </c>
      <c r="AX170" t="n">
        <v>20.781</v>
      </c>
      <c r="AY170" t="n">
        <v>22.282</v>
      </c>
      <c r="AZ170" t="n">
        <v>23.477</v>
      </c>
      <c r="BA170" t="n">
        <v>20.952</v>
      </c>
      <c r="BB170" t="n">
        <v>21.659</v>
      </c>
      <c r="BC170" t="n">
        <v>21.16</v>
      </c>
      <c r="BD170" t="n">
        <v>19.673</v>
      </c>
      <c r="BE170" t="n">
        <v>21.6</v>
      </c>
      <c r="BF170" t="n">
        <v>23.28</v>
      </c>
      <c r="BG170" t="n">
        <v>20.355</v>
      </c>
      <c r="BH170" t="n">
        <v>20.17</v>
      </c>
      <c r="BI170" t="n">
        <v>20.048</v>
      </c>
      <c r="BJ170" t="n">
        <v>22.945</v>
      </c>
      <c r="BK170" t="n">
        <v>22.031</v>
      </c>
      <c r="BL170" t="n">
        <v>25.471</v>
      </c>
      <c r="BM170" t="n">
        <v>22.944</v>
      </c>
      <c r="BN170" t="n">
        <v>25.816</v>
      </c>
      <c r="BO170" t="n">
        <v>22.594</v>
      </c>
      <c r="BP170" t="n">
        <v>23.322</v>
      </c>
      <c r="BQ170" t="n">
        <v>25.84</v>
      </c>
      <c r="BR170" t="n">
        <v>24.873</v>
      </c>
      <c r="BS170" t="n">
        <v>24.275</v>
      </c>
      <c r="BT170" t="n">
        <v>23.064</v>
      </c>
      <c r="BU170" t="n">
        <v>23.736</v>
      </c>
      <c r="BV170" t="n">
        <v>23.239</v>
      </c>
    </row>
    <row r="171">
      <c r="A171" t="inlineStr">
        <is>
          <t>Scyliorhinus</t>
        </is>
      </c>
      <c r="B171" t="inlineStr">
        <is>
          <t>Catsharks</t>
        </is>
      </c>
      <c r="C171" t="inlineStr">
        <is>
          <t>Small to medium sharks (&lt;90 cm)</t>
        </is>
      </c>
      <c r="D171" t="inlineStr">
        <is>
          <t>Sharks &amp; rays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0.742</v>
      </c>
      <c r="BJ171" t="n">
        <v>0.741</v>
      </c>
      <c r="BK171" t="n">
        <v>0</v>
      </c>
      <c r="BL171" t="n">
        <v>165.317</v>
      </c>
      <c r="BM171" t="n">
        <v>138.588</v>
      </c>
      <c r="BN171" t="n">
        <v>162.326</v>
      </c>
      <c r="BO171" t="n">
        <v>117.046</v>
      </c>
      <c r="BP171" t="n">
        <v>77.22</v>
      </c>
      <c r="BQ171" t="n">
        <v>146.076</v>
      </c>
      <c r="BR171" t="n">
        <v>181.755</v>
      </c>
      <c r="BS171" t="n">
        <v>24.348</v>
      </c>
      <c r="BT171" t="n">
        <v>17.715</v>
      </c>
      <c r="BU171" t="n">
        <v>135.508</v>
      </c>
      <c r="BV171" t="n">
        <v>105.001</v>
      </c>
    </row>
    <row r="172">
      <c r="A172" t="inlineStr">
        <is>
          <t>Sepiida</t>
        </is>
      </c>
      <c r="B172" t="inlineStr">
        <is>
          <t>Cuttlefishes, bobtail squids</t>
        </is>
      </c>
      <c r="C172" t="inlineStr">
        <is>
          <t>Cephalopods</t>
        </is>
      </c>
      <c r="D172" t="inlineStr">
        <is>
          <t>Other fishes &amp; inverts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48.863</v>
      </c>
      <c r="N172" t="n">
        <v>97.727</v>
      </c>
      <c r="O172" t="n">
        <v>246.312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78.776</v>
      </c>
      <c r="Z172" t="n">
        <v>0</v>
      </c>
      <c r="AA172" t="n">
        <v>48.767</v>
      </c>
      <c r="AB172" t="n">
        <v>29.916</v>
      </c>
      <c r="AC172" t="n">
        <v>52.139</v>
      </c>
      <c r="AD172" t="n">
        <v>37.539</v>
      </c>
      <c r="AE172" t="n">
        <v>73.76600000000001</v>
      </c>
      <c r="AF172" t="n">
        <v>79.753</v>
      </c>
      <c r="AG172" t="n">
        <v>6.967</v>
      </c>
      <c r="AH172" t="n">
        <v>5.003</v>
      </c>
      <c r="AI172" t="n">
        <v>11.959</v>
      </c>
      <c r="AJ172" t="n">
        <v>24.928</v>
      </c>
      <c r="AK172" t="n">
        <v>37.947</v>
      </c>
      <c r="AL172" t="n">
        <v>362.969</v>
      </c>
      <c r="AM172" t="n">
        <v>0</v>
      </c>
      <c r="AN172" t="n">
        <v>0</v>
      </c>
      <c r="AO172" t="n">
        <v>0</v>
      </c>
      <c r="AP172" t="n">
        <v>0.92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0.131</v>
      </c>
      <c r="AY172" t="n">
        <v>0.066</v>
      </c>
      <c r="AZ172" t="n">
        <v>0.131</v>
      </c>
      <c r="BA172" t="n">
        <v>0.131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0.003</v>
      </c>
      <c r="BV172" t="n">
        <v>0.004</v>
      </c>
    </row>
    <row r="173">
      <c r="A173" t="inlineStr">
        <is>
          <t>Bothidae</t>
        </is>
      </c>
      <c r="B173" t="inlineStr">
        <is>
          <t>Lefteye flounders</t>
        </is>
      </c>
      <c r="C173" t="inlineStr">
        <is>
          <t>Small to medium flatfishes (&lt;90 cm)</t>
        </is>
      </c>
      <c r="D173" t="inlineStr">
        <is>
          <t>Flatfishes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88.84099999999999</v>
      </c>
      <c r="BC173" t="n">
        <v>98.801</v>
      </c>
      <c r="BD173" t="n">
        <v>61.877</v>
      </c>
      <c r="BE173" t="n">
        <v>90.79900000000001</v>
      </c>
      <c r="BF173" t="n">
        <v>80.84999999999999</v>
      </c>
      <c r="BG173" t="n">
        <v>132.742</v>
      </c>
      <c r="BH173" t="n">
        <v>261.489</v>
      </c>
      <c r="BI173" t="n">
        <v>320.364</v>
      </c>
      <c r="BJ173" t="n">
        <v>22.96</v>
      </c>
      <c r="BK173" t="n">
        <v>0.999</v>
      </c>
      <c r="BL173" t="n">
        <v>0.25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0.13</v>
      </c>
      <c r="BS173" t="n">
        <v>0</v>
      </c>
      <c r="BT173" t="n">
        <v>0.13</v>
      </c>
      <c r="BU173" t="n">
        <v>0</v>
      </c>
      <c r="BV173" t="n">
        <v>0</v>
      </c>
    </row>
    <row r="174">
      <c r="A174" t="inlineStr">
        <is>
          <t>Dicentrarchus</t>
        </is>
      </c>
      <c r="B174" t="inlineStr">
        <is>
          <t>Seabasses</t>
        </is>
      </c>
      <c r="C174" t="inlineStr">
        <is>
          <t>Large demersals (&gt;=90 cm)</t>
        </is>
      </c>
      <c r="D174" t="inlineStr">
        <is>
          <t>Perch-likes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25.716</v>
      </c>
      <c r="AS174" t="n">
        <v>21.798</v>
      </c>
      <c r="AT174" t="n">
        <v>20.82</v>
      </c>
      <c r="AU174" t="n">
        <v>21.069</v>
      </c>
      <c r="AV174" t="n">
        <v>35.262</v>
      </c>
      <c r="AW174" t="n">
        <v>116.5</v>
      </c>
      <c r="AX174" t="n">
        <v>194.646</v>
      </c>
      <c r="AY174" t="n">
        <v>87.896</v>
      </c>
      <c r="AZ174" t="n">
        <v>68.072</v>
      </c>
      <c r="BA174" t="n">
        <v>48.708</v>
      </c>
      <c r="BB174" t="n">
        <v>77.24299999999999</v>
      </c>
      <c r="BC174" t="n">
        <v>51.578</v>
      </c>
      <c r="BD174" t="n">
        <v>44.199</v>
      </c>
      <c r="BE174" t="n">
        <v>76.608</v>
      </c>
      <c r="BF174" t="n">
        <v>83.527</v>
      </c>
      <c r="BG174" t="n">
        <v>82.562</v>
      </c>
      <c r="BH174" t="n">
        <v>69.541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0.994</v>
      </c>
      <c r="BO174" t="n">
        <v>0.999</v>
      </c>
      <c r="BP174" t="n">
        <v>0.997</v>
      </c>
      <c r="BQ174" t="n">
        <v>0.997</v>
      </c>
      <c r="BR174" t="n">
        <v>0.003</v>
      </c>
      <c r="BS174" t="n">
        <v>0.103</v>
      </c>
      <c r="BT174" t="n">
        <v>0.003</v>
      </c>
      <c r="BU174" t="n">
        <v>0</v>
      </c>
      <c r="BV174" t="n">
        <v>0</v>
      </c>
    </row>
    <row r="175">
      <c r="A175" t="inlineStr">
        <is>
          <t>Phycis blennoides</t>
        </is>
      </c>
      <c r="B175" t="inlineStr">
        <is>
          <t>Greater forkbeard</t>
        </is>
      </c>
      <c r="C175" t="inlineStr">
        <is>
          <t>Large benthopelagics (&gt;=90 cm)</t>
        </is>
      </c>
      <c r="D175" t="inlineStr">
        <is>
          <t>Cod-likes</t>
        </is>
      </c>
      <c r="E175" t="n">
        <v>0.008999999999999999</v>
      </c>
      <c r="F175" t="n">
        <v>0.007</v>
      </c>
      <c r="G175" t="n">
        <v>0.008</v>
      </c>
      <c r="H175" t="n">
        <v>0.008999999999999999</v>
      </c>
      <c r="I175" t="n">
        <v>0.008999999999999999</v>
      </c>
      <c r="J175" t="n">
        <v>0.012</v>
      </c>
      <c r="K175" t="n">
        <v>0.013</v>
      </c>
      <c r="L175" t="n">
        <v>0.018</v>
      </c>
      <c r="M175" t="n">
        <v>0.018</v>
      </c>
      <c r="N175" t="n">
        <v>0.019</v>
      </c>
      <c r="O175" t="n">
        <v>0.056</v>
      </c>
      <c r="P175" t="n">
        <v>0.033</v>
      </c>
      <c r="Q175" t="n">
        <v>0.03</v>
      </c>
      <c r="R175" t="n">
        <v>0.029</v>
      </c>
      <c r="S175" t="n">
        <v>0.037</v>
      </c>
      <c r="T175" t="n">
        <v>0.043</v>
      </c>
      <c r="U175" t="n">
        <v>0.049</v>
      </c>
      <c r="V175" t="n">
        <v>0.033</v>
      </c>
      <c r="W175" t="n">
        <v>0.035</v>
      </c>
      <c r="X175" t="n">
        <v>0.053</v>
      </c>
      <c r="Y175" t="n">
        <v>0.066</v>
      </c>
      <c r="Z175" t="n">
        <v>0.095</v>
      </c>
      <c r="AA175" t="n">
        <v>1.24</v>
      </c>
      <c r="AB175" t="n">
        <v>0.423</v>
      </c>
      <c r="AC175" t="n">
        <v>1.342</v>
      </c>
      <c r="AD175" t="n">
        <v>0.706</v>
      </c>
      <c r="AE175" t="n">
        <v>1.262</v>
      </c>
      <c r="AF175" t="n">
        <v>0.295</v>
      </c>
      <c r="AG175" t="n">
        <v>0.183</v>
      </c>
      <c r="AH175" t="n">
        <v>0.105</v>
      </c>
      <c r="AI175" t="n">
        <v>0.205</v>
      </c>
      <c r="AJ175" t="n">
        <v>8.538</v>
      </c>
      <c r="AK175" t="n">
        <v>12.937</v>
      </c>
      <c r="AL175" t="n">
        <v>14.402</v>
      </c>
      <c r="AM175" t="n">
        <v>24.66</v>
      </c>
      <c r="AN175" t="n">
        <v>21.135</v>
      </c>
      <c r="AO175" t="n">
        <v>16.276</v>
      </c>
      <c r="AP175" t="n">
        <v>22.975</v>
      </c>
      <c r="AQ175" t="n">
        <v>22.245</v>
      </c>
      <c r="AR175" t="n">
        <v>19.834</v>
      </c>
      <c r="AS175" t="n">
        <v>28.539</v>
      </c>
      <c r="AT175" t="n">
        <v>31.254</v>
      </c>
      <c r="AU175" t="n">
        <v>28.223</v>
      </c>
      <c r="AV175" t="n">
        <v>18.204</v>
      </c>
      <c r="AW175" t="n">
        <v>22.721</v>
      </c>
      <c r="AX175" t="n">
        <v>15.315</v>
      </c>
      <c r="AY175" t="n">
        <v>25.471</v>
      </c>
      <c r="AZ175" t="n">
        <v>27.193</v>
      </c>
      <c r="BA175" t="n">
        <v>28.274</v>
      </c>
      <c r="BB175" t="n">
        <v>51.625</v>
      </c>
      <c r="BC175" t="n">
        <v>38.416</v>
      </c>
      <c r="BD175" t="n">
        <v>50.455</v>
      </c>
      <c r="BE175" t="n">
        <v>49.429</v>
      </c>
      <c r="BF175" t="n">
        <v>37.865</v>
      </c>
      <c r="BG175" t="n">
        <v>20.553</v>
      </c>
      <c r="BH175" t="n">
        <v>24.933</v>
      </c>
      <c r="BI175" t="n">
        <v>22.19</v>
      </c>
      <c r="BJ175" t="n">
        <v>20.075</v>
      </c>
      <c r="BK175" t="n">
        <v>21.035</v>
      </c>
      <c r="BL175" t="n">
        <v>27.708</v>
      </c>
      <c r="BM175" t="n">
        <v>24.593</v>
      </c>
      <c r="BN175" t="n">
        <v>23.42</v>
      </c>
      <c r="BO175" t="n">
        <v>20.503</v>
      </c>
      <c r="BP175" t="n">
        <v>17.135</v>
      </c>
      <c r="BQ175" t="n">
        <v>27.086</v>
      </c>
      <c r="BR175" t="n">
        <v>31.011</v>
      </c>
      <c r="BS175" t="n">
        <v>19.759</v>
      </c>
      <c r="BT175" t="n">
        <v>26.759</v>
      </c>
      <c r="BU175" t="n">
        <v>59.688</v>
      </c>
      <c r="BV175" t="n">
        <v>82.28400000000001</v>
      </c>
    </row>
    <row r="176">
      <c r="A176" t="inlineStr">
        <is>
          <t>Dipturus batis</t>
        </is>
      </c>
      <c r="B176" t="inlineStr">
        <is>
          <t>Blue skate</t>
        </is>
      </c>
      <c r="C176" t="inlineStr">
        <is>
          <t>Large rays (&gt;=90 cm)</t>
        </is>
      </c>
      <c r="D176" t="inlineStr">
        <is>
          <t>Sharks &amp; rays</t>
        </is>
      </c>
      <c r="E176" t="n">
        <v>10.772</v>
      </c>
      <c r="F176" t="n">
        <v>10.782</v>
      </c>
      <c r="G176" t="n">
        <v>9.73</v>
      </c>
      <c r="H176" t="n">
        <v>9.955</v>
      </c>
      <c r="I176" t="n">
        <v>9.56</v>
      </c>
      <c r="J176" t="n">
        <v>9.414999999999999</v>
      </c>
      <c r="K176" t="n">
        <v>9.467000000000001</v>
      </c>
      <c r="L176" t="n">
        <v>9.595000000000001</v>
      </c>
      <c r="M176" t="n">
        <v>9.781000000000001</v>
      </c>
      <c r="N176" t="n">
        <v>8.911</v>
      </c>
      <c r="O176" t="n">
        <v>7.821</v>
      </c>
      <c r="P176" t="n">
        <v>7.654</v>
      </c>
      <c r="Q176" t="n">
        <v>7.336</v>
      </c>
      <c r="R176" t="n">
        <v>7.667</v>
      </c>
      <c r="S176" t="n">
        <v>6.605</v>
      </c>
      <c r="T176" t="n">
        <v>11.255</v>
      </c>
      <c r="U176" t="n">
        <v>10.044</v>
      </c>
      <c r="V176" t="n">
        <v>9.641</v>
      </c>
      <c r="W176" t="n">
        <v>9.775</v>
      </c>
      <c r="X176" t="n">
        <v>9.148</v>
      </c>
      <c r="Y176" t="n">
        <v>7.847</v>
      </c>
      <c r="Z176" t="n">
        <v>8.34</v>
      </c>
      <c r="AA176" t="n">
        <v>7.847</v>
      </c>
      <c r="AB176" t="n">
        <v>6.726</v>
      </c>
      <c r="AC176" t="n">
        <v>5.919</v>
      </c>
      <c r="AD176" t="n">
        <v>5.953</v>
      </c>
      <c r="AE176" t="n">
        <v>0</v>
      </c>
      <c r="AF176" t="n">
        <v>0</v>
      </c>
      <c r="AG176" t="n">
        <v>57.541</v>
      </c>
      <c r="AH176" t="n">
        <v>35.933</v>
      </c>
      <c r="AI176" t="n">
        <v>0</v>
      </c>
      <c r="AJ176" t="n">
        <v>0</v>
      </c>
      <c r="AK176" t="n">
        <v>26.798</v>
      </c>
      <c r="AL176" t="n">
        <v>40.94</v>
      </c>
      <c r="AM176" t="n">
        <v>41.907</v>
      </c>
      <c r="AN176" t="n">
        <v>68.137</v>
      </c>
      <c r="AO176" t="n">
        <v>45.106</v>
      </c>
      <c r="AP176" t="n">
        <v>64.294</v>
      </c>
      <c r="AQ176" t="n">
        <v>43.262</v>
      </c>
      <c r="AR176" t="n">
        <v>29.991</v>
      </c>
      <c r="AS176" t="n">
        <v>35.291</v>
      </c>
      <c r="AT176" t="n">
        <v>35.695</v>
      </c>
      <c r="AU176" t="n">
        <v>27.616</v>
      </c>
      <c r="AV176" t="n">
        <v>9.278</v>
      </c>
      <c r="AW176" t="n">
        <v>19.567</v>
      </c>
      <c r="AX176" t="n">
        <v>18.529</v>
      </c>
      <c r="AY176" t="n">
        <v>41.132</v>
      </c>
      <c r="AZ176" t="n">
        <v>18.377</v>
      </c>
      <c r="BA176" t="n">
        <v>11.582</v>
      </c>
      <c r="BB176" t="n">
        <v>16.77</v>
      </c>
      <c r="BC176" t="n">
        <v>54.535</v>
      </c>
      <c r="BD176" t="n">
        <v>7.698</v>
      </c>
      <c r="BE176" t="n">
        <v>1.338</v>
      </c>
      <c r="BF176" t="n">
        <v>0.398</v>
      </c>
      <c r="BG176" t="n">
        <v>1.82</v>
      </c>
      <c r="BH176" t="n">
        <v>2.275</v>
      </c>
      <c r="BI176" t="n">
        <v>0.914</v>
      </c>
      <c r="BJ176" t="n">
        <v>1.956</v>
      </c>
      <c r="BK176" t="n">
        <v>0.501</v>
      </c>
      <c r="BL176" t="n">
        <v>6.51</v>
      </c>
      <c r="BM176" t="n">
        <v>1.057</v>
      </c>
      <c r="BN176" t="n">
        <v>0.341</v>
      </c>
      <c r="BO176" t="n">
        <v>2.19</v>
      </c>
      <c r="BP176" t="n">
        <v>1.036</v>
      </c>
      <c r="BQ176" t="n">
        <v>0.316</v>
      </c>
      <c r="BR176" t="n">
        <v>0.28</v>
      </c>
      <c r="BS176" t="n">
        <v>0.34</v>
      </c>
      <c r="BT176" t="n">
        <v>15.653</v>
      </c>
      <c r="BU176" t="n">
        <v>25.399</v>
      </c>
      <c r="BV176" t="n">
        <v>14.258</v>
      </c>
    </row>
    <row r="177">
      <c r="A177" t="inlineStr">
        <is>
          <t>Moronidae</t>
        </is>
      </c>
      <c r="B177" t="inlineStr">
        <is>
          <t>Temperate basses</t>
        </is>
      </c>
      <c r="C177" t="inlineStr">
        <is>
          <t>Medium demersals (30 - 89 cm)</t>
        </is>
      </c>
      <c r="D177" t="inlineStr">
        <is>
          <t>Perch-likes</t>
        </is>
      </c>
      <c r="E177" t="n">
        <v>3.762</v>
      </c>
      <c r="F177" t="n">
        <v>3.941</v>
      </c>
      <c r="G177" t="n">
        <v>4.115</v>
      </c>
      <c r="H177" t="n">
        <v>4.294</v>
      </c>
      <c r="I177" t="n">
        <v>4.47</v>
      </c>
      <c r="J177" t="n">
        <v>4.656</v>
      </c>
      <c r="K177" t="n">
        <v>4.85</v>
      </c>
      <c r="L177" t="n">
        <v>5.051</v>
      </c>
      <c r="M177" t="n">
        <v>5.264</v>
      </c>
      <c r="N177" t="n">
        <v>5.474</v>
      </c>
      <c r="O177" t="n">
        <v>5.686</v>
      </c>
      <c r="P177" t="n">
        <v>5.901</v>
      </c>
      <c r="Q177" t="n">
        <v>6.129</v>
      </c>
      <c r="R177" t="n">
        <v>6.446</v>
      </c>
      <c r="S177" t="n">
        <v>6.679</v>
      </c>
      <c r="T177" t="n">
        <v>6.917</v>
      </c>
      <c r="U177" t="n">
        <v>7.143</v>
      </c>
      <c r="V177" t="n">
        <v>7.376</v>
      </c>
      <c r="W177" t="n">
        <v>7.601</v>
      </c>
      <c r="X177" t="n">
        <v>7.834</v>
      </c>
      <c r="Y177" t="n">
        <v>8.074999999999999</v>
      </c>
      <c r="Z177" t="n">
        <v>8.33</v>
      </c>
      <c r="AA177" t="n">
        <v>8.586</v>
      </c>
      <c r="AB177" t="n">
        <v>8.837999999999999</v>
      </c>
      <c r="AC177" t="n">
        <v>9.089</v>
      </c>
      <c r="AD177" t="n">
        <v>9.32</v>
      </c>
      <c r="AE177" t="n">
        <v>9.538</v>
      </c>
      <c r="AF177" t="n">
        <v>9.960000000000001</v>
      </c>
      <c r="AG177" t="n">
        <v>10.381</v>
      </c>
      <c r="AH177" t="n">
        <v>10.803</v>
      </c>
      <c r="AI177" t="n">
        <v>11.225</v>
      </c>
      <c r="AJ177" t="n">
        <v>11.646</v>
      </c>
      <c r="AK177" t="n">
        <v>12.068</v>
      </c>
      <c r="AL177" t="n">
        <v>12.489</v>
      </c>
      <c r="AM177" t="n">
        <v>12.911</v>
      </c>
      <c r="AN177" t="n">
        <v>13.332</v>
      </c>
      <c r="AO177" t="n">
        <v>13.754</v>
      </c>
      <c r="AP177" t="n">
        <v>14.175</v>
      </c>
      <c r="AQ177" t="n">
        <v>14.597</v>
      </c>
      <c r="AR177" t="n">
        <v>15.018</v>
      </c>
      <c r="AS177" t="n">
        <v>15.44</v>
      </c>
      <c r="AT177" t="n">
        <v>15.862</v>
      </c>
      <c r="AU177" t="n">
        <v>16.283</v>
      </c>
      <c r="AV177" t="n">
        <v>16.705</v>
      </c>
      <c r="AW177" t="n">
        <v>17.126</v>
      </c>
      <c r="AX177" t="n">
        <v>17.548</v>
      </c>
      <c r="AY177" t="n">
        <v>17.969</v>
      </c>
      <c r="AZ177" t="n">
        <v>18.391</v>
      </c>
      <c r="BA177" t="n">
        <v>18.812</v>
      </c>
      <c r="BB177" t="n">
        <v>19.234</v>
      </c>
      <c r="BC177" t="n">
        <v>19.655</v>
      </c>
      <c r="BD177" t="n">
        <v>20.077</v>
      </c>
      <c r="BE177" t="n">
        <v>20.498</v>
      </c>
      <c r="BF177" t="n">
        <v>20.92</v>
      </c>
      <c r="BG177" t="n">
        <v>21.342</v>
      </c>
      <c r="BH177" t="n">
        <v>21.763</v>
      </c>
      <c r="BI177" t="n">
        <v>22.185</v>
      </c>
      <c r="BJ177" t="n">
        <v>22.886</v>
      </c>
      <c r="BK177" t="n">
        <v>23.571</v>
      </c>
      <c r="BL177" t="n">
        <v>24.264</v>
      </c>
      <c r="BM177" t="n">
        <v>24.946</v>
      </c>
      <c r="BN177" t="n">
        <v>23.779</v>
      </c>
      <c r="BO177" t="n">
        <v>23.894</v>
      </c>
      <c r="BP177" t="n">
        <v>24.016</v>
      </c>
      <c r="BQ177" t="n">
        <v>24.136</v>
      </c>
      <c r="BR177" t="n">
        <v>24.299</v>
      </c>
      <c r="BS177" t="n">
        <v>24.382</v>
      </c>
      <c r="BT177" t="n">
        <v>24.446</v>
      </c>
      <c r="BU177" t="n">
        <v>24.136</v>
      </c>
      <c r="BV177" t="n">
        <v>24.136</v>
      </c>
    </row>
    <row r="178">
      <c r="A178" t="inlineStr">
        <is>
          <t>Pandalus montagui</t>
        </is>
      </c>
      <c r="B178" t="inlineStr">
        <is>
          <t>Aesop shrimp</t>
        </is>
      </c>
      <c r="C178" t="inlineStr">
        <is>
          <t>Shrimps</t>
        </is>
      </c>
      <c r="D178" t="inlineStr">
        <is>
          <t>Crustaceans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193.789</v>
      </c>
      <c r="AS178" t="n">
        <v>159.353</v>
      </c>
      <c r="AT178" t="n">
        <v>125.437</v>
      </c>
      <c r="AU178" t="n">
        <v>67.17</v>
      </c>
      <c r="AV178" t="n">
        <v>28.644</v>
      </c>
      <c r="AW178" t="n">
        <v>36.548</v>
      </c>
      <c r="AX178" t="n">
        <v>45.441</v>
      </c>
      <c r="AY178" t="n">
        <v>38.497</v>
      </c>
      <c r="AZ178" t="n">
        <v>47.414</v>
      </c>
      <c r="BA178" t="n">
        <v>54.345</v>
      </c>
      <c r="BB178" t="n">
        <v>45.463</v>
      </c>
      <c r="BC178" t="n">
        <v>80.95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1.998</v>
      </c>
      <c r="BQ178" t="n">
        <v>18.969</v>
      </c>
      <c r="BR178" t="n">
        <v>3.305</v>
      </c>
      <c r="BS178" t="n">
        <v>0.898</v>
      </c>
      <c r="BT178" t="n">
        <v>1.194</v>
      </c>
      <c r="BU178" t="n">
        <v>0.08599999999999999</v>
      </c>
      <c r="BV178" t="n">
        <v>0.551</v>
      </c>
    </row>
    <row r="179">
      <c r="A179" t="inlineStr">
        <is>
          <t>Zeus faber</t>
        </is>
      </c>
      <c r="B179" t="inlineStr">
        <is>
          <t>John dory</t>
        </is>
      </c>
      <c r="C179" t="inlineStr">
        <is>
          <t>Medium benthopelagics (30 - 89 cm)</t>
        </is>
      </c>
      <c r="D179" t="inlineStr">
        <is>
          <t>Other fishes &amp; inverts</t>
        </is>
      </c>
      <c r="E179" t="n">
        <v>9.233000000000001</v>
      </c>
      <c r="F179" t="n">
        <v>9.743</v>
      </c>
      <c r="G179" t="n">
        <v>10.197</v>
      </c>
      <c r="H179" t="n">
        <v>11.306</v>
      </c>
      <c r="I179" t="n">
        <v>10.254</v>
      </c>
      <c r="J179" t="n">
        <v>11.024</v>
      </c>
      <c r="K179" t="n">
        <v>8.368</v>
      </c>
      <c r="L179" t="n">
        <v>6.873</v>
      </c>
      <c r="M179" t="n">
        <v>6.024</v>
      </c>
      <c r="N179" t="n">
        <v>7.943</v>
      </c>
      <c r="O179" t="n">
        <v>7.676</v>
      </c>
      <c r="P179" t="n">
        <v>7.115</v>
      </c>
      <c r="Q179" t="n">
        <v>27.724</v>
      </c>
      <c r="R179" t="n">
        <v>7.586</v>
      </c>
      <c r="S179" t="n">
        <v>11.828</v>
      </c>
      <c r="T179" t="n">
        <v>26.291</v>
      </c>
      <c r="U179" t="n">
        <v>33.607</v>
      </c>
      <c r="V179" t="n">
        <v>25.419</v>
      </c>
      <c r="W179" t="n">
        <v>24.435</v>
      </c>
      <c r="X179" t="n">
        <v>27.361</v>
      </c>
      <c r="Y179" t="n">
        <v>24.074</v>
      </c>
      <c r="Z179" t="n">
        <v>29.002</v>
      </c>
      <c r="AA179" t="n">
        <v>33.241</v>
      </c>
      <c r="AB179" t="n">
        <v>86.30200000000001</v>
      </c>
      <c r="AC179" t="n">
        <v>43.916</v>
      </c>
      <c r="AD179" t="n">
        <v>38.499</v>
      </c>
      <c r="AE179" t="n">
        <v>1.01</v>
      </c>
      <c r="AF179" t="n">
        <v>0.9379999999999999</v>
      </c>
      <c r="AG179" t="n">
        <v>1.625</v>
      </c>
      <c r="AH179" t="n">
        <v>3.465</v>
      </c>
      <c r="AI179" t="n">
        <v>1.283</v>
      </c>
      <c r="AJ179" t="n">
        <v>1.794</v>
      </c>
      <c r="AK179" t="n">
        <v>1.351</v>
      </c>
      <c r="AL179" t="n">
        <v>1.128</v>
      </c>
      <c r="AM179" t="n">
        <v>0.985</v>
      </c>
      <c r="AN179" t="n">
        <v>1.555</v>
      </c>
      <c r="AO179" t="n">
        <v>0.923</v>
      </c>
      <c r="AP179" t="n">
        <v>2.732</v>
      </c>
      <c r="AQ179" t="n">
        <v>3.98</v>
      </c>
      <c r="AR179" t="n">
        <v>3.933</v>
      </c>
      <c r="AS179" t="n">
        <v>3.092</v>
      </c>
      <c r="AT179" t="n">
        <v>3.418</v>
      </c>
      <c r="AU179" t="n">
        <v>4.511</v>
      </c>
      <c r="AV179" t="n">
        <v>3.614</v>
      </c>
      <c r="AW179" t="n">
        <v>6.604</v>
      </c>
      <c r="AX179" t="n">
        <v>4.555</v>
      </c>
      <c r="AY179" t="n">
        <v>3.248</v>
      </c>
      <c r="AZ179" t="n">
        <v>11.914</v>
      </c>
      <c r="BA179" t="n">
        <v>10.815</v>
      </c>
      <c r="BB179" t="n">
        <v>10.299</v>
      </c>
      <c r="BC179" t="n">
        <v>12.419</v>
      </c>
      <c r="BD179" t="n">
        <v>8.66</v>
      </c>
      <c r="BE179" t="n">
        <v>6.428</v>
      </c>
      <c r="BF179" t="n">
        <v>16.266</v>
      </c>
      <c r="BG179" t="n">
        <v>16.755</v>
      </c>
      <c r="BH179" t="n">
        <v>11.612</v>
      </c>
      <c r="BI179" t="n">
        <v>30.359</v>
      </c>
      <c r="BJ179" t="n">
        <v>36.192</v>
      </c>
      <c r="BK179" t="n">
        <v>23.284</v>
      </c>
      <c r="BL179" t="n">
        <v>19.723</v>
      </c>
      <c r="BM179" t="n">
        <v>13.767</v>
      </c>
      <c r="BN179" t="n">
        <v>16.18</v>
      </c>
      <c r="BO179" t="n">
        <v>15.232</v>
      </c>
      <c r="BP179" t="n">
        <v>13.106</v>
      </c>
      <c r="BQ179" t="n">
        <v>12.51</v>
      </c>
      <c r="BR179" t="n">
        <v>11.258</v>
      </c>
      <c r="BS179" t="n">
        <v>10.663</v>
      </c>
      <c r="BT179" t="n">
        <v>7.053</v>
      </c>
      <c r="BU179" t="n">
        <v>9.423999999999999</v>
      </c>
      <c r="BV179" t="n">
        <v>18.796</v>
      </c>
    </row>
    <row r="180">
      <c r="A180" t="inlineStr">
        <is>
          <t>Lumpenus lampretaeformis</t>
        </is>
      </c>
      <c r="B180" t="inlineStr">
        <is>
          <t>Snakeblenny</t>
        </is>
      </c>
      <c r="C180" t="inlineStr">
        <is>
          <t>Large reef assoc. fish (&gt;=90 cm)</t>
        </is>
      </c>
      <c r="D180" t="inlineStr">
        <is>
          <t>Perch-likes</t>
        </is>
      </c>
      <c r="E180" t="n">
        <v>0</v>
      </c>
      <c r="F180" t="n">
        <v>0.077</v>
      </c>
      <c r="G180" t="n">
        <v>0.05</v>
      </c>
      <c r="H180" t="n">
        <v>0.07199999999999999</v>
      </c>
      <c r="I180" t="n">
        <v>0.048</v>
      </c>
      <c r="J180" t="n">
        <v>1.746</v>
      </c>
      <c r="K180" t="n">
        <v>1.7</v>
      </c>
      <c r="L180" t="n">
        <v>2.245</v>
      </c>
      <c r="M180" t="n">
        <v>1.66</v>
      </c>
      <c r="N180" t="n">
        <v>2.431</v>
      </c>
      <c r="O180" t="n">
        <v>2.203</v>
      </c>
      <c r="P180" t="n">
        <v>3.277</v>
      </c>
      <c r="Q180" t="n">
        <v>2.899</v>
      </c>
      <c r="R180" t="n">
        <v>3.077</v>
      </c>
      <c r="S180" t="n">
        <v>4.271</v>
      </c>
      <c r="T180" t="n">
        <v>4.166</v>
      </c>
      <c r="U180" t="n">
        <v>7.237</v>
      </c>
      <c r="V180" t="n">
        <v>6.148</v>
      </c>
      <c r="W180" t="n">
        <v>6.169</v>
      </c>
      <c r="X180" t="n">
        <v>6.011</v>
      </c>
      <c r="Y180" t="n">
        <v>5.646</v>
      </c>
      <c r="Z180" t="n">
        <v>6.638</v>
      </c>
      <c r="AA180" t="n">
        <v>7.354</v>
      </c>
      <c r="AB180" t="n">
        <v>6.85</v>
      </c>
      <c r="AC180" t="n">
        <v>6.523</v>
      </c>
      <c r="AD180" t="n">
        <v>5.712</v>
      </c>
      <c r="AE180" t="n">
        <v>9.651999999999999</v>
      </c>
      <c r="AF180" t="n">
        <v>8.318</v>
      </c>
      <c r="AG180" t="n">
        <v>8.368</v>
      </c>
      <c r="AH180" t="n">
        <v>7.754</v>
      </c>
      <c r="AI180" t="n">
        <v>7.39</v>
      </c>
      <c r="AJ180" t="n">
        <v>7.97</v>
      </c>
      <c r="AK180" t="n">
        <v>10.337</v>
      </c>
      <c r="AL180" t="n">
        <v>10.894</v>
      </c>
      <c r="AM180" t="n">
        <v>4.609</v>
      </c>
      <c r="AN180" t="n">
        <v>18.901</v>
      </c>
      <c r="AO180" t="n">
        <v>3.068</v>
      </c>
      <c r="AP180" t="n">
        <v>30.787</v>
      </c>
      <c r="AQ180" t="n">
        <v>28.451</v>
      </c>
      <c r="AR180" t="n">
        <v>16.2</v>
      </c>
      <c r="AS180" t="n">
        <v>30.18</v>
      </c>
      <c r="AT180" t="n">
        <v>28.247</v>
      </c>
      <c r="AU180" t="n">
        <v>32.617</v>
      </c>
      <c r="AV180" t="n">
        <v>18.18</v>
      </c>
      <c r="AW180" t="n">
        <v>30.683</v>
      </c>
      <c r="AX180" t="n">
        <v>22.993</v>
      </c>
      <c r="AY180" t="n">
        <v>24.165</v>
      </c>
      <c r="AZ180" t="n">
        <v>24.807</v>
      </c>
      <c r="BA180" t="n">
        <v>20.916</v>
      </c>
      <c r="BB180" t="n">
        <v>24.54</v>
      </c>
      <c r="BC180" t="n">
        <v>22.559</v>
      </c>
      <c r="BD180" t="n">
        <v>23.116</v>
      </c>
      <c r="BE180" t="n">
        <v>24.165</v>
      </c>
      <c r="BF180" t="n">
        <v>23.113</v>
      </c>
      <c r="BG180" t="n">
        <v>27.864</v>
      </c>
      <c r="BH180" t="n">
        <v>25.187</v>
      </c>
      <c r="BI180" t="n">
        <v>38.74</v>
      </c>
      <c r="BJ180" t="n">
        <v>39.342</v>
      </c>
      <c r="BK180" t="n">
        <v>36.419</v>
      </c>
      <c r="BL180" t="n">
        <v>40.205</v>
      </c>
      <c r="BM180" t="n">
        <v>34.719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</row>
    <row r="181">
      <c r="A181" t="inlineStr">
        <is>
          <t>Auxis thazard</t>
        </is>
      </c>
      <c r="B181" t="inlineStr">
        <is>
          <t>Frigate tuna</t>
        </is>
      </c>
      <c r="C181" t="inlineStr">
        <is>
          <t>Medium pelagics (30 - 89 cm)</t>
        </is>
      </c>
      <c r="D181" t="inlineStr">
        <is>
          <t>Tuna &amp; billfishes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5.439</v>
      </c>
      <c r="BK181" t="n">
        <v>81.494</v>
      </c>
      <c r="BL181" t="n">
        <v>45.391</v>
      </c>
      <c r="BM181" t="n">
        <v>0.138</v>
      </c>
      <c r="BN181" t="n">
        <v>151.718</v>
      </c>
      <c r="BO181" t="n">
        <v>4.855</v>
      </c>
      <c r="BP181" t="n">
        <v>76.655</v>
      </c>
      <c r="BQ181" t="n">
        <v>106.596</v>
      </c>
      <c r="BR181" t="n">
        <v>6.056</v>
      </c>
      <c r="BS181" t="n">
        <v>90.31999999999999</v>
      </c>
      <c r="BT181" t="n">
        <v>44.569</v>
      </c>
      <c r="BU181" t="n">
        <v>232.729</v>
      </c>
      <c r="BV181" t="n">
        <v>12.584</v>
      </c>
    </row>
    <row r="182">
      <c r="A182" t="inlineStr">
        <is>
          <t>Galeorhinus galeus</t>
        </is>
      </c>
      <c r="B182" t="inlineStr">
        <is>
          <t>Tope shark</t>
        </is>
      </c>
      <c r="C182" t="inlineStr">
        <is>
          <t>Large sharks (&gt;=90 cm)</t>
        </is>
      </c>
      <c r="D182" t="inlineStr">
        <is>
          <t>Sharks &amp; rays</t>
        </is>
      </c>
      <c r="E182" t="n">
        <v>5.897</v>
      </c>
      <c r="F182" t="n">
        <v>6.152</v>
      </c>
      <c r="G182" t="n">
        <v>6.382</v>
      </c>
      <c r="H182" t="n">
        <v>6.941</v>
      </c>
      <c r="I182" t="n">
        <v>6.41</v>
      </c>
      <c r="J182" t="n">
        <v>6.765</v>
      </c>
      <c r="K182" t="n">
        <v>5.425</v>
      </c>
      <c r="L182" t="n">
        <v>4.653</v>
      </c>
      <c r="M182" t="n">
        <v>4.243</v>
      </c>
      <c r="N182" t="n">
        <v>5.197</v>
      </c>
      <c r="O182" t="n">
        <v>4.567</v>
      </c>
      <c r="P182" t="n">
        <v>4.741</v>
      </c>
      <c r="Q182" t="n">
        <v>5.051</v>
      </c>
      <c r="R182" t="n">
        <v>4.87</v>
      </c>
      <c r="S182" t="n">
        <v>6.456</v>
      </c>
      <c r="T182" t="n">
        <v>14.184</v>
      </c>
      <c r="U182" t="n">
        <v>17.848</v>
      </c>
      <c r="V182" t="n">
        <v>13.549</v>
      </c>
      <c r="W182" t="n">
        <v>12.69</v>
      </c>
      <c r="X182" t="n">
        <v>14.155</v>
      </c>
      <c r="Y182" t="n">
        <v>13.001</v>
      </c>
      <c r="Z182" t="n">
        <v>15.366</v>
      </c>
      <c r="AA182" t="n">
        <v>17.568</v>
      </c>
      <c r="AB182" t="n">
        <v>44.335</v>
      </c>
      <c r="AC182" t="n">
        <v>22.927</v>
      </c>
      <c r="AD182" t="n">
        <v>20.211</v>
      </c>
      <c r="AE182" t="n">
        <v>0.907</v>
      </c>
      <c r="AF182" t="n">
        <v>0.887</v>
      </c>
      <c r="AG182" t="n">
        <v>0.866</v>
      </c>
      <c r="AH182" t="n">
        <v>0.845</v>
      </c>
      <c r="AI182" t="n">
        <v>0.825</v>
      </c>
      <c r="AJ182" t="n">
        <v>0.804</v>
      </c>
      <c r="AK182" t="n">
        <v>0.783</v>
      </c>
      <c r="AL182" t="n">
        <v>0.763</v>
      </c>
      <c r="AM182" t="n">
        <v>0.742</v>
      </c>
      <c r="AN182" t="n">
        <v>0.722</v>
      </c>
      <c r="AO182" t="n">
        <v>0.701</v>
      </c>
      <c r="AP182" t="n">
        <v>0.68</v>
      </c>
      <c r="AQ182" t="n">
        <v>0.66</v>
      </c>
      <c r="AR182" t="n">
        <v>18.395</v>
      </c>
      <c r="AS182" t="n">
        <v>14.441</v>
      </c>
      <c r="AT182" t="n">
        <v>21.583</v>
      </c>
      <c r="AU182" t="n">
        <v>15.65</v>
      </c>
      <c r="AV182" t="n">
        <v>15.628</v>
      </c>
      <c r="AW182" t="n">
        <v>20.565</v>
      </c>
      <c r="AX182" t="n">
        <v>25.481</v>
      </c>
      <c r="AY182" t="n">
        <v>14.563</v>
      </c>
      <c r="AZ182" t="n">
        <v>22.454</v>
      </c>
      <c r="BA182" t="n">
        <v>13.563</v>
      </c>
      <c r="BB182" t="n">
        <v>16.866</v>
      </c>
      <c r="BC182" t="n">
        <v>21.448</v>
      </c>
      <c r="BD182" t="n">
        <v>15.72</v>
      </c>
      <c r="BE182" t="n">
        <v>18.424</v>
      </c>
      <c r="BF182" t="n">
        <v>17.764</v>
      </c>
      <c r="BG182" t="n">
        <v>13.722</v>
      </c>
      <c r="BH182" t="n">
        <v>18.143</v>
      </c>
      <c r="BI182" t="n">
        <v>18.918</v>
      </c>
      <c r="BJ182" t="n">
        <v>10.063</v>
      </c>
      <c r="BK182" t="n">
        <v>7.876</v>
      </c>
      <c r="BL182" t="n">
        <v>12.328</v>
      </c>
      <c r="BM182" t="n">
        <v>16.535</v>
      </c>
      <c r="BN182" t="n">
        <v>29.8</v>
      </c>
      <c r="BO182" t="n">
        <v>17.265</v>
      </c>
      <c r="BP182" t="n">
        <v>6.745</v>
      </c>
      <c r="BQ182" t="n">
        <v>7.028</v>
      </c>
      <c r="BR182" t="n">
        <v>7.201</v>
      </c>
      <c r="BS182" t="n">
        <v>10.548</v>
      </c>
      <c r="BT182" t="n">
        <v>2.401</v>
      </c>
      <c r="BU182" t="n">
        <v>0.761</v>
      </c>
      <c r="BV182" t="n">
        <v>0.131</v>
      </c>
    </row>
    <row r="183">
      <c r="A183" t="inlineStr">
        <is>
          <t>Labridae</t>
        </is>
      </c>
      <c r="B183" t="inlineStr">
        <is>
          <t>Wrasses, gropers, tuskfishes</t>
        </is>
      </c>
      <c r="C183" t="inlineStr">
        <is>
          <t>Medium reef assoc. fish (30 - 89 cm)</t>
        </is>
      </c>
      <c r="D183" t="inlineStr">
        <is>
          <t>Perch-likes</t>
        </is>
      </c>
      <c r="E183" t="n">
        <v>5.521</v>
      </c>
      <c r="F183" t="n">
        <v>5.81</v>
      </c>
      <c r="G183" t="n">
        <v>6.076</v>
      </c>
      <c r="H183" t="n">
        <v>6.604</v>
      </c>
      <c r="I183" t="n">
        <v>6.274</v>
      </c>
      <c r="J183" t="n">
        <v>6.645</v>
      </c>
      <c r="K183" t="n">
        <v>5.687</v>
      </c>
      <c r="L183" t="n">
        <v>5.178</v>
      </c>
      <c r="M183" t="n">
        <v>4.961</v>
      </c>
      <c r="N183" t="n">
        <v>5.815</v>
      </c>
      <c r="O183" t="n">
        <v>5.424</v>
      </c>
      <c r="P183" t="n">
        <v>5.683</v>
      </c>
      <c r="Q183" t="n">
        <v>6.055</v>
      </c>
      <c r="R183" t="n">
        <v>6.086</v>
      </c>
      <c r="S183" t="n">
        <v>7.464</v>
      </c>
      <c r="T183" t="n">
        <v>13.677</v>
      </c>
      <c r="U183" t="n">
        <v>16.688</v>
      </c>
      <c r="V183" t="n">
        <v>13.437</v>
      </c>
      <c r="W183" t="n">
        <v>12.888</v>
      </c>
      <c r="X183" t="n">
        <v>14.172</v>
      </c>
      <c r="Y183" t="n">
        <v>13.399</v>
      </c>
      <c r="Z183" t="n">
        <v>15.401</v>
      </c>
      <c r="AA183" t="n">
        <v>17.276</v>
      </c>
      <c r="AB183" t="n">
        <v>38.473</v>
      </c>
      <c r="AC183" t="n">
        <v>21.772</v>
      </c>
      <c r="AD183" t="n">
        <v>19.766</v>
      </c>
      <c r="AE183" t="n">
        <v>4.704</v>
      </c>
      <c r="AF183" t="n">
        <v>4.912</v>
      </c>
      <c r="AG183" t="n">
        <v>5.12</v>
      </c>
      <c r="AH183" t="n">
        <v>5.328</v>
      </c>
      <c r="AI183" t="n">
        <v>5.536</v>
      </c>
      <c r="AJ183" t="n">
        <v>5.744</v>
      </c>
      <c r="AK183" t="n">
        <v>5.952</v>
      </c>
      <c r="AL183" t="n">
        <v>6.159</v>
      </c>
      <c r="AM183" t="n">
        <v>6.367</v>
      </c>
      <c r="AN183" t="n">
        <v>6.575</v>
      </c>
      <c r="AO183" t="n">
        <v>6.783</v>
      </c>
      <c r="AP183" t="n">
        <v>6.991</v>
      </c>
      <c r="AQ183" t="n">
        <v>7.199</v>
      </c>
      <c r="AR183" t="n">
        <v>7.895</v>
      </c>
      <c r="AS183" t="n">
        <v>8.118</v>
      </c>
      <c r="AT183" t="n">
        <v>8.071</v>
      </c>
      <c r="AU183" t="n">
        <v>8.579000000000001</v>
      </c>
      <c r="AV183" t="n">
        <v>8.742000000000001</v>
      </c>
      <c r="AW183" t="n">
        <v>12.899</v>
      </c>
      <c r="AX183" t="n">
        <v>9.742000000000001</v>
      </c>
      <c r="AY183" t="n">
        <v>9.35</v>
      </c>
      <c r="AZ183" t="n">
        <v>10.045</v>
      </c>
      <c r="BA183" t="n">
        <v>9.766999999999999</v>
      </c>
      <c r="BB183" t="n">
        <v>9.98</v>
      </c>
      <c r="BC183" t="n">
        <v>10.182</v>
      </c>
      <c r="BD183" t="n">
        <v>9.901999999999999</v>
      </c>
      <c r="BE183" t="n">
        <v>10.11</v>
      </c>
      <c r="BF183" t="n">
        <v>11.797</v>
      </c>
      <c r="BG183" t="n">
        <v>10.766</v>
      </c>
      <c r="BH183" t="n">
        <v>10.733</v>
      </c>
      <c r="BI183" t="n">
        <v>12.403</v>
      </c>
      <c r="BJ183" t="n">
        <v>11.783</v>
      </c>
      <c r="BK183" t="n">
        <v>12.113</v>
      </c>
      <c r="BL183" t="n">
        <v>12.455</v>
      </c>
      <c r="BM183" t="n">
        <v>12.303</v>
      </c>
      <c r="BN183" t="n">
        <v>12.022</v>
      </c>
      <c r="BO183" t="n">
        <v>11.784</v>
      </c>
      <c r="BP183" t="n">
        <v>12.119</v>
      </c>
      <c r="BQ183" t="n">
        <v>15.95</v>
      </c>
      <c r="BR183" t="n">
        <v>14.594</v>
      </c>
      <c r="BS183" t="n">
        <v>15.128</v>
      </c>
      <c r="BT183" t="n">
        <v>12.23</v>
      </c>
      <c r="BU183" t="n">
        <v>13.706</v>
      </c>
      <c r="BV183" t="n">
        <v>13.46</v>
      </c>
    </row>
    <row r="184">
      <c r="A184" t="inlineStr">
        <is>
          <t>Rutilus rutilus</t>
        </is>
      </c>
      <c r="B184" t="inlineStr">
        <is>
          <t>Roach</t>
        </is>
      </c>
      <c r="C184" t="inlineStr">
        <is>
          <t>Medium benthopelagics (30 - 89 cm)</t>
        </is>
      </c>
      <c r="D184" t="inlineStr">
        <is>
          <t>Other fishes &amp; inverts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0.007</v>
      </c>
      <c r="Z184" t="n">
        <v>0</v>
      </c>
      <c r="AA184" t="n">
        <v>0</v>
      </c>
      <c r="AB184" t="n">
        <v>0</v>
      </c>
      <c r="AC184" t="n">
        <v>21.756</v>
      </c>
      <c r="AD184" t="n">
        <v>3.624</v>
      </c>
      <c r="AE184" t="n">
        <v>0</v>
      </c>
      <c r="AF184" t="n">
        <v>1.394</v>
      </c>
      <c r="AG184" t="n">
        <v>33.633</v>
      </c>
      <c r="AH184" t="n">
        <v>30.667</v>
      </c>
      <c r="AI184" t="n">
        <v>22.754</v>
      </c>
      <c r="AJ184" t="n">
        <v>18.798</v>
      </c>
      <c r="AK184" t="n">
        <v>19.13</v>
      </c>
      <c r="AL184" t="n">
        <v>21.435</v>
      </c>
      <c r="AM184" t="n">
        <v>12.278</v>
      </c>
      <c r="AN184" t="n">
        <v>14.789</v>
      </c>
      <c r="AO184" t="n">
        <v>9.66</v>
      </c>
      <c r="AP184" t="n">
        <v>9.473000000000001</v>
      </c>
      <c r="AQ184" t="n">
        <v>80.126</v>
      </c>
      <c r="AR184" t="n">
        <v>20.772</v>
      </c>
      <c r="AS184" t="n">
        <v>19.505</v>
      </c>
      <c r="AT184" t="n">
        <v>16.225</v>
      </c>
      <c r="AU184" t="n">
        <v>18.255</v>
      </c>
      <c r="AV184" t="n">
        <v>35.645</v>
      </c>
      <c r="AW184" t="n">
        <v>30.832</v>
      </c>
      <c r="AX184" t="n">
        <v>25.147</v>
      </c>
      <c r="AY184" t="n">
        <v>11.4</v>
      </c>
      <c r="AZ184" t="n">
        <v>11.242</v>
      </c>
      <c r="BA184" t="n">
        <v>22.175</v>
      </c>
      <c r="BB184" t="n">
        <v>10.29</v>
      </c>
      <c r="BC184" t="n">
        <v>8.308999999999999</v>
      </c>
      <c r="BD184" t="n">
        <v>7.411</v>
      </c>
      <c r="BE184" t="n">
        <v>5.692</v>
      </c>
      <c r="BF184" t="n">
        <v>5.346</v>
      </c>
      <c r="BG184" t="n">
        <v>5.661</v>
      </c>
      <c r="BH184" t="n">
        <v>4.418</v>
      </c>
      <c r="BI184" t="n">
        <v>4.533</v>
      </c>
      <c r="BJ184" t="n">
        <v>4.954</v>
      </c>
      <c r="BK184" t="n">
        <v>5.239</v>
      </c>
      <c r="BL184" t="n">
        <v>1.276</v>
      </c>
      <c r="BM184" t="n">
        <v>0.991</v>
      </c>
      <c r="BN184" t="n">
        <v>2.973</v>
      </c>
      <c r="BO184" t="n">
        <v>6.941</v>
      </c>
      <c r="BP184" t="n">
        <v>7.929</v>
      </c>
      <c r="BQ184" t="n">
        <v>8.917999999999999</v>
      </c>
      <c r="BR184" t="n">
        <v>14.235</v>
      </c>
      <c r="BS184" t="n">
        <v>12.99</v>
      </c>
      <c r="BT184" t="n">
        <v>17.638</v>
      </c>
      <c r="BU184" t="n">
        <v>21.496</v>
      </c>
      <c r="BV184" t="n">
        <v>27.132</v>
      </c>
    </row>
    <row r="185">
      <c r="A185" t="inlineStr">
        <is>
          <t>Thunnus alalunga</t>
        </is>
      </c>
      <c r="B185" t="inlineStr">
        <is>
          <t>Albacore</t>
        </is>
      </c>
      <c r="C185" t="inlineStr">
        <is>
          <t>Large pelagics (&gt;=90 cm)</t>
        </is>
      </c>
      <c r="D185" t="inlineStr">
        <is>
          <t>Tuna &amp; billfishes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18.796</v>
      </c>
      <c r="BJ185" t="n">
        <v>29.265</v>
      </c>
      <c r="BK185" t="n">
        <v>48.926</v>
      </c>
      <c r="BL185" t="n">
        <v>66.78</v>
      </c>
      <c r="BM185" t="n">
        <v>116.011</v>
      </c>
      <c r="BN185" t="n">
        <v>56.711</v>
      </c>
      <c r="BO185" t="n">
        <v>49.638</v>
      </c>
      <c r="BP185" t="n">
        <v>131.618</v>
      </c>
      <c r="BQ185" t="n">
        <v>133.926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</row>
    <row r="186">
      <c r="A186" t="inlineStr">
        <is>
          <t>Mallotus villosus</t>
        </is>
      </c>
      <c r="B186" t="inlineStr">
        <is>
          <t>Capelin</t>
        </is>
      </c>
      <c r="C186" t="inlineStr">
        <is>
          <t>Small pelagics (&lt;30 cm)</t>
        </is>
      </c>
      <c r="D186" t="inlineStr">
        <is>
          <t>Salmon, smelts, etc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1.313</v>
      </c>
      <c r="N186" t="n">
        <v>2.335</v>
      </c>
      <c r="O186" t="n">
        <v>1.003</v>
      </c>
      <c r="P186" t="n">
        <v>8.241</v>
      </c>
      <c r="Q186" t="n">
        <v>0</v>
      </c>
      <c r="R186" t="n">
        <v>0</v>
      </c>
      <c r="S186" t="n">
        <v>0</v>
      </c>
      <c r="T186" t="n">
        <v>1.594</v>
      </c>
      <c r="U186" t="n">
        <v>8.093999999999999</v>
      </c>
      <c r="V186" t="n">
        <v>6.787</v>
      </c>
      <c r="W186" t="n">
        <v>4.222</v>
      </c>
      <c r="X186" t="n">
        <v>10.101</v>
      </c>
      <c r="Y186" t="n">
        <v>19.336</v>
      </c>
      <c r="Z186" t="n">
        <v>65.158</v>
      </c>
      <c r="AA186" t="n">
        <v>82.32599999999999</v>
      </c>
      <c r="AB186" t="n">
        <v>3.523</v>
      </c>
      <c r="AC186" t="n">
        <v>11.677</v>
      </c>
      <c r="AD186" t="n">
        <v>3.393</v>
      </c>
      <c r="AE186" t="n">
        <v>13.779</v>
      </c>
      <c r="AF186" t="n">
        <v>25.424</v>
      </c>
      <c r="AG186" t="n">
        <v>11.016</v>
      </c>
      <c r="AH186" t="n">
        <v>14.483</v>
      </c>
      <c r="AI186" t="n">
        <v>22.743</v>
      </c>
      <c r="AJ186" t="n">
        <v>42.346</v>
      </c>
      <c r="AK186" t="n">
        <v>14.599</v>
      </c>
      <c r="AL186" t="n">
        <v>73.321</v>
      </c>
      <c r="AM186" t="n">
        <v>19.013</v>
      </c>
      <c r="AN186" t="n">
        <v>10.909</v>
      </c>
      <c r="AO186" t="n">
        <v>0.047</v>
      </c>
      <c r="AP186" t="n">
        <v>0</v>
      </c>
      <c r="AQ186" t="n">
        <v>0.095</v>
      </c>
      <c r="AR186" t="n">
        <v>0.349</v>
      </c>
      <c r="AS186" t="n">
        <v>0.718</v>
      </c>
      <c r="AT186" t="n">
        <v>15.539</v>
      </c>
      <c r="AU186" t="n">
        <v>11.08</v>
      </c>
      <c r="AV186" t="n">
        <v>18.966</v>
      </c>
      <c r="AW186" t="n">
        <v>0</v>
      </c>
      <c r="AX186" t="n">
        <v>0</v>
      </c>
      <c r="AY186" t="n">
        <v>0</v>
      </c>
      <c r="AZ186" t="n">
        <v>6.94</v>
      </c>
      <c r="BA186" t="n">
        <v>0</v>
      </c>
      <c r="BB186" t="n">
        <v>2.517</v>
      </c>
      <c r="BC186" t="n">
        <v>18.156</v>
      </c>
      <c r="BD186" t="n">
        <v>21.575</v>
      </c>
      <c r="BE186" t="n">
        <v>1.235</v>
      </c>
      <c r="BF186" t="n">
        <v>18.985</v>
      </c>
      <c r="BG186" t="n">
        <v>0.447</v>
      </c>
      <c r="BH186" t="n">
        <v>0.255</v>
      </c>
      <c r="BI186" t="n">
        <v>0.043</v>
      </c>
      <c r="BJ186" t="n">
        <v>0.161</v>
      </c>
      <c r="BK186" t="n">
        <v>0.11</v>
      </c>
      <c r="BL186" t="n">
        <v>5.416</v>
      </c>
      <c r="BM186" t="n">
        <v>4.524</v>
      </c>
      <c r="BN186" t="n">
        <v>4.381</v>
      </c>
      <c r="BO186" t="n">
        <v>17.062</v>
      </c>
      <c r="BP186" t="n">
        <v>4.401</v>
      </c>
      <c r="BQ186" t="n">
        <v>2.205</v>
      </c>
      <c r="BR186" t="n">
        <v>4.82</v>
      </c>
      <c r="BS186" t="n">
        <v>0</v>
      </c>
      <c r="BT186" t="n">
        <v>0.112</v>
      </c>
      <c r="BU186" t="n">
        <v>14.463</v>
      </c>
      <c r="BV186" t="n">
        <v>0</v>
      </c>
    </row>
    <row r="187">
      <c r="A187" t="inlineStr">
        <is>
          <t>Octopodidae</t>
        </is>
      </c>
      <c r="B187" t="inlineStr">
        <is>
          <t>Octopuses</t>
        </is>
      </c>
      <c r="C187" t="inlineStr">
        <is>
          <t>Cephalopods</t>
        </is>
      </c>
      <c r="D187" t="inlineStr">
        <is>
          <t>Other fishes &amp; inverts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6.694</v>
      </c>
      <c r="AB187" t="n">
        <v>8.536</v>
      </c>
      <c r="AC187" t="n">
        <v>3.594</v>
      </c>
      <c r="AD187" t="n">
        <v>4.717</v>
      </c>
      <c r="AE187" t="n">
        <v>0</v>
      </c>
      <c r="AF187" t="n">
        <v>0</v>
      </c>
      <c r="AG187" t="n">
        <v>0.09</v>
      </c>
      <c r="AH187" t="n">
        <v>0</v>
      </c>
      <c r="AI187" t="n">
        <v>0</v>
      </c>
      <c r="AJ187" t="n">
        <v>0</v>
      </c>
      <c r="AK187" t="n">
        <v>0.09</v>
      </c>
      <c r="AL187" t="n">
        <v>0.135</v>
      </c>
      <c r="AM187" t="n">
        <v>0.249</v>
      </c>
      <c r="AN187" t="n">
        <v>2.332</v>
      </c>
      <c r="AO187" t="n">
        <v>1.244</v>
      </c>
      <c r="AP187" t="n">
        <v>0</v>
      </c>
      <c r="AQ187" t="n">
        <v>0.998</v>
      </c>
      <c r="AR187" t="n">
        <v>63.503</v>
      </c>
      <c r="AS187" t="n">
        <v>120.394</v>
      </c>
      <c r="AT187" t="n">
        <v>106.669</v>
      </c>
      <c r="AU187" t="n">
        <v>44.641</v>
      </c>
      <c r="AV187" t="n">
        <v>13.186</v>
      </c>
      <c r="AW187" t="n">
        <v>11.899</v>
      </c>
      <c r="AX187" t="n">
        <v>10.359</v>
      </c>
      <c r="AY187" t="n">
        <v>6.877</v>
      </c>
      <c r="AZ187" t="n">
        <v>7.906</v>
      </c>
      <c r="BA187" t="n">
        <v>15.562</v>
      </c>
      <c r="BB187" t="n">
        <v>19.024</v>
      </c>
      <c r="BC187" t="n">
        <v>16.352</v>
      </c>
      <c r="BD187" t="n">
        <v>9.087999999999999</v>
      </c>
      <c r="BE187" t="n">
        <v>4.486</v>
      </c>
      <c r="BF187" t="n">
        <v>13.423</v>
      </c>
      <c r="BG187" t="n">
        <v>6.233</v>
      </c>
      <c r="BH187" t="n">
        <v>3.977</v>
      </c>
      <c r="BI187" t="n">
        <v>2.493</v>
      </c>
      <c r="BJ187" t="n">
        <v>3.476</v>
      </c>
      <c r="BK187" t="n">
        <v>3.475</v>
      </c>
      <c r="BL187" t="n">
        <v>7.071</v>
      </c>
      <c r="BM187" t="n">
        <v>1.993</v>
      </c>
      <c r="BN187" t="n">
        <v>12.387</v>
      </c>
      <c r="BO187" t="n">
        <v>3.91</v>
      </c>
      <c r="BP187" t="n">
        <v>2.28</v>
      </c>
      <c r="BQ187" t="n">
        <v>3.756</v>
      </c>
      <c r="BR187" t="n">
        <v>11.421</v>
      </c>
      <c r="BS187" t="n">
        <v>11.425</v>
      </c>
      <c r="BT187" t="n">
        <v>19.016</v>
      </c>
      <c r="BU187" t="n">
        <v>23.956</v>
      </c>
      <c r="BV187" t="n">
        <v>28.274</v>
      </c>
    </row>
    <row r="188">
      <c r="A188" t="inlineStr">
        <is>
          <t>Crassostrea</t>
        </is>
      </c>
      <c r="B188" t="inlineStr">
        <is>
          <t>Cupped oysters</t>
        </is>
      </c>
      <c r="C188" t="inlineStr">
        <is>
          <t>Other demersal invertebrates</t>
        </is>
      </c>
      <c r="D188" t="inlineStr">
        <is>
          <t>Molluscs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110.955</v>
      </c>
      <c r="Q188" t="n">
        <v>0</v>
      </c>
      <c r="R188" t="n">
        <v>0</v>
      </c>
      <c r="S188" t="n">
        <v>35.348</v>
      </c>
      <c r="T188" t="n">
        <v>37.312</v>
      </c>
      <c r="U188" t="n">
        <v>60.878</v>
      </c>
      <c r="V188" t="n">
        <v>68.733</v>
      </c>
      <c r="W188" t="n">
        <v>59.896</v>
      </c>
      <c r="X188" t="n">
        <v>69.715</v>
      </c>
      <c r="Y188" t="n">
        <v>53.023</v>
      </c>
      <c r="Z188" t="n">
        <v>52.041</v>
      </c>
      <c r="AA188" t="n">
        <v>38.294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3.285</v>
      </c>
      <c r="AN188" t="n">
        <v>3.323</v>
      </c>
      <c r="AO188" t="n">
        <v>3.308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0.002</v>
      </c>
      <c r="BI188" t="n">
        <v>0.005</v>
      </c>
      <c r="BJ188" t="n">
        <v>0</v>
      </c>
      <c r="BK188" t="n">
        <v>0</v>
      </c>
      <c r="BL188" t="n">
        <v>0.162</v>
      </c>
      <c r="BM188" t="n">
        <v>0.002</v>
      </c>
      <c r="BN188" t="n">
        <v>0.506</v>
      </c>
      <c r="BO188" t="n">
        <v>0</v>
      </c>
      <c r="BP188" t="n">
        <v>0</v>
      </c>
      <c r="BQ188" t="n">
        <v>1.326</v>
      </c>
      <c r="BR188" t="n">
        <v>0</v>
      </c>
      <c r="BS188" t="n">
        <v>0.579</v>
      </c>
      <c r="BT188" t="n">
        <v>0</v>
      </c>
      <c r="BU188" t="n">
        <v>1.349</v>
      </c>
      <c r="BV188" t="n">
        <v>0</v>
      </c>
    </row>
    <row r="189">
      <c r="A189" t="inlineStr">
        <is>
          <t>Sarda sarda</t>
        </is>
      </c>
      <c r="B189" t="inlineStr">
        <is>
          <t>Atlantic bonito</t>
        </is>
      </c>
      <c r="C189" t="inlineStr">
        <is>
          <t>Medium pelagics (30 - 89 cm)</t>
        </is>
      </c>
      <c r="D189" t="inlineStr">
        <is>
          <t>Tuna &amp; billfishes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32.021</v>
      </c>
      <c r="BJ189" t="n">
        <v>0</v>
      </c>
      <c r="BK189" t="n">
        <v>0</v>
      </c>
      <c r="BL189" t="n">
        <v>27.44</v>
      </c>
      <c r="BM189" t="n">
        <v>65.298</v>
      </c>
      <c r="BN189" t="n">
        <v>108.75</v>
      </c>
      <c r="BO189" t="n">
        <v>20.288</v>
      </c>
      <c r="BP189" t="n">
        <v>219.314</v>
      </c>
      <c r="BQ189" t="n">
        <v>40.25</v>
      </c>
      <c r="BR189" t="n">
        <v>1.796</v>
      </c>
      <c r="BS189" t="n">
        <v>11.23</v>
      </c>
      <c r="BT189" t="n">
        <v>7.175</v>
      </c>
      <c r="BU189" t="n">
        <v>4.693</v>
      </c>
      <c r="BV189" t="n">
        <v>16.357</v>
      </c>
    </row>
    <row r="190">
      <c r="A190" t="inlineStr">
        <is>
          <t>Chaceon affinis</t>
        </is>
      </c>
      <c r="B190" t="inlineStr">
        <is>
          <t>Deepsea red crab</t>
        </is>
      </c>
      <c r="C190" t="inlineStr">
        <is>
          <t>Lobsters, crabs</t>
        </is>
      </c>
      <c r="D190" t="inlineStr">
        <is>
          <t>Crustaceans</t>
        </is>
      </c>
      <c r="E190" t="n">
        <v>16.885</v>
      </c>
      <c r="F190" t="n">
        <v>19.893</v>
      </c>
      <c r="G190" t="n">
        <v>20.125</v>
      </c>
      <c r="H190" t="n">
        <v>21.719</v>
      </c>
      <c r="I190" t="n">
        <v>15.42</v>
      </c>
      <c r="J190" t="n">
        <v>17.15</v>
      </c>
      <c r="K190" t="n">
        <v>16.946</v>
      </c>
      <c r="L190" t="n">
        <v>16.376</v>
      </c>
      <c r="M190" t="n">
        <v>17.325</v>
      </c>
      <c r="N190" t="n">
        <v>16.386</v>
      </c>
      <c r="O190" t="n">
        <v>15.012</v>
      </c>
      <c r="P190" t="n">
        <v>15.01</v>
      </c>
      <c r="Q190" t="n">
        <v>12.582</v>
      </c>
      <c r="R190" t="n">
        <v>12.217</v>
      </c>
      <c r="S190" t="n">
        <v>12.314</v>
      </c>
      <c r="T190" t="n">
        <v>19.669</v>
      </c>
      <c r="U190" t="n">
        <v>21.27</v>
      </c>
      <c r="V190" t="n">
        <v>20.355</v>
      </c>
      <c r="W190" t="n">
        <v>22.642</v>
      </c>
      <c r="X190" t="n">
        <v>29.366</v>
      </c>
      <c r="Y190" t="n">
        <v>20.031</v>
      </c>
      <c r="Z190" t="n">
        <v>21.618</v>
      </c>
      <c r="AA190" t="n">
        <v>15.348</v>
      </c>
      <c r="AB190" t="n">
        <v>17.07</v>
      </c>
      <c r="AC190" t="n">
        <v>16.867</v>
      </c>
      <c r="AD190" t="n">
        <v>16.3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9.412000000000001</v>
      </c>
      <c r="BJ190" t="n">
        <v>6.197</v>
      </c>
      <c r="BK190" t="n">
        <v>12.574</v>
      </c>
      <c r="BL190" t="n">
        <v>0.524</v>
      </c>
      <c r="BM190" t="n">
        <v>12.908</v>
      </c>
      <c r="BN190" t="n">
        <v>2.88</v>
      </c>
      <c r="BO190" t="n">
        <v>9.669</v>
      </c>
      <c r="BP190" t="n">
        <v>3.161</v>
      </c>
      <c r="BQ190" t="n">
        <v>1.17</v>
      </c>
      <c r="BR190" t="n">
        <v>1.615</v>
      </c>
      <c r="BS190" t="n">
        <v>1.031</v>
      </c>
      <c r="BT190" t="n">
        <v>1.675</v>
      </c>
      <c r="BU190" t="n">
        <v>0.669</v>
      </c>
      <c r="BV190" t="n">
        <v>0.265</v>
      </c>
    </row>
    <row r="191">
      <c r="A191" t="inlineStr">
        <is>
          <t>Illex</t>
        </is>
      </c>
      <c r="B191" t="inlineStr">
        <is>
          <t>Shortfin squid</t>
        </is>
      </c>
      <c r="C191" t="inlineStr">
        <is>
          <t>Cephalopods</t>
        </is>
      </c>
      <c r="D191" t="inlineStr">
        <is>
          <t>Other fishes &amp; inverts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0.122</v>
      </c>
      <c r="BN191" t="n">
        <v>2.076</v>
      </c>
      <c r="BO191" t="n">
        <v>0.148</v>
      </c>
      <c r="BP191" t="n">
        <v>4.019</v>
      </c>
      <c r="BQ191" t="n">
        <v>53.231</v>
      </c>
      <c r="BR191" t="n">
        <v>23.73</v>
      </c>
      <c r="BS191" t="n">
        <v>72.251</v>
      </c>
      <c r="BT191" t="n">
        <v>48.826</v>
      </c>
      <c r="BU191" t="n">
        <v>169.848</v>
      </c>
      <c r="BV191" t="n">
        <v>147.391</v>
      </c>
    </row>
    <row r="192">
      <c r="A192" t="inlineStr">
        <is>
          <t>Helicolenus dactylopterus</t>
        </is>
      </c>
      <c r="B192" t="inlineStr">
        <is>
          <t>Blackbelly rosefish</t>
        </is>
      </c>
      <c r="C192" t="inlineStr">
        <is>
          <t>Medium bathydemersals (30 - 89 cm)</t>
        </is>
      </c>
      <c r="D192" t="inlineStr">
        <is>
          <t>Scorpionfishes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14.247</v>
      </c>
      <c r="AH192" t="n">
        <v>12.926</v>
      </c>
      <c r="AI192" t="n">
        <v>0</v>
      </c>
      <c r="AJ192" t="n">
        <v>0</v>
      </c>
      <c r="AK192" t="n">
        <v>0</v>
      </c>
      <c r="AL192" t="n">
        <v>7.668</v>
      </c>
      <c r="AM192" t="n">
        <v>7.417</v>
      </c>
      <c r="AN192" t="n">
        <v>23.181</v>
      </c>
      <c r="AO192" t="n">
        <v>21.767</v>
      </c>
      <c r="AP192" t="n">
        <v>25.898</v>
      </c>
      <c r="AQ192" t="n">
        <v>20.259</v>
      </c>
      <c r="AR192" t="n">
        <v>19.654</v>
      </c>
      <c r="AS192" t="n">
        <v>11.428</v>
      </c>
      <c r="AT192" t="n">
        <v>13.363</v>
      </c>
      <c r="AU192" t="n">
        <v>13.038</v>
      </c>
      <c r="AV192" t="n">
        <v>8.366</v>
      </c>
      <c r="AW192" t="n">
        <v>6.637</v>
      </c>
      <c r="AX192" t="n">
        <v>6.884</v>
      </c>
      <c r="AY192" t="n">
        <v>10.244</v>
      </c>
      <c r="AZ192" t="n">
        <v>7.143</v>
      </c>
      <c r="BA192" t="n">
        <v>4.418</v>
      </c>
      <c r="BB192" t="n">
        <v>11.441</v>
      </c>
      <c r="BC192" t="n">
        <v>11.927</v>
      </c>
      <c r="BD192" t="n">
        <v>12.91</v>
      </c>
      <c r="BE192" t="n">
        <v>4.732</v>
      </c>
      <c r="BF192" t="n">
        <v>3.116</v>
      </c>
      <c r="BG192" t="n">
        <v>10.011</v>
      </c>
      <c r="BH192" t="n">
        <v>16.294</v>
      </c>
      <c r="BI192" t="n">
        <v>12.099</v>
      </c>
      <c r="BJ192" t="n">
        <v>28.74</v>
      </c>
      <c r="BK192" t="n">
        <v>10.631</v>
      </c>
      <c r="BL192" t="n">
        <v>13.366</v>
      </c>
      <c r="BM192" t="n">
        <v>16.83</v>
      </c>
      <c r="BN192" t="n">
        <v>14.631</v>
      </c>
      <c r="BO192" t="n">
        <v>13.335</v>
      </c>
      <c r="BP192" t="n">
        <v>10.69</v>
      </c>
      <c r="BQ192" t="n">
        <v>13.068</v>
      </c>
      <c r="BR192" t="n">
        <v>9.468</v>
      </c>
      <c r="BS192" t="n">
        <v>9.849</v>
      </c>
      <c r="BT192" t="n">
        <v>11.401</v>
      </c>
      <c r="BU192" t="n">
        <v>8.670999999999999</v>
      </c>
      <c r="BV192" t="n">
        <v>12.769</v>
      </c>
    </row>
    <row r="193">
      <c r="A193" t="inlineStr">
        <is>
          <t>Prionace glauca</t>
        </is>
      </c>
      <c r="B193" t="inlineStr">
        <is>
          <t>Blue shark</t>
        </is>
      </c>
      <c r="C193" t="inlineStr">
        <is>
          <t>Large sharks (&gt;=90 cm)</t>
        </is>
      </c>
      <c r="D193" t="inlineStr">
        <is>
          <t>Sharks &amp; rays</t>
        </is>
      </c>
      <c r="E193" t="n">
        <v>0.194</v>
      </c>
      <c r="F193" t="n">
        <v>0.205</v>
      </c>
      <c r="G193" t="n">
        <v>0.214</v>
      </c>
      <c r="H193" t="n">
        <v>0.237</v>
      </c>
      <c r="I193" t="n">
        <v>0.215</v>
      </c>
      <c r="J193" t="n">
        <v>0.23</v>
      </c>
      <c r="K193" t="n">
        <v>0.174</v>
      </c>
      <c r="L193" t="n">
        <v>0.142</v>
      </c>
      <c r="M193" t="n">
        <v>0.125</v>
      </c>
      <c r="N193" t="n">
        <v>0.165</v>
      </c>
      <c r="O193" t="n">
        <v>0.139</v>
      </c>
      <c r="P193" t="n">
        <v>0.147</v>
      </c>
      <c r="Q193" t="n">
        <v>0.16</v>
      </c>
      <c r="R193" t="n">
        <v>0.154</v>
      </c>
      <c r="S193" t="n">
        <v>0.221</v>
      </c>
      <c r="T193" t="n">
        <v>0.543</v>
      </c>
      <c r="U193" t="n">
        <v>0.696</v>
      </c>
      <c r="V193" t="n">
        <v>0.518</v>
      </c>
      <c r="W193" t="n">
        <v>0.483</v>
      </c>
      <c r="X193" t="n">
        <v>0.545</v>
      </c>
      <c r="Y193" t="n">
        <v>0.498</v>
      </c>
      <c r="Z193" t="n">
        <v>0.597</v>
      </c>
      <c r="AA193" t="n">
        <v>0.6899999999999999</v>
      </c>
      <c r="AB193" t="n">
        <v>1.805</v>
      </c>
      <c r="AC193" t="n">
        <v>0.915</v>
      </c>
      <c r="AD193" t="n">
        <v>0.803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3.713</v>
      </c>
      <c r="AS193" t="n">
        <v>3.713</v>
      </c>
      <c r="AT193" t="n">
        <v>2.357</v>
      </c>
      <c r="AU193" t="n">
        <v>2.356</v>
      </c>
      <c r="AV193" t="n">
        <v>0</v>
      </c>
      <c r="AW193" t="n">
        <v>2.356</v>
      </c>
      <c r="AX193" t="n">
        <v>4.213</v>
      </c>
      <c r="AY193" t="n">
        <v>5.819</v>
      </c>
      <c r="AZ193" t="n">
        <v>2.356</v>
      </c>
      <c r="BA193" t="n">
        <v>2.606</v>
      </c>
      <c r="BB193" t="n">
        <v>0</v>
      </c>
      <c r="BC193" t="n">
        <v>4.224</v>
      </c>
      <c r="BD193" t="n">
        <v>4.227</v>
      </c>
      <c r="BE193" t="n">
        <v>16.749</v>
      </c>
      <c r="BF193" t="n">
        <v>10.536</v>
      </c>
      <c r="BG193" t="n">
        <v>4.195</v>
      </c>
      <c r="BH193" t="n">
        <v>0</v>
      </c>
      <c r="BI193" t="n">
        <v>234.817</v>
      </c>
      <c r="BJ193" t="n">
        <v>7.551</v>
      </c>
      <c r="BK193" t="n">
        <v>6.062</v>
      </c>
      <c r="BL193" t="n">
        <v>106.56</v>
      </c>
      <c r="BM193" t="n">
        <v>8.07</v>
      </c>
      <c r="BN193" t="n">
        <v>9.930999999999999</v>
      </c>
      <c r="BO193" t="n">
        <v>8.005000000000001</v>
      </c>
      <c r="BP193" t="n">
        <v>9.4</v>
      </c>
      <c r="BQ193" t="n">
        <v>9.778</v>
      </c>
      <c r="BR193" t="n">
        <v>0</v>
      </c>
      <c r="BS193" t="n">
        <v>0.004</v>
      </c>
      <c r="BT193" t="n">
        <v>0</v>
      </c>
      <c r="BU193" t="n">
        <v>2.259</v>
      </c>
      <c r="BV193" t="n">
        <v>2.515</v>
      </c>
    </row>
    <row r="194">
      <c r="A194" t="inlineStr">
        <is>
          <t>Mugil</t>
        </is>
      </c>
      <c r="B194" t="inlineStr">
        <is>
          <t>Grey mullets</t>
        </is>
      </c>
      <c r="C194" t="inlineStr">
        <is>
          <t>Medium demersals (30 - 89 cm)</t>
        </is>
      </c>
      <c r="D194" t="inlineStr">
        <is>
          <t>Perch-likes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239.832</v>
      </c>
      <c r="BK194" t="n">
        <v>235.851</v>
      </c>
      <c r="BL194" t="n">
        <v>3.015</v>
      </c>
      <c r="BM194" t="n">
        <v>0.117</v>
      </c>
      <c r="BN194" t="n">
        <v>0.012</v>
      </c>
      <c r="BO194" t="n">
        <v>1.019</v>
      </c>
      <c r="BP194" t="n">
        <v>0.019</v>
      </c>
      <c r="BQ194" t="n">
        <v>0.026</v>
      </c>
      <c r="BR194" t="n">
        <v>0.7</v>
      </c>
      <c r="BS194" t="n">
        <v>0.052</v>
      </c>
      <c r="BT194" t="n">
        <v>0.117</v>
      </c>
      <c r="BU194" t="n">
        <v>0.08699999999999999</v>
      </c>
      <c r="BV194" t="n">
        <v>0.033</v>
      </c>
    </row>
    <row r="195">
      <c r="A195" t="inlineStr">
        <is>
          <t>Batoidea</t>
        </is>
      </c>
      <c r="B195" t="inlineStr">
        <is>
          <t>Batoids, skates, rays, sawfishes</t>
        </is>
      </c>
      <c r="C195" t="inlineStr">
        <is>
          <t>Large rays (&gt;=90 cm)</t>
        </is>
      </c>
      <c r="D195" t="inlineStr">
        <is>
          <t>Sharks &amp; rays</t>
        </is>
      </c>
      <c r="E195" t="n">
        <v>0</v>
      </c>
      <c r="F195" t="n">
        <v>0.023</v>
      </c>
      <c r="G195" t="n">
        <v>0.015</v>
      </c>
      <c r="H195" t="n">
        <v>0.021</v>
      </c>
      <c r="I195" t="n">
        <v>0.014</v>
      </c>
      <c r="J195" t="n">
        <v>0.517</v>
      </c>
      <c r="K195" t="n">
        <v>0.504</v>
      </c>
      <c r="L195" t="n">
        <v>0.665</v>
      </c>
      <c r="M195" t="n">
        <v>0.493</v>
      </c>
      <c r="N195" t="n">
        <v>0.726</v>
      </c>
      <c r="O195" t="n">
        <v>0.659</v>
      </c>
      <c r="P195" t="n">
        <v>0.981</v>
      </c>
      <c r="Q195" t="n">
        <v>0.872</v>
      </c>
      <c r="R195" t="n">
        <v>0.925</v>
      </c>
      <c r="S195" t="n">
        <v>1.284</v>
      </c>
      <c r="T195" t="n">
        <v>1.257</v>
      </c>
      <c r="U195" t="n">
        <v>2.164</v>
      </c>
      <c r="V195" t="n">
        <v>1.849</v>
      </c>
      <c r="W195" t="n">
        <v>1.861</v>
      </c>
      <c r="X195" t="n">
        <v>1.822</v>
      </c>
      <c r="Y195" t="n">
        <v>1.71</v>
      </c>
      <c r="Z195" t="n">
        <v>2.009</v>
      </c>
      <c r="AA195" t="n">
        <v>2.236</v>
      </c>
      <c r="AB195" t="n">
        <v>2.082</v>
      </c>
      <c r="AC195" t="n">
        <v>1.975</v>
      </c>
      <c r="AD195" t="n">
        <v>1.737</v>
      </c>
      <c r="AE195" t="n">
        <v>2.921</v>
      </c>
      <c r="AF195" t="n">
        <v>2.507</v>
      </c>
      <c r="AG195" t="n">
        <v>2.523</v>
      </c>
      <c r="AH195" t="n">
        <v>2.227</v>
      </c>
      <c r="AI195" t="n">
        <v>2.224</v>
      </c>
      <c r="AJ195" t="n">
        <v>2.397</v>
      </c>
      <c r="AK195" t="n">
        <v>3.094</v>
      </c>
      <c r="AL195" t="n">
        <v>3.271</v>
      </c>
      <c r="AM195" t="n">
        <v>1.386</v>
      </c>
      <c r="AN195" t="n">
        <v>5.663</v>
      </c>
      <c r="AO195" t="n">
        <v>0.918</v>
      </c>
      <c r="AP195" t="n">
        <v>9.032</v>
      </c>
      <c r="AQ195" t="n">
        <v>8.363</v>
      </c>
      <c r="AR195" t="n">
        <v>30.421</v>
      </c>
      <c r="AS195" t="n">
        <v>14.995</v>
      </c>
      <c r="AT195" t="n">
        <v>16.47</v>
      </c>
      <c r="AU195" t="n">
        <v>23.824</v>
      </c>
      <c r="AV195" t="n">
        <v>18.82</v>
      </c>
      <c r="AW195" t="n">
        <v>19.814</v>
      </c>
      <c r="AX195" t="n">
        <v>27.282</v>
      </c>
      <c r="AY195" t="n">
        <v>34.84</v>
      </c>
      <c r="AZ195" t="n">
        <v>31.567</v>
      </c>
      <c r="BA195" t="n">
        <v>26.018</v>
      </c>
      <c r="BB195" t="n">
        <v>23.017</v>
      </c>
      <c r="BC195" t="n">
        <v>17.798</v>
      </c>
      <c r="BD195" t="n">
        <v>6.804</v>
      </c>
      <c r="BE195" t="n">
        <v>7.12</v>
      </c>
      <c r="BF195" t="n">
        <v>8.679</v>
      </c>
      <c r="BG195" t="n">
        <v>9.885</v>
      </c>
      <c r="BH195" t="n">
        <v>7.761</v>
      </c>
      <c r="BI195" t="n">
        <v>11.541</v>
      </c>
      <c r="BJ195" t="n">
        <v>11.919</v>
      </c>
      <c r="BK195" t="n">
        <v>11.385</v>
      </c>
      <c r="BL195" t="n">
        <v>12.103</v>
      </c>
      <c r="BM195" t="n">
        <v>10.56</v>
      </c>
      <c r="BN195" t="n">
        <v>0.081</v>
      </c>
      <c r="BO195" t="n">
        <v>0.041</v>
      </c>
      <c r="BP195" t="n">
        <v>0.041</v>
      </c>
      <c r="BQ195" t="n">
        <v>0</v>
      </c>
      <c r="BR195" t="n">
        <v>0.048</v>
      </c>
      <c r="BS195" t="n">
        <v>0</v>
      </c>
      <c r="BT195" t="n">
        <v>0.064</v>
      </c>
      <c r="BU195" t="n">
        <v>0</v>
      </c>
      <c r="BV195" t="n">
        <v>0</v>
      </c>
    </row>
    <row r="196">
      <c r="A196" t="inlineStr">
        <is>
          <t>Mustelus</t>
        </is>
      </c>
      <c r="B196" t="inlineStr">
        <is>
          <t>Smoothhounds</t>
        </is>
      </c>
      <c r="C196" t="inlineStr">
        <is>
          <t>Large sharks (&gt;=90 cm)</t>
        </is>
      </c>
      <c r="D196" t="inlineStr">
        <is>
          <t>Sharks &amp; rays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0.046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51.945</v>
      </c>
      <c r="BO196" t="n">
        <v>47.018</v>
      </c>
      <c r="BP196" t="n">
        <v>49.983</v>
      </c>
      <c r="BQ196" t="n">
        <v>28.138</v>
      </c>
      <c r="BR196" t="n">
        <v>41.575</v>
      </c>
      <c r="BS196" t="n">
        <v>38.955</v>
      </c>
      <c r="BT196" t="n">
        <v>48.204</v>
      </c>
      <c r="BU196" t="n">
        <v>80.92400000000001</v>
      </c>
      <c r="BV196" t="n">
        <v>66.292</v>
      </c>
    </row>
    <row r="197">
      <c r="A197" t="inlineStr">
        <is>
          <t>Salmo</t>
        </is>
      </c>
      <c r="B197" t="inlineStr">
        <is>
          <t>Trouts</t>
        </is>
      </c>
      <c r="C197" t="inlineStr">
        <is>
          <t>Large benthopelagics (&gt;=90 cm)</t>
        </is>
      </c>
      <c r="D197" t="inlineStr">
        <is>
          <t>Salmon, smelts, etc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114.964</v>
      </c>
      <c r="AD197" t="n">
        <v>101.067</v>
      </c>
      <c r="AE197" t="n">
        <v>77.274</v>
      </c>
      <c r="AF197" t="n">
        <v>0</v>
      </c>
      <c r="AG197" t="n">
        <v>0</v>
      </c>
      <c r="AH197" t="n">
        <v>1.424</v>
      </c>
      <c r="AI197" t="n">
        <v>7.021</v>
      </c>
      <c r="AJ197" t="n">
        <v>6.149</v>
      </c>
      <c r="AK197" t="n">
        <v>8.15</v>
      </c>
      <c r="AL197" t="n">
        <v>5.164</v>
      </c>
      <c r="AM197" t="n">
        <v>11.262</v>
      </c>
      <c r="AN197" t="n">
        <v>8.103999999999999</v>
      </c>
      <c r="AO197" t="n">
        <v>13.989</v>
      </c>
      <c r="AP197" t="n">
        <v>8.997999999999999</v>
      </c>
      <c r="AQ197" t="n">
        <v>11.959</v>
      </c>
      <c r="AR197" t="n">
        <v>5.863</v>
      </c>
      <c r="AS197" t="n">
        <v>7.953</v>
      </c>
      <c r="AT197" t="n">
        <v>7.054</v>
      </c>
      <c r="AU197" t="n">
        <v>7.035</v>
      </c>
      <c r="AV197" t="n">
        <v>7.017</v>
      </c>
      <c r="AW197" t="n">
        <v>9.333</v>
      </c>
      <c r="AX197" t="n">
        <v>8.782</v>
      </c>
      <c r="AY197" t="n">
        <v>0</v>
      </c>
      <c r="AZ197" t="n">
        <v>0</v>
      </c>
      <c r="BA197" t="n">
        <v>0.289</v>
      </c>
      <c r="BB197" t="n">
        <v>0.358</v>
      </c>
      <c r="BC197" t="n">
        <v>1.003</v>
      </c>
      <c r="BD197" t="n">
        <v>0</v>
      </c>
      <c r="BE197" t="n">
        <v>0.373</v>
      </c>
      <c r="BF197" t="n">
        <v>0.629</v>
      </c>
      <c r="BG197" t="n">
        <v>0.344</v>
      </c>
      <c r="BH197" t="n">
        <v>0</v>
      </c>
      <c r="BI197" t="n">
        <v>0.344</v>
      </c>
      <c r="BJ197" t="n">
        <v>0</v>
      </c>
      <c r="BK197" t="n">
        <v>0</v>
      </c>
      <c r="BL197" t="n">
        <v>0</v>
      </c>
      <c r="BM197" t="n">
        <v>0.339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0.08799999999999999</v>
      </c>
      <c r="BT197" t="n">
        <v>0</v>
      </c>
      <c r="BU197" t="n">
        <v>0.035</v>
      </c>
      <c r="BV197" t="n">
        <v>0.029</v>
      </c>
    </row>
    <row r="198">
      <c r="A198" t="inlineStr">
        <is>
          <t>Triakidae</t>
        </is>
      </c>
      <c r="B198" t="inlineStr">
        <is>
          <t>Houndsharks</t>
        </is>
      </c>
      <c r="C198" t="inlineStr">
        <is>
          <t>Large sharks (&gt;=90 cm)</t>
        </is>
      </c>
      <c r="D198" t="inlineStr">
        <is>
          <t>Sharks &amp; rays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34.29</v>
      </c>
      <c r="Q198" t="n">
        <v>34.666</v>
      </c>
      <c r="R198" t="n">
        <v>18.832</v>
      </c>
      <c r="S198" t="n">
        <v>18.066</v>
      </c>
      <c r="T198" t="n">
        <v>22.062</v>
      </c>
      <c r="U198" t="n">
        <v>27.571</v>
      </c>
      <c r="V198" t="n">
        <v>50.93</v>
      </c>
      <c r="W198" t="n">
        <v>27.172</v>
      </c>
      <c r="X198" t="n">
        <v>27.346</v>
      </c>
      <c r="Y198" t="n">
        <v>14.192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1.967</v>
      </c>
      <c r="BE198" t="n">
        <v>1.967</v>
      </c>
      <c r="BF198" t="n">
        <v>17.705</v>
      </c>
      <c r="BG198" t="n">
        <v>18.691</v>
      </c>
      <c r="BH198" t="n">
        <v>49.198</v>
      </c>
      <c r="BI198" t="n">
        <v>27.615</v>
      </c>
      <c r="BJ198" t="n">
        <v>14.784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</row>
    <row r="199">
      <c r="A199" t="inlineStr">
        <is>
          <t>Galeocerdo cuvier</t>
        </is>
      </c>
      <c r="B199" t="inlineStr">
        <is>
          <t>Tiger shark</t>
        </is>
      </c>
      <c r="C199" t="inlineStr">
        <is>
          <t>Large sharks (&gt;=90 cm)</t>
        </is>
      </c>
      <c r="D199" t="inlineStr">
        <is>
          <t>Sharks &amp; rays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12.964</v>
      </c>
      <c r="BF199" t="n">
        <v>47.865</v>
      </c>
      <c r="BG199" t="n">
        <v>45.871</v>
      </c>
      <c r="BH199" t="n">
        <v>55.85</v>
      </c>
      <c r="BI199" t="n">
        <v>51.861</v>
      </c>
      <c r="BJ199" t="n">
        <v>36.901</v>
      </c>
      <c r="BK199" t="n">
        <v>29.92</v>
      </c>
      <c r="BL199" t="n">
        <v>31.914</v>
      </c>
      <c r="BM199" t="n">
        <v>0</v>
      </c>
      <c r="BN199" t="n">
        <v>49.866</v>
      </c>
      <c r="BO199" t="n">
        <v>14.96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</row>
    <row r="200">
      <c r="A200" t="inlineStr">
        <is>
          <t>Pagellus bogaraveo</t>
        </is>
      </c>
      <c r="B200" t="inlineStr">
        <is>
          <t>Blackspot seabream</t>
        </is>
      </c>
      <c r="C200" t="inlineStr">
        <is>
          <t>Medium benthopelagics (30 - 89 cm)</t>
        </is>
      </c>
      <c r="D200" t="inlineStr">
        <is>
          <t>Perch-likes</t>
        </is>
      </c>
      <c r="E200" t="n">
        <v>2.424</v>
      </c>
      <c r="F200" t="n">
        <v>2.223</v>
      </c>
      <c r="G200" t="n">
        <v>1.973</v>
      </c>
      <c r="H200" t="n">
        <v>1.479</v>
      </c>
      <c r="I200" t="n">
        <v>1.043</v>
      </c>
      <c r="J200" t="n">
        <v>1.095</v>
      </c>
      <c r="K200" t="n">
        <v>1.441</v>
      </c>
      <c r="L200" t="n">
        <v>2.369</v>
      </c>
      <c r="M200" t="n">
        <v>1.994</v>
      </c>
      <c r="N200" t="n">
        <v>2.112</v>
      </c>
      <c r="O200" t="n">
        <v>2.477</v>
      </c>
      <c r="P200" t="n">
        <v>2.028</v>
      </c>
      <c r="Q200" t="n">
        <v>1.954</v>
      </c>
      <c r="R200" t="n">
        <v>1.056</v>
      </c>
      <c r="S200" t="n">
        <v>1.21</v>
      </c>
      <c r="T200" t="n">
        <v>0.873</v>
      </c>
      <c r="U200" t="n">
        <v>1.31</v>
      </c>
      <c r="V200" t="n">
        <v>0.873</v>
      </c>
      <c r="W200" t="n">
        <v>0.873</v>
      </c>
      <c r="X200" t="n">
        <v>0.437</v>
      </c>
      <c r="Y200" t="n">
        <v>0.218</v>
      </c>
      <c r="Z200" t="n">
        <v>0.218</v>
      </c>
      <c r="AA200" t="n">
        <v>0.218</v>
      </c>
      <c r="AB200" t="n">
        <v>0.218</v>
      </c>
      <c r="AC200" t="n">
        <v>10.542</v>
      </c>
      <c r="AD200" t="n">
        <v>61.637</v>
      </c>
      <c r="AE200" t="n">
        <v>0.994</v>
      </c>
      <c r="AF200" t="n">
        <v>46.763</v>
      </c>
      <c r="AG200" t="n">
        <v>88.425</v>
      </c>
      <c r="AH200" t="n">
        <v>39.632</v>
      </c>
      <c r="AI200" t="n">
        <v>31.353</v>
      </c>
      <c r="AJ200" t="n">
        <v>0</v>
      </c>
      <c r="AK200" t="n">
        <v>1.3</v>
      </c>
      <c r="AL200" t="n">
        <v>8.286</v>
      </c>
      <c r="AM200" t="n">
        <v>14.943</v>
      </c>
      <c r="AN200" t="n">
        <v>12.789</v>
      </c>
      <c r="AO200" t="n">
        <v>4.691</v>
      </c>
      <c r="AP200" t="n">
        <v>2.634</v>
      </c>
      <c r="AQ200" t="n">
        <v>1.826</v>
      </c>
      <c r="AR200" t="n">
        <v>0.772</v>
      </c>
      <c r="AS200" t="n">
        <v>0.357</v>
      </c>
      <c r="AT200" t="n">
        <v>0.199</v>
      </c>
      <c r="AU200" t="n">
        <v>0.356</v>
      </c>
      <c r="AV200" t="n">
        <v>0.296</v>
      </c>
      <c r="AW200" t="n">
        <v>0.118</v>
      </c>
      <c r="AX200" t="n">
        <v>0.118</v>
      </c>
      <c r="AY200" t="n">
        <v>0.059</v>
      </c>
      <c r="AZ200" t="n">
        <v>0.059</v>
      </c>
      <c r="BA200" t="n">
        <v>0.059</v>
      </c>
      <c r="BB200" t="n">
        <v>0.02</v>
      </c>
      <c r="BC200" t="n">
        <v>0</v>
      </c>
      <c r="BD200" t="n">
        <v>0.298</v>
      </c>
      <c r="BE200" t="n">
        <v>0.019</v>
      </c>
      <c r="BF200" t="n">
        <v>0.102</v>
      </c>
      <c r="BG200" t="n">
        <v>0.034</v>
      </c>
      <c r="BH200" t="n">
        <v>0</v>
      </c>
      <c r="BI200" t="n">
        <v>0.25</v>
      </c>
      <c r="BJ200" t="n">
        <v>0.784</v>
      </c>
      <c r="BK200" t="n">
        <v>0.267</v>
      </c>
      <c r="BL200" t="n">
        <v>0.995</v>
      </c>
      <c r="BM200" t="n">
        <v>0</v>
      </c>
      <c r="BN200" t="n">
        <v>0.996</v>
      </c>
      <c r="BO200" t="n">
        <v>0</v>
      </c>
      <c r="BP200" t="n">
        <v>0.001</v>
      </c>
      <c r="BQ200" t="n">
        <v>0</v>
      </c>
      <c r="BR200" t="n">
        <v>0.022</v>
      </c>
      <c r="BS200" t="n">
        <v>0.06</v>
      </c>
      <c r="BT200" t="n">
        <v>0.125</v>
      </c>
      <c r="BU200" t="n">
        <v>0.216</v>
      </c>
      <c r="BV200" t="n">
        <v>0.253</v>
      </c>
    </row>
    <row r="201">
      <c r="A201" t="inlineStr">
        <is>
          <t>Chimaera monstrosa</t>
        </is>
      </c>
      <c r="B201" t="inlineStr">
        <is>
          <t>Rabbit fish</t>
        </is>
      </c>
      <c r="C201" t="inlineStr">
        <is>
          <t>Large rays (&gt;=90 cm)</t>
        </is>
      </c>
      <c r="D201" t="inlineStr">
        <is>
          <t>Sharks &amp; rays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1.017</v>
      </c>
      <c r="AY201" t="n">
        <v>0.286</v>
      </c>
      <c r="AZ201" t="n">
        <v>0.021</v>
      </c>
      <c r="BA201" t="n">
        <v>0.27</v>
      </c>
      <c r="BB201" t="n">
        <v>3.155</v>
      </c>
      <c r="BC201" t="n">
        <v>3.868</v>
      </c>
      <c r="BD201" t="n">
        <v>10.459</v>
      </c>
      <c r="BE201" t="n">
        <v>5.818</v>
      </c>
      <c r="BF201" t="n">
        <v>10.012</v>
      </c>
      <c r="BG201" t="n">
        <v>13.137</v>
      </c>
      <c r="BH201" t="n">
        <v>126.058</v>
      </c>
      <c r="BI201" t="n">
        <v>13.419</v>
      </c>
      <c r="BJ201" t="n">
        <v>5.439</v>
      </c>
      <c r="BK201" t="n">
        <v>2.557</v>
      </c>
      <c r="BL201" t="n">
        <v>10.227</v>
      </c>
      <c r="BM201" t="n">
        <v>10.227</v>
      </c>
      <c r="BN201" t="n">
        <v>35.203</v>
      </c>
      <c r="BO201" t="n">
        <v>23.525</v>
      </c>
      <c r="BP201" t="n">
        <v>15.767</v>
      </c>
      <c r="BQ201" t="n">
        <v>11.253</v>
      </c>
      <c r="BR201" t="n">
        <v>9.115</v>
      </c>
      <c r="BS201" t="n">
        <v>10.099</v>
      </c>
      <c r="BT201" t="n">
        <v>8.191000000000001</v>
      </c>
      <c r="BU201" t="n">
        <v>8.074999999999999</v>
      </c>
      <c r="BV201" t="n">
        <v>8.129</v>
      </c>
    </row>
    <row r="202">
      <c r="A202" t="inlineStr">
        <is>
          <t>Alepocephalus bairdii</t>
        </is>
      </c>
      <c r="B202" t="inlineStr">
        <is>
          <t>Baird's slickhead</t>
        </is>
      </c>
      <c r="C202" t="inlineStr">
        <is>
          <t>Large bathydemersals (&gt;=90 cm)</t>
        </is>
      </c>
      <c r="D202" t="inlineStr">
        <is>
          <t>Salmon, smelts, etc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11.201</v>
      </c>
      <c r="AU202" t="n">
        <v>4.54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41.234</v>
      </c>
      <c r="BD202" t="n">
        <v>0.284</v>
      </c>
      <c r="BE202" t="n">
        <v>20.527</v>
      </c>
      <c r="BF202" t="n">
        <v>47.06</v>
      </c>
      <c r="BG202" t="n">
        <v>114.357</v>
      </c>
      <c r="BH202" t="n">
        <v>28.415</v>
      </c>
      <c r="BI202" t="n">
        <v>32.672</v>
      </c>
      <c r="BJ202" t="n">
        <v>17.211</v>
      </c>
      <c r="BK202" t="n">
        <v>3.317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3.173</v>
      </c>
      <c r="BV202" t="n">
        <v>3.545</v>
      </c>
    </row>
    <row r="203">
      <c r="A203" t="inlineStr">
        <is>
          <t>Leucoraja circularis</t>
        </is>
      </c>
      <c r="B203" t="inlineStr">
        <is>
          <t>Sandy ray</t>
        </is>
      </c>
      <c r="C203" t="inlineStr">
        <is>
          <t>Large rays (&gt;=90 cm)</t>
        </is>
      </c>
      <c r="D203" t="inlineStr">
        <is>
          <t>Sharks &amp; rays</t>
        </is>
      </c>
      <c r="E203" t="n">
        <v>8.779</v>
      </c>
      <c r="F203" t="n">
        <v>8.787000000000001</v>
      </c>
      <c r="G203" t="n">
        <v>7.93</v>
      </c>
      <c r="H203" t="n">
        <v>8.113</v>
      </c>
      <c r="I203" t="n">
        <v>7.791</v>
      </c>
      <c r="J203" t="n">
        <v>7.673</v>
      </c>
      <c r="K203" t="n">
        <v>7.715</v>
      </c>
      <c r="L203" t="n">
        <v>7.82</v>
      </c>
      <c r="M203" t="n">
        <v>7.971</v>
      </c>
      <c r="N203" t="n">
        <v>7.262</v>
      </c>
      <c r="O203" t="n">
        <v>6.373</v>
      </c>
      <c r="P203" t="n">
        <v>6.238</v>
      </c>
      <c r="Q203" t="n">
        <v>5.979</v>
      </c>
      <c r="R203" t="n">
        <v>6.248</v>
      </c>
      <c r="S203" t="n">
        <v>5.383</v>
      </c>
      <c r="T203" t="n">
        <v>9.166</v>
      </c>
      <c r="U203" t="n">
        <v>8.18</v>
      </c>
      <c r="V203" t="n">
        <v>7.851</v>
      </c>
      <c r="W203" t="n">
        <v>7.961</v>
      </c>
      <c r="X203" t="n">
        <v>7.449</v>
      </c>
      <c r="Y203" t="n">
        <v>6.39</v>
      </c>
      <c r="Z203" t="n">
        <v>6.792</v>
      </c>
      <c r="AA203" t="n">
        <v>6.39</v>
      </c>
      <c r="AB203" t="n">
        <v>5.478</v>
      </c>
      <c r="AC203" t="n">
        <v>4.82</v>
      </c>
      <c r="AD203" t="n">
        <v>4.848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0.185</v>
      </c>
      <c r="AT203" t="n">
        <v>0.602</v>
      </c>
      <c r="AU203" t="n">
        <v>1.484</v>
      </c>
      <c r="AV203" t="n">
        <v>0.509</v>
      </c>
      <c r="AW203" t="n">
        <v>0.394</v>
      </c>
      <c r="AX203" t="n">
        <v>0.509</v>
      </c>
      <c r="AY203" t="n">
        <v>0.486</v>
      </c>
      <c r="AZ203" t="n">
        <v>0.347</v>
      </c>
      <c r="BA203" t="n">
        <v>0.255</v>
      </c>
      <c r="BB203" t="n">
        <v>0.244</v>
      </c>
      <c r="BC203" t="n">
        <v>0.185</v>
      </c>
      <c r="BD203" t="n">
        <v>0.162</v>
      </c>
      <c r="BE203" t="n">
        <v>0.06900000000000001</v>
      </c>
      <c r="BF203" t="n">
        <v>0.046</v>
      </c>
      <c r="BG203" t="n">
        <v>0.046</v>
      </c>
      <c r="BH203" t="n">
        <v>0.046</v>
      </c>
      <c r="BI203" t="n">
        <v>0.046</v>
      </c>
      <c r="BJ203" t="n">
        <v>0.046</v>
      </c>
      <c r="BK203" t="n">
        <v>0.25</v>
      </c>
      <c r="BL203" t="n">
        <v>1.025</v>
      </c>
      <c r="BM203" t="n">
        <v>0.023</v>
      </c>
      <c r="BN203" t="n">
        <v>0.023</v>
      </c>
      <c r="BO203" t="n">
        <v>0.237</v>
      </c>
      <c r="BP203" t="n">
        <v>2.921</v>
      </c>
      <c r="BQ203" t="n">
        <v>13.22</v>
      </c>
      <c r="BR203" t="n">
        <v>17.659</v>
      </c>
      <c r="BS203" t="n">
        <v>16.391</v>
      </c>
      <c r="BT203" t="n">
        <v>14.529</v>
      </c>
      <c r="BU203" t="n">
        <v>17.591</v>
      </c>
      <c r="BV203" t="n">
        <v>34.435</v>
      </c>
    </row>
    <row r="204">
      <c r="A204" t="inlineStr">
        <is>
          <t>Meganyctiphanes norvegica</t>
        </is>
      </c>
      <c r="B204" t="inlineStr">
        <is>
          <t>Norwegian krill</t>
        </is>
      </c>
      <c r="C204" t="inlineStr">
        <is>
          <t>Krill</t>
        </is>
      </c>
      <c r="D204" t="inlineStr">
        <is>
          <t>Crustaceans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35.983</v>
      </c>
      <c r="BE204" t="n">
        <v>0</v>
      </c>
      <c r="BF204" t="n">
        <v>253.875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</row>
    <row r="205">
      <c r="A205" t="inlineStr">
        <is>
          <t>Mya arenaria</t>
        </is>
      </c>
      <c r="B205" t="inlineStr">
        <is>
          <t>Sand gaper</t>
        </is>
      </c>
      <c r="C205" t="inlineStr">
        <is>
          <t>Other demersal invertebrates</t>
        </is>
      </c>
      <c r="D205" t="inlineStr">
        <is>
          <t>Molluscs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0.249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0.245</v>
      </c>
      <c r="BM205" t="n">
        <v>0</v>
      </c>
      <c r="BN205" t="n">
        <v>62.829</v>
      </c>
      <c r="BO205" t="n">
        <v>81.11499999999999</v>
      </c>
      <c r="BP205" t="n">
        <v>50.657</v>
      </c>
      <c r="BQ205" t="n">
        <v>12.227</v>
      </c>
      <c r="BR205" t="n">
        <v>28.231</v>
      </c>
      <c r="BS205" t="n">
        <v>25.404</v>
      </c>
      <c r="BT205" t="n">
        <v>0</v>
      </c>
      <c r="BU205" t="n">
        <v>20.392</v>
      </c>
      <c r="BV205" t="n">
        <v>0</v>
      </c>
    </row>
    <row r="206">
      <c r="A206" t="inlineStr">
        <is>
          <t>Osteichthyes</t>
        </is>
      </c>
      <c r="B206" t="inlineStr">
        <is>
          <t>Bony fishes</t>
        </is>
      </c>
      <c r="C206" t="inlineStr">
        <is>
          <t>Medium demersals (30 - 89 cm)</t>
        </is>
      </c>
      <c r="D206" t="inlineStr">
        <is>
          <t>Other fishes &amp; inverts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59.778</v>
      </c>
      <c r="BO206" t="n">
        <v>6.047</v>
      </c>
      <c r="BP206" t="n">
        <v>8.404</v>
      </c>
      <c r="BQ206" t="n">
        <v>5.679</v>
      </c>
      <c r="BR206" t="n">
        <v>79.861</v>
      </c>
      <c r="BS206" t="n">
        <v>0.805</v>
      </c>
      <c r="BT206" t="n">
        <v>17.459</v>
      </c>
      <c r="BU206" t="n">
        <v>49.912</v>
      </c>
      <c r="BV206" t="n">
        <v>45.132</v>
      </c>
    </row>
    <row r="207">
      <c r="A207" t="inlineStr">
        <is>
          <t>Octopoda</t>
        </is>
      </c>
      <c r="B207" t="inlineStr">
        <is>
          <t>Octopuses, argonauts</t>
        </is>
      </c>
      <c r="C207" t="inlineStr">
        <is>
          <t>Cephalopods</t>
        </is>
      </c>
      <c r="D207" t="inlineStr">
        <is>
          <t>Other fishes &amp; inverts</t>
        </is>
      </c>
      <c r="E207" t="n">
        <v>8.07</v>
      </c>
      <c r="F207" t="n">
        <v>8.07</v>
      </c>
      <c r="G207" t="n">
        <v>8.07</v>
      </c>
      <c r="H207" t="n">
        <v>8.07</v>
      </c>
      <c r="I207" t="n">
        <v>8.07</v>
      </c>
      <c r="J207" t="n">
        <v>8.07</v>
      </c>
      <c r="K207" t="n">
        <v>8.07</v>
      </c>
      <c r="L207" t="n">
        <v>8.07</v>
      </c>
      <c r="M207" t="n">
        <v>8.07</v>
      </c>
      <c r="N207" t="n">
        <v>8.07</v>
      </c>
      <c r="O207" t="n">
        <v>8.07</v>
      </c>
      <c r="P207" t="n">
        <v>1.081</v>
      </c>
      <c r="Q207" t="n">
        <v>1.477</v>
      </c>
      <c r="R207" t="n">
        <v>1.029</v>
      </c>
      <c r="S207" t="n">
        <v>2.441</v>
      </c>
      <c r="T207" t="n">
        <v>3.103</v>
      </c>
      <c r="U207" t="n">
        <v>2.069</v>
      </c>
      <c r="V207" t="n">
        <v>6.206</v>
      </c>
      <c r="W207" t="n">
        <v>3.103</v>
      </c>
      <c r="X207" t="n">
        <v>6.206</v>
      </c>
      <c r="Y207" t="n">
        <v>26.908</v>
      </c>
      <c r="Z207" t="n">
        <v>35.201</v>
      </c>
      <c r="AA207" t="n">
        <v>15.53</v>
      </c>
      <c r="AB207" t="n">
        <v>19.671</v>
      </c>
      <c r="AC207" t="n">
        <v>13.459</v>
      </c>
      <c r="AD207" t="n">
        <v>21.786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0.288</v>
      </c>
      <c r="AP207" t="n">
        <v>0.289</v>
      </c>
      <c r="AQ207" t="n">
        <v>0.291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0.029</v>
      </c>
      <c r="AY207" t="n">
        <v>0.029</v>
      </c>
      <c r="AZ207" t="n">
        <v>0</v>
      </c>
      <c r="BA207" t="n">
        <v>0</v>
      </c>
      <c r="BB207" t="n">
        <v>0.029</v>
      </c>
      <c r="BC207" t="n">
        <v>0.029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0.007</v>
      </c>
      <c r="BK207" t="n">
        <v>0.058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</row>
    <row r="208">
      <c r="A208" t="inlineStr">
        <is>
          <t>Scorpaeniformes</t>
        </is>
      </c>
      <c r="B208" t="inlineStr">
        <is>
          <t>Scorpionfishes, flatheads</t>
        </is>
      </c>
      <c r="C208" t="inlineStr">
        <is>
          <t>Medium demersals (30 - 89 cm)</t>
        </is>
      </c>
      <c r="D208" t="inlineStr">
        <is>
          <t>Scorpionfishes</t>
        </is>
      </c>
      <c r="E208" t="n">
        <v>0.173</v>
      </c>
      <c r="F208" t="n">
        <v>3.712</v>
      </c>
      <c r="G208" t="n">
        <v>1.221</v>
      </c>
      <c r="H208" t="n">
        <v>6.186</v>
      </c>
      <c r="I208" t="n">
        <v>3.567</v>
      </c>
      <c r="J208" t="n">
        <v>6.113</v>
      </c>
      <c r="K208" t="n">
        <v>1.295</v>
      </c>
      <c r="L208" t="n">
        <v>1.377</v>
      </c>
      <c r="M208" t="n">
        <v>2.851</v>
      </c>
      <c r="N208" t="n">
        <v>1.979</v>
      </c>
      <c r="O208" t="n">
        <v>13.415</v>
      </c>
      <c r="P208" t="n">
        <v>3.53</v>
      </c>
      <c r="Q208" t="n">
        <v>4.046</v>
      </c>
      <c r="R208" t="n">
        <v>3.659</v>
      </c>
      <c r="S208" t="n">
        <v>3.375</v>
      </c>
      <c r="T208" t="n">
        <v>2.739</v>
      </c>
      <c r="U208" t="n">
        <v>1.953</v>
      </c>
      <c r="V208" t="n">
        <v>1.436</v>
      </c>
      <c r="W208" t="n">
        <v>2.24</v>
      </c>
      <c r="X208" t="n">
        <v>1.18</v>
      </c>
      <c r="Y208" t="n">
        <v>1.256</v>
      </c>
      <c r="Z208" t="n">
        <v>0.957</v>
      </c>
      <c r="AA208" t="n">
        <v>2.144</v>
      </c>
      <c r="AB208" t="n">
        <v>3.535</v>
      </c>
      <c r="AC208" t="n">
        <v>4.292</v>
      </c>
      <c r="AD208" t="n">
        <v>1.875</v>
      </c>
      <c r="AE208" t="n">
        <v>2.316</v>
      </c>
      <c r="AF208" t="n">
        <v>5.708</v>
      </c>
      <c r="AG208" t="n">
        <v>2.92</v>
      </c>
      <c r="AH208" t="n">
        <v>0.099</v>
      </c>
      <c r="AI208" t="n">
        <v>0.078</v>
      </c>
      <c r="AJ208" t="n">
        <v>0.039</v>
      </c>
      <c r="AK208" t="n">
        <v>4.207</v>
      </c>
      <c r="AL208" t="n">
        <v>0.034</v>
      </c>
      <c r="AM208" t="n">
        <v>0.046</v>
      </c>
      <c r="AN208" t="n">
        <v>1.004</v>
      </c>
      <c r="AO208" t="n">
        <v>0.007</v>
      </c>
      <c r="AP208" t="n">
        <v>0.015</v>
      </c>
      <c r="AQ208" t="n">
        <v>0.029</v>
      </c>
      <c r="AR208" t="n">
        <v>0.017</v>
      </c>
      <c r="AS208" t="n">
        <v>0.039</v>
      </c>
      <c r="AT208" t="n">
        <v>0.282</v>
      </c>
      <c r="AU208" t="n">
        <v>3.793</v>
      </c>
      <c r="AV208" t="n">
        <v>3.653</v>
      </c>
      <c r="AW208" t="n">
        <v>1.569</v>
      </c>
      <c r="AX208" t="n">
        <v>2.16</v>
      </c>
      <c r="AY208" t="n">
        <v>6.769</v>
      </c>
      <c r="AZ208" t="n">
        <v>2.972</v>
      </c>
      <c r="BA208" t="n">
        <v>2.523</v>
      </c>
      <c r="BB208" t="n">
        <v>2.881</v>
      </c>
      <c r="BC208" t="n">
        <v>11.94</v>
      </c>
      <c r="BD208" t="n">
        <v>9.778</v>
      </c>
      <c r="BE208" t="n">
        <v>9.827999999999999</v>
      </c>
      <c r="BF208" t="n">
        <v>4.29</v>
      </c>
      <c r="BG208" t="n">
        <v>7.095</v>
      </c>
      <c r="BH208" t="n">
        <v>34.521</v>
      </c>
      <c r="BI208" t="n">
        <v>3.786</v>
      </c>
      <c r="BJ208" t="n">
        <v>5.724</v>
      </c>
      <c r="BK208" t="n">
        <v>0.341</v>
      </c>
      <c r="BL208" t="n">
        <v>3.732</v>
      </c>
      <c r="BM208" t="n">
        <v>12.64</v>
      </c>
      <c r="BN208" t="n">
        <v>2.011</v>
      </c>
      <c r="BO208" t="n">
        <v>1.575</v>
      </c>
      <c r="BP208" t="n">
        <v>1.234</v>
      </c>
      <c r="BQ208" t="n">
        <v>1.587</v>
      </c>
      <c r="BR208" t="n">
        <v>0.988</v>
      </c>
      <c r="BS208" t="n">
        <v>1.34</v>
      </c>
      <c r="BT208" t="n">
        <v>1.703</v>
      </c>
      <c r="BU208" t="n">
        <v>2.993</v>
      </c>
      <c r="BV208" t="n">
        <v>1.247</v>
      </c>
    </row>
    <row r="209">
      <c r="A209" t="inlineStr">
        <is>
          <t>Sander lucioperca</t>
        </is>
      </c>
      <c r="B209" t="inlineStr">
        <is>
          <t>Pike-perch</t>
        </is>
      </c>
      <c r="C209" t="inlineStr">
        <is>
          <t>Large pelagics (&gt;=90 cm)</t>
        </is>
      </c>
      <c r="D209" t="inlineStr">
        <is>
          <t>Perch-likes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22.644</v>
      </c>
      <c r="AD209" t="n">
        <v>45.832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0.33</v>
      </c>
      <c r="AL209" t="n">
        <v>0</v>
      </c>
      <c r="AM209" t="n">
        <v>0.07000000000000001</v>
      </c>
      <c r="AN209" t="n">
        <v>0.405</v>
      </c>
      <c r="AO209" t="n">
        <v>0.657</v>
      </c>
      <c r="AP209" t="n">
        <v>0.411</v>
      </c>
      <c r="AQ209" t="n">
        <v>2.34</v>
      </c>
      <c r="AR209" t="n">
        <v>2.28</v>
      </c>
      <c r="AS209" t="n">
        <v>2.904</v>
      </c>
      <c r="AT209" t="n">
        <v>1.327</v>
      </c>
      <c r="AU209" t="n">
        <v>1.266</v>
      </c>
      <c r="AV209" t="n">
        <v>0.137</v>
      </c>
      <c r="AW209" t="n">
        <v>0.532</v>
      </c>
      <c r="AX209" t="n">
        <v>1.372</v>
      </c>
      <c r="AY209" t="n">
        <v>2.421</v>
      </c>
      <c r="AZ209" t="n">
        <v>14.213</v>
      </c>
      <c r="BA209" t="n">
        <v>17.127</v>
      </c>
      <c r="BB209" t="n">
        <v>2.106</v>
      </c>
      <c r="BC209" t="n">
        <v>12.269</v>
      </c>
      <c r="BD209" t="n">
        <v>5.512</v>
      </c>
      <c r="BE209" t="n">
        <v>9.257</v>
      </c>
      <c r="BF209" t="n">
        <v>5.717</v>
      </c>
      <c r="BG209" t="n">
        <v>13.533</v>
      </c>
      <c r="BH209" t="n">
        <v>2.429</v>
      </c>
      <c r="BI209" t="n">
        <v>5.082</v>
      </c>
      <c r="BJ209" t="n">
        <v>5.441</v>
      </c>
      <c r="BK209" t="n">
        <v>2.164</v>
      </c>
      <c r="BL209" t="n">
        <v>3.388</v>
      </c>
      <c r="BM209" t="n">
        <v>4.947</v>
      </c>
      <c r="BN209" t="n">
        <v>7.236</v>
      </c>
      <c r="BO209" t="n">
        <v>4.947</v>
      </c>
      <c r="BP209" t="n">
        <v>11.868</v>
      </c>
      <c r="BQ209" t="n">
        <v>3.953</v>
      </c>
      <c r="BR209" t="n">
        <v>5.784</v>
      </c>
      <c r="BS209" t="n">
        <v>6.959</v>
      </c>
      <c r="BT209" t="n">
        <v>6.614</v>
      </c>
      <c r="BU209" t="n">
        <v>4.219</v>
      </c>
      <c r="BV209" t="n">
        <v>1.454</v>
      </c>
    </row>
    <row r="210">
      <c r="A210" t="inlineStr">
        <is>
          <t>Chelon ramada</t>
        </is>
      </c>
      <c r="B210" t="inlineStr">
        <is>
          <t>Thinlip grey mullet</t>
        </is>
      </c>
      <c r="C210" t="inlineStr">
        <is>
          <t>Medium pelagics (30 - 89 cm)</t>
        </is>
      </c>
      <c r="D210" t="inlineStr">
        <is>
          <t>Perch-likes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1.994</v>
      </c>
      <c r="BP210" t="n">
        <v>5.984</v>
      </c>
      <c r="BQ210" t="n">
        <v>49.861</v>
      </c>
      <c r="BR210" t="n">
        <v>35.999</v>
      </c>
      <c r="BS210" t="n">
        <v>34.304</v>
      </c>
      <c r="BT210" t="n">
        <v>19.794</v>
      </c>
      <c r="BU210" t="n">
        <v>40.427</v>
      </c>
      <c r="BV210" t="n">
        <v>49.104</v>
      </c>
    </row>
    <row r="211">
      <c r="A211" t="inlineStr">
        <is>
          <t>Chimaeriformes</t>
        </is>
      </c>
      <c r="B211" t="inlineStr">
        <is>
          <t>Chimaeras</t>
        </is>
      </c>
      <c r="C211" t="inlineStr">
        <is>
          <t>Large rays (&gt;=90 cm)</t>
        </is>
      </c>
      <c r="D211" t="inlineStr">
        <is>
          <t>Sharks &amp; rays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0.259</v>
      </c>
      <c r="BA211" t="n">
        <v>0.295</v>
      </c>
      <c r="BB211" t="n">
        <v>2.059</v>
      </c>
      <c r="BC211" t="n">
        <v>27.421</v>
      </c>
      <c r="BD211" t="n">
        <v>31.393</v>
      </c>
      <c r="BE211" t="n">
        <v>16.29</v>
      </c>
      <c r="BF211" t="n">
        <v>12.154</v>
      </c>
      <c r="BG211" t="n">
        <v>14.566</v>
      </c>
      <c r="BH211" t="n">
        <v>13.512</v>
      </c>
      <c r="BI211" t="n">
        <v>11.731</v>
      </c>
      <c r="BJ211" t="n">
        <v>13.098</v>
      </c>
      <c r="BK211" t="n">
        <v>12.509</v>
      </c>
      <c r="BL211" t="n">
        <v>16.58</v>
      </c>
      <c r="BM211" t="n">
        <v>40.009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</row>
    <row r="212">
      <c r="A212" t="inlineStr">
        <is>
          <t>Mullus</t>
        </is>
      </c>
      <c r="B212" t="inlineStr">
        <is>
          <t>Atlantic goatfishes</t>
        </is>
      </c>
      <c r="C212" t="inlineStr">
        <is>
          <t>Medium demersals (30 - 89 cm)</t>
        </is>
      </c>
      <c r="D212" t="inlineStr">
        <is>
          <t>Perch-likes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12.985</v>
      </c>
      <c r="BD212" t="n">
        <v>9.99</v>
      </c>
      <c r="BE212" t="n">
        <v>8.989000000000001</v>
      </c>
      <c r="BF212" t="n">
        <v>14.972</v>
      </c>
      <c r="BG212" t="n">
        <v>25.956</v>
      </c>
      <c r="BH212" t="n">
        <v>25.951</v>
      </c>
      <c r="BI212" t="n">
        <v>16.976</v>
      </c>
      <c r="BJ212" t="n">
        <v>3.996</v>
      </c>
      <c r="BK212" t="n">
        <v>17.98</v>
      </c>
      <c r="BL212" t="n">
        <v>10.987</v>
      </c>
      <c r="BM212" t="n">
        <v>4.995</v>
      </c>
      <c r="BN212" t="n">
        <v>1.998</v>
      </c>
      <c r="BO212" t="n">
        <v>2.997</v>
      </c>
      <c r="BP212" t="n">
        <v>0.999</v>
      </c>
      <c r="BQ212" t="n">
        <v>0</v>
      </c>
      <c r="BR212" t="n">
        <v>4.184</v>
      </c>
      <c r="BS212" t="n">
        <v>7.549</v>
      </c>
      <c r="BT212" t="n">
        <v>4.184</v>
      </c>
      <c r="BU212" t="n">
        <v>1.996</v>
      </c>
      <c r="BV212" t="n">
        <v>5.992</v>
      </c>
    </row>
    <row r="213">
      <c r="A213" t="inlineStr">
        <is>
          <t>Octopus</t>
        </is>
      </c>
      <c r="B213" t="inlineStr">
        <is>
          <t>Octopuses, pikas</t>
        </is>
      </c>
      <c r="C213" t="inlineStr">
        <is>
          <t>Cephalopods</t>
        </is>
      </c>
      <c r="D213" t="inlineStr">
        <is>
          <t>Other fishes &amp; inverts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39.156</v>
      </c>
      <c r="AU213" t="n">
        <v>21.303</v>
      </c>
      <c r="AV213" t="n">
        <v>9.865</v>
      </c>
      <c r="AW213" t="n">
        <v>3.652</v>
      </c>
      <c r="AX213" t="n">
        <v>1.876</v>
      </c>
      <c r="AY213" t="n">
        <v>0</v>
      </c>
      <c r="AZ213" t="n">
        <v>2.011</v>
      </c>
      <c r="BA213" t="n">
        <v>1.808</v>
      </c>
      <c r="BB213" t="n">
        <v>6.416</v>
      </c>
      <c r="BC213" t="n">
        <v>5.427</v>
      </c>
      <c r="BD213" t="n">
        <v>6.164</v>
      </c>
      <c r="BE213" t="n">
        <v>2.764</v>
      </c>
      <c r="BF213" t="n">
        <v>2.772</v>
      </c>
      <c r="BG213" t="n">
        <v>1.775</v>
      </c>
      <c r="BH213" t="n">
        <v>1.775</v>
      </c>
      <c r="BI213" t="n">
        <v>1.775</v>
      </c>
      <c r="BJ213" t="n">
        <v>1.704</v>
      </c>
      <c r="BK213" t="n">
        <v>1.775</v>
      </c>
      <c r="BL213" t="n">
        <v>0.888</v>
      </c>
      <c r="BM213" t="n">
        <v>0.888</v>
      </c>
      <c r="BN213" t="n">
        <v>0.888</v>
      </c>
      <c r="BO213" t="n">
        <v>0.888</v>
      </c>
      <c r="BP213" t="n">
        <v>0</v>
      </c>
      <c r="BQ213" t="n">
        <v>0</v>
      </c>
      <c r="BR213" t="n">
        <v>0.928</v>
      </c>
      <c r="BS213" t="n">
        <v>0.631</v>
      </c>
      <c r="BT213" t="n">
        <v>1.253</v>
      </c>
      <c r="BU213" t="n">
        <v>23.322</v>
      </c>
      <c r="BV213" t="n">
        <v>18.438</v>
      </c>
    </row>
    <row r="214">
      <c r="A214" t="inlineStr">
        <is>
          <t>Notoscopelus</t>
        </is>
      </c>
      <c r="B214" t="inlineStr">
        <is>
          <t>Lampfish</t>
        </is>
      </c>
      <c r="C214" t="inlineStr">
        <is>
          <t>Small pelagics (&lt;30 cm)</t>
        </is>
      </c>
      <c r="D214" t="inlineStr">
        <is>
          <t>Other fishes &amp; inverts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4.939</v>
      </c>
      <c r="BQ214" t="n">
        <v>29.578</v>
      </c>
      <c r="BR214" t="n">
        <v>114.312</v>
      </c>
      <c r="BS214" t="n">
        <v>0</v>
      </c>
      <c r="BT214" t="n">
        <v>5.717</v>
      </c>
      <c r="BU214" t="n">
        <v>2.172</v>
      </c>
      <c r="BV214" t="n">
        <v>2.527</v>
      </c>
    </row>
    <row r="215">
      <c r="A215" t="inlineStr">
        <is>
          <t>Spisula</t>
        </is>
      </c>
      <c r="B215" t="inlineStr">
        <is>
          <t>Surf clams</t>
        </is>
      </c>
      <c r="C215" t="inlineStr">
        <is>
          <t>Other demersal invertebrates</t>
        </is>
      </c>
      <c r="D215" t="inlineStr">
        <is>
          <t>Molluscs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1.113</v>
      </c>
      <c r="BN215" t="n">
        <v>39.435</v>
      </c>
      <c r="BO215" t="n">
        <v>7.55</v>
      </c>
      <c r="BP215" t="n">
        <v>16.852</v>
      </c>
      <c r="BQ215" t="n">
        <v>11.474</v>
      </c>
      <c r="BR215" t="n">
        <v>0.545</v>
      </c>
      <c r="BS215" t="n">
        <v>8.992000000000001</v>
      </c>
      <c r="BT215" t="n">
        <v>32.156</v>
      </c>
      <c r="BU215" t="n">
        <v>13.324</v>
      </c>
      <c r="BV215" t="n">
        <v>7.681</v>
      </c>
    </row>
    <row r="216">
      <c r="A216" t="inlineStr">
        <is>
          <t>Beryx</t>
        </is>
      </c>
      <c r="B216" t="inlineStr">
        <is>
          <t>Alfonsinos</t>
        </is>
      </c>
      <c r="C216" t="inlineStr">
        <is>
          <t>Medium benthopelagics (30 - 89 cm)</t>
        </is>
      </c>
      <c r="D216" t="inlineStr">
        <is>
          <t>Other fishes &amp; inverts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0.15</v>
      </c>
      <c r="AO216" t="n">
        <v>0</v>
      </c>
      <c r="AP216" t="n">
        <v>0.15</v>
      </c>
      <c r="AQ216" t="n">
        <v>0.15</v>
      </c>
      <c r="AR216" t="n">
        <v>0</v>
      </c>
      <c r="AS216" t="n">
        <v>0.523</v>
      </c>
      <c r="AT216" t="n">
        <v>131.286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0.06900000000000001</v>
      </c>
      <c r="BC216" t="n">
        <v>0.075</v>
      </c>
      <c r="BD216" t="n">
        <v>0</v>
      </c>
      <c r="BE216" t="n">
        <v>0</v>
      </c>
      <c r="BF216" t="n">
        <v>0.019</v>
      </c>
      <c r="BG216" t="n">
        <v>0</v>
      </c>
      <c r="BH216" t="n">
        <v>0</v>
      </c>
      <c r="BI216" t="n">
        <v>0.224</v>
      </c>
      <c r="BJ216" t="n">
        <v>0.075</v>
      </c>
      <c r="BK216" t="n">
        <v>0</v>
      </c>
      <c r="BL216" t="n">
        <v>0.075</v>
      </c>
      <c r="BM216" t="n">
        <v>0.15</v>
      </c>
      <c r="BN216" t="n">
        <v>0.075</v>
      </c>
      <c r="BO216" t="n">
        <v>0.075</v>
      </c>
      <c r="BP216" t="n">
        <v>0.075</v>
      </c>
      <c r="BQ216" t="n">
        <v>0</v>
      </c>
      <c r="BR216" t="n">
        <v>0.04</v>
      </c>
      <c r="BS216" t="n">
        <v>0.017</v>
      </c>
      <c r="BT216" t="n">
        <v>0.008999999999999999</v>
      </c>
      <c r="BU216" t="n">
        <v>0.035</v>
      </c>
      <c r="BV216" t="n">
        <v>0.061</v>
      </c>
    </row>
    <row r="217">
      <c r="A217" t="inlineStr">
        <is>
          <t>Chelon labrosus</t>
        </is>
      </c>
      <c r="B217" t="inlineStr">
        <is>
          <t>Thicklip grey mullet</t>
        </is>
      </c>
      <c r="C217" t="inlineStr">
        <is>
          <t>Medium demersals (30 - 89 cm)</t>
        </is>
      </c>
      <c r="D217" t="inlineStr">
        <is>
          <t>Perch-likes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4.01</v>
      </c>
      <c r="BM217" t="n">
        <v>2.032</v>
      </c>
      <c r="BN217" t="n">
        <v>2.957</v>
      </c>
      <c r="BO217" t="n">
        <v>2.996</v>
      </c>
      <c r="BP217" t="n">
        <v>22.739</v>
      </c>
      <c r="BQ217" t="n">
        <v>37.559</v>
      </c>
      <c r="BR217" t="n">
        <v>11.792</v>
      </c>
      <c r="BS217" t="n">
        <v>10.316</v>
      </c>
      <c r="BT217" t="n">
        <v>9.374000000000001</v>
      </c>
      <c r="BU217" t="n">
        <v>7.525</v>
      </c>
      <c r="BV217" t="n">
        <v>15.832</v>
      </c>
    </row>
    <row r="218">
      <c r="A218" t="inlineStr">
        <is>
          <t>Myxine glutinosa</t>
        </is>
      </c>
      <c r="B218" t="inlineStr">
        <is>
          <t>Hagfish</t>
        </is>
      </c>
      <c r="C218" t="inlineStr">
        <is>
          <t>Medium demersals (30 - 89 cm)</t>
        </is>
      </c>
      <c r="D218" t="inlineStr">
        <is>
          <t>Other fishes &amp; inverts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4.414</v>
      </c>
      <c r="BS218" t="n">
        <v>57.454</v>
      </c>
      <c r="BT218" t="n">
        <v>16.914</v>
      </c>
      <c r="BU218" t="n">
        <v>8.954000000000001</v>
      </c>
      <c r="BV218" t="n">
        <v>23.879</v>
      </c>
    </row>
    <row r="219">
      <c r="A219" t="inlineStr">
        <is>
          <t>Dipturus oxyrinchus</t>
        </is>
      </c>
      <c r="B219" t="inlineStr">
        <is>
          <t>Longnosed skate</t>
        </is>
      </c>
      <c r="C219" t="inlineStr">
        <is>
          <t>Large rays (&gt;=90 cm)</t>
        </is>
      </c>
      <c r="D219" t="inlineStr">
        <is>
          <t>Sharks &amp; rays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0.361</v>
      </c>
      <c r="AQ219" t="n">
        <v>1.037</v>
      </c>
      <c r="AR219" t="n">
        <v>1.218</v>
      </c>
      <c r="AS219" t="n">
        <v>1.714</v>
      </c>
      <c r="AT219" t="n">
        <v>5.364</v>
      </c>
      <c r="AU219" t="n">
        <v>13.293</v>
      </c>
      <c r="AV219" t="n">
        <v>10.907</v>
      </c>
      <c r="AW219" t="n">
        <v>8.970000000000001</v>
      </c>
      <c r="AX219" t="n">
        <v>8.071999999999999</v>
      </c>
      <c r="AY219" t="n">
        <v>8.523</v>
      </c>
      <c r="AZ219" t="n">
        <v>6.764</v>
      </c>
      <c r="BA219" t="n">
        <v>6.313</v>
      </c>
      <c r="BB219" t="n">
        <v>4.366</v>
      </c>
      <c r="BC219" t="n">
        <v>3.606</v>
      </c>
      <c r="BD219" t="n">
        <v>3.11</v>
      </c>
      <c r="BE219" t="n">
        <v>3.404</v>
      </c>
      <c r="BF219" t="n">
        <v>3.606</v>
      </c>
      <c r="BG219" t="n">
        <v>2.027</v>
      </c>
      <c r="BH219" t="n">
        <v>1.759</v>
      </c>
      <c r="BI219" t="n">
        <v>1.668</v>
      </c>
      <c r="BJ219" t="n">
        <v>1.849</v>
      </c>
      <c r="BK219" t="n">
        <v>0.18</v>
      </c>
      <c r="BL219" t="n">
        <v>3.029</v>
      </c>
      <c r="BM219" t="n">
        <v>0.337</v>
      </c>
      <c r="BN219" t="n">
        <v>4.61</v>
      </c>
      <c r="BO219" t="n">
        <v>1.128</v>
      </c>
      <c r="BP219" t="n">
        <v>0.361</v>
      </c>
      <c r="BQ219" t="n">
        <v>0.316</v>
      </c>
      <c r="BR219" t="n">
        <v>0</v>
      </c>
      <c r="BS219" t="n">
        <v>0</v>
      </c>
      <c r="BT219" t="n">
        <v>0</v>
      </c>
      <c r="BU219" t="n">
        <v>0.139</v>
      </c>
      <c r="BV219" t="n">
        <v>0.149</v>
      </c>
    </row>
    <row r="220">
      <c r="A220" t="inlineStr">
        <is>
          <t>Centroselachus crepidater</t>
        </is>
      </c>
      <c r="B220" t="inlineStr">
        <is>
          <t>Longnose velvet dogfish</t>
        </is>
      </c>
      <c r="C220" t="inlineStr">
        <is>
          <t>Large sharks (&gt;=90 cm)</t>
        </is>
      </c>
      <c r="D220" t="inlineStr">
        <is>
          <t>Sharks &amp; rays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28.844</v>
      </c>
      <c r="BG220" t="n">
        <v>19.61</v>
      </c>
      <c r="BH220" t="n">
        <v>12.96</v>
      </c>
      <c r="BI220" t="n">
        <v>26.331</v>
      </c>
      <c r="BJ220" t="n">
        <v>13.13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</row>
    <row r="221">
      <c r="A221" t="inlineStr">
        <is>
          <t>Miscellaneous diadromous fishes</t>
        </is>
      </c>
      <c r="B221" t="inlineStr">
        <is>
          <t>Diadromous fishes nei</t>
        </is>
      </c>
      <c r="C221" t="inlineStr">
        <is>
          <t>Large demersals (&gt;=90 cm)</t>
        </is>
      </c>
      <c r="D221" t="inlineStr">
        <is>
          <t>Other fishes &amp; inverts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12.845</v>
      </c>
      <c r="R221" t="n">
        <v>9.847</v>
      </c>
      <c r="S221" t="n">
        <v>2.974</v>
      </c>
      <c r="T221" t="n">
        <v>9.657</v>
      </c>
      <c r="U221" t="n">
        <v>0.725</v>
      </c>
      <c r="V221" t="n">
        <v>10.266</v>
      </c>
      <c r="W221" t="n">
        <v>11.281</v>
      </c>
      <c r="X221" t="n">
        <v>9.736000000000001</v>
      </c>
      <c r="Y221" t="n">
        <v>8.071999999999999</v>
      </c>
      <c r="Z221" t="n">
        <v>7.205</v>
      </c>
      <c r="AA221" t="n">
        <v>13.476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0.093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</row>
    <row r="222">
      <c r="A222" t="inlineStr">
        <is>
          <t>Dipturus nidarosiensis</t>
        </is>
      </c>
      <c r="B222" t="inlineStr">
        <is>
          <t>Norwegian skate</t>
        </is>
      </c>
      <c r="C222" t="inlineStr">
        <is>
          <t>Large rays (&gt;=90 cm)</t>
        </is>
      </c>
      <c r="D222" t="inlineStr">
        <is>
          <t>Sharks &amp; rays</t>
        </is>
      </c>
      <c r="E222" t="n">
        <v>4.499</v>
      </c>
      <c r="F222" t="n">
        <v>4.503</v>
      </c>
      <c r="G222" t="n">
        <v>4.064</v>
      </c>
      <c r="H222" t="n">
        <v>4.158</v>
      </c>
      <c r="I222" t="n">
        <v>3.993</v>
      </c>
      <c r="J222" t="n">
        <v>3.932</v>
      </c>
      <c r="K222" t="n">
        <v>3.954</v>
      </c>
      <c r="L222" t="n">
        <v>4.007</v>
      </c>
      <c r="M222" t="n">
        <v>4.085</v>
      </c>
      <c r="N222" t="n">
        <v>3.722</v>
      </c>
      <c r="O222" t="n">
        <v>3.266</v>
      </c>
      <c r="P222" t="n">
        <v>3.197</v>
      </c>
      <c r="Q222" t="n">
        <v>3.064</v>
      </c>
      <c r="R222" t="n">
        <v>3.202</v>
      </c>
      <c r="S222" t="n">
        <v>2.759</v>
      </c>
      <c r="T222" t="n">
        <v>4.701</v>
      </c>
      <c r="U222" t="n">
        <v>4.195</v>
      </c>
      <c r="V222" t="n">
        <v>4.026</v>
      </c>
      <c r="W222" t="n">
        <v>4.083</v>
      </c>
      <c r="X222" t="n">
        <v>3.82</v>
      </c>
      <c r="Y222" t="n">
        <v>3.277</v>
      </c>
      <c r="Z222" t="n">
        <v>3.483</v>
      </c>
      <c r="AA222" t="n">
        <v>3.277</v>
      </c>
      <c r="AB222" t="n">
        <v>2.809</v>
      </c>
      <c r="AC222" t="n">
        <v>2.472</v>
      </c>
      <c r="AD222" t="n">
        <v>2.486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0.021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</row>
    <row r="223">
      <c r="A223" t="inlineStr">
        <is>
          <t>Scyliorhinidae</t>
        </is>
      </c>
      <c r="B223" t="inlineStr">
        <is>
          <t>Cat/swellsharks</t>
        </is>
      </c>
      <c r="C223" t="inlineStr">
        <is>
          <t>Large sharks (&gt;=90 cm)</t>
        </is>
      </c>
      <c r="D223" t="inlineStr">
        <is>
          <t>Sharks &amp; rays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3.017</v>
      </c>
      <c r="BE223" t="n">
        <v>2.511</v>
      </c>
      <c r="BF223" t="n">
        <v>6.685</v>
      </c>
      <c r="BG223" t="n">
        <v>3.894</v>
      </c>
      <c r="BH223" t="n">
        <v>23.276</v>
      </c>
      <c r="BI223" t="n">
        <v>0.498</v>
      </c>
      <c r="BJ223" t="n">
        <v>0.495</v>
      </c>
      <c r="BK223" t="n">
        <v>0.495</v>
      </c>
      <c r="BL223" t="n">
        <v>5.295</v>
      </c>
      <c r="BM223" t="n">
        <v>0.409</v>
      </c>
      <c r="BN223" t="n">
        <v>4.626</v>
      </c>
      <c r="BO223" t="n">
        <v>5.198</v>
      </c>
      <c r="BP223" t="n">
        <v>1.077</v>
      </c>
      <c r="BQ223" t="n">
        <v>4.669</v>
      </c>
      <c r="BR223" t="n">
        <v>9.055</v>
      </c>
      <c r="BS223" t="n">
        <v>4.643</v>
      </c>
      <c r="BT223" t="n">
        <v>4.13</v>
      </c>
      <c r="BU223" t="n">
        <v>5.989</v>
      </c>
      <c r="BV223" t="n">
        <v>1.428</v>
      </c>
    </row>
    <row r="224">
      <c r="A224" t="inlineStr">
        <is>
          <t>Salmonidae</t>
        </is>
      </c>
      <c r="B224" t="inlineStr">
        <is>
          <t>Salmonids</t>
        </is>
      </c>
      <c r="C224" t="inlineStr">
        <is>
          <t>Large benthopelagics (&gt;=90 cm)</t>
        </is>
      </c>
      <c r="D224" t="inlineStr">
        <is>
          <t>Salmon, smelts, etc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1.959</v>
      </c>
      <c r="AC224" t="n">
        <v>16.129</v>
      </c>
      <c r="AD224" t="n">
        <v>60.269</v>
      </c>
      <c r="AE224" t="n">
        <v>0</v>
      </c>
      <c r="AF224" t="n">
        <v>7.353</v>
      </c>
      <c r="AG224" t="n">
        <v>0.013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0.819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0.292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0.018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</row>
    <row r="225">
      <c r="A225" t="inlineStr">
        <is>
          <t>Scyliorhinus stellaris</t>
        </is>
      </c>
      <c r="B225" t="inlineStr">
        <is>
          <t>Nursehound</t>
        </is>
      </c>
      <c r="C225" t="inlineStr">
        <is>
          <t>Large sharks (&gt;=90 cm)</t>
        </is>
      </c>
      <c r="D225" t="inlineStr">
        <is>
          <t>Sharks &amp; rays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1.967</v>
      </c>
      <c r="AS225" t="n">
        <v>2.229</v>
      </c>
      <c r="AT225" t="n">
        <v>0.983</v>
      </c>
      <c r="AU225" t="n">
        <v>3.009</v>
      </c>
      <c r="AV225" t="n">
        <v>1.03</v>
      </c>
      <c r="AW225" t="n">
        <v>1.022</v>
      </c>
      <c r="AX225" t="n">
        <v>0.246</v>
      </c>
      <c r="AY225" t="n">
        <v>1.987</v>
      </c>
      <c r="AZ225" t="n">
        <v>6.616</v>
      </c>
      <c r="BA225" t="n">
        <v>0.178</v>
      </c>
      <c r="BB225" t="n">
        <v>2.6</v>
      </c>
      <c r="BC225" t="n">
        <v>2.174</v>
      </c>
      <c r="BD225" t="n">
        <v>0.659</v>
      </c>
      <c r="BE225" t="n">
        <v>0.426</v>
      </c>
      <c r="BF225" t="n">
        <v>0.48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1.08</v>
      </c>
      <c r="BO225" t="n">
        <v>2.035</v>
      </c>
      <c r="BP225" t="n">
        <v>4.026</v>
      </c>
      <c r="BQ225" t="n">
        <v>3.036</v>
      </c>
      <c r="BR225" t="n">
        <v>3.445</v>
      </c>
      <c r="BS225" t="n">
        <v>1.31</v>
      </c>
      <c r="BT225" t="n">
        <v>3.611</v>
      </c>
      <c r="BU225" t="n">
        <v>11.063</v>
      </c>
      <c r="BV225" t="n">
        <v>29.025</v>
      </c>
    </row>
    <row r="226">
      <c r="A226" t="inlineStr">
        <is>
          <t>Thunnus</t>
        </is>
      </c>
      <c r="B226" t="inlineStr">
        <is>
          <t>Tunas</t>
        </is>
      </c>
      <c r="C226" t="inlineStr">
        <is>
          <t>Large pelagics (&gt;=90 cm)</t>
        </is>
      </c>
      <c r="D226" t="inlineStr">
        <is>
          <t>Tuna &amp; billfishes</t>
        </is>
      </c>
      <c r="E226" t="n">
        <v>10.373</v>
      </c>
      <c r="F226" t="n">
        <v>24.177</v>
      </c>
      <c r="G226" t="n">
        <v>33.958</v>
      </c>
      <c r="H226" t="n">
        <v>0.636</v>
      </c>
      <c r="I226" t="n">
        <v>1.046</v>
      </c>
      <c r="J226" t="n">
        <v>0.516</v>
      </c>
      <c r="K226" t="n">
        <v>0</v>
      </c>
      <c r="L226" t="n">
        <v>1.002</v>
      </c>
      <c r="M226" t="n">
        <v>0.593</v>
      </c>
      <c r="N226" t="n">
        <v>1.46</v>
      </c>
      <c r="O226" t="n">
        <v>2.013</v>
      </c>
      <c r="P226" t="n">
        <v>1.228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0.187</v>
      </c>
      <c r="Z226" t="n">
        <v>0.143</v>
      </c>
      <c r="AA226" t="n">
        <v>0</v>
      </c>
      <c r="AB226" t="n">
        <v>0.012</v>
      </c>
      <c r="AC226" t="n">
        <v>0</v>
      </c>
      <c r="AD226" t="n">
        <v>0.148</v>
      </c>
      <c r="AE226" t="n">
        <v>0.581</v>
      </c>
      <c r="AF226" t="n">
        <v>0.142</v>
      </c>
      <c r="AG226" t="n">
        <v>0.139</v>
      </c>
      <c r="AH226" t="n">
        <v>0</v>
      </c>
      <c r="AI226" t="n">
        <v>0</v>
      </c>
      <c r="AJ226" t="n">
        <v>1.181</v>
      </c>
      <c r="AK226" t="n">
        <v>0.016</v>
      </c>
      <c r="AL226" t="n">
        <v>0.063</v>
      </c>
      <c r="AM226" t="n">
        <v>0.016</v>
      </c>
      <c r="AN226" t="n">
        <v>0</v>
      </c>
      <c r="AO226" t="n">
        <v>0</v>
      </c>
      <c r="AP226" t="n">
        <v>0</v>
      </c>
      <c r="AQ226" t="n">
        <v>0.014</v>
      </c>
      <c r="AR226" t="n">
        <v>0.014</v>
      </c>
      <c r="AS226" t="n">
        <v>0</v>
      </c>
      <c r="AT226" t="n">
        <v>0.053</v>
      </c>
      <c r="AU226" t="n">
        <v>0</v>
      </c>
      <c r="AV226" t="n">
        <v>0</v>
      </c>
      <c r="AW226" t="n">
        <v>0.012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</row>
    <row r="227">
      <c r="A227" t="inlineStr">
        <is>
          <t>Isurus</t>
        </is>
      </c>
      <c r="B227" t="inlineStr">
        <is>
          <t>Mako sharks</t>
        </is>
      </c>
      <c r="C227" t="inlineStr">
        <is>
          <t>Large sharks (&gt;=90 cm)</t>
        </is>
      </c>
      <c r="D227" t="inlineStr">
        <is>
          <t>Sharks &amp; rays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77.191</v>
      </c>
      <c r="BO227" t="n">
        <v>0.008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</row>
    <row r="228">
      <c r="A228" t="inlineStr">
        <is>
          <t>Cyprinidae</t>
        </is>
      </c>
      <c r="B228" t="inlineStr">
        <is>
          <t>Carps, barbels, other cyprinids</t>
        </is>
      </c>
      <c r="C228" t="inlineStr">
        <is>
          <t>Medium demersals (30 - 89 cm)</t>
        </is>
      </c>
      <c r="D228" t="inlineStr">
        <is>
          <t>Other fishes &amp; inverts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0.981</v>
      </c>
      <c r="AL228" t="n">
        <v>2.208</v>
      </c>
      <c r="AM228" t="n">
        <v>2.945</v>
      </c>
      <c r="AN228" t="n">
        <v>1.227</v>
      </c>
      <c r="AO228" t="n">
        <v>1.227</v>
      </c>
      <c r="AP228" t="n">
        <v>1.222</v>
      </c>
      <c r="AQ228" t="n">
        <v>7.855</v>
      </c>
      <c r="AR228" t="n">
        <v>2.45</v>
      </c>
      <c r="AS228" t="n">
        <v>0.491</v>
      </c>
      <c r="AT228" t="n">
        <v>1.228</v>
      </c>
      <c r="AU228" t="n">
        <v>1.468</v>
      </c>
      <c r="AV228" t="n">
        <v>2.946</v>
      </c>
      <c r="AW228" t="n">
        <v>3.211</v>
      </c>
      <c r="AX228" t="n">
        <v>2.229</v>
      </c>
      <c r="AY228" t="n">
        <v>1.468</v>
      </c>
      <c r="AZ228" t="n">
        <v>0.491</v>
      </c>
      <c r="BA228" t="n">
        <v>2.946</v>
      </c>
      <c r="BB228" t="n">
        <v>0.731</v>
      </c>
      <c r="BC228" t="n">
        <v>1.228</v>
      </c>
      <c r="BD228" t="n">
        <v>0.491</v>
      </c>
      <c r="BE228" t="n">
        <v>0.491</v>
      </c>
      <c r="BF228" t="n">
        <v>1.478</v>
      </c>
      <c r="BG228" t="n">
        <v>2.216</v>
      </c>
      <c r="BH228" t="n">
        <v>0</v>
      </c>
      <c r="BI228" t="n">
        <v>0.491</v>
      </c>
      <c r="BJ228" t="n">
        <v>2.216</v>
      </c>
      <c r="BK228" t="n">
        <v>0.491</v>
      </c>
      <c r="BL228" t="n">
        <v>0.491</v>
      </c>
      <c r="BM228" t="n">
        <v>0</v>
      </c>
      <c r="BN228" t="n">
        <v>4.934</v>
      </c>
      <c r="BO228" t="n">
        <v>1.974</v>
      </c>
      <c r="BP228" t="n">
        <v>6.906</v>
      </c>
      <c r="BQ228" t="n">
        <v>2.955</v>
      </c>
      <c r="BR228" t="n">
        <v>2.314</v>
      </c>
      <c r="BS228" t="n">
        <v>2.067</v>
      </c>
      <c r="BT228" t="n">
        <v>2.204</v>
      </c>
      <c r="BU228" t="n">
        <v>3.135</v>
      </c>
      <c r="BV228" t="n">
        <v>0.067</v>
      </c>
    </row>
    <row r="229">
      <c r="A229" t="inlineStr">
        <is>
          <t>Euthynnus alletteratus</t>
        </is>
      </c>
      <c r="B229" t="inlineStr">
        <is>
          <t xml:space="preserve">Little tunny </t>
        </is>
      </c>
      <c r="C229" t="inlineStr">
        <is>
          <t>Large pelagics (&gt;=90 cm)</t>
        </is>
      </c>
      <c r="D229" t="inlineStr">
        <is>
          <t>Tuna &amp; billfishes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6.335</v>
      </c>
      <c r="BM229" t="n">
        <v>12.936</v>
      </c>
      <c r="BN229" t="n">
        <v>19.736</v>
      </c>
      <c r="BO229" t="n">
        <v>32.618</v>
      </c>
      <c r="BP229" t="n">
        <v>0</v>
      </c>
      <c r="BQ229" t="n">
        <v>0.161</v>
      </c>
      <c r="BR229" t="n">
        <v>0</v>
      </c>
      <c r="BS229" t="n">
        <v>0</v>
      </c>
      <c r="BT229" t="n">
        <v>0.08799999999999999</v>
      </c>
      <c r="BU229" t="n">
        <v>0</v>
      </c>
      <c r="BV229" t="n">
        <v>0</v>
      </c>
    </row>
    <row r="230">
      <c r="A230" t="inlineStr">
        <is>
          <t>Caproidae</t>
        </is>
      </c>
      <c r="B230" t="inlineStr">
        <is>
          <t>Boarfishes</t>
        </is>
      </c>
      <c r="C230" t="inlineStr">
        <is>
          <t>Small bathydemersals (&lt;30 cm)</t>
        </is>
      </c>
      <c r="D230" t="inlineStr">
        <is>
          <t>Perch-likes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0.775</v>
      </c>
      <c r="BO230" t="n">
        <v>3.33</v>
      </c>
      <c r="BP230" t="n">
        <v>15.159</v>
      </c>
      <c r="BQ230" t="n">
        <v>5.688</v>
      </c>
      <c r="BR230" t="n">
        <v>4.069</v>
      </c>
      <c r="BS230" t="n">
        <v>3.66</v>
      </c>
      <c r="BT230" t="n">
        <v>29.849</v>
      </c>
      <c r="BU230" t="n">
        <v>0.092</v>
      </c>
      <c r="BV230" t="n">
        <v>1.01</v>
      </c>
    </row>
    <row r="231">
      <c r="A231" t="inlineStr">
        <is>
          <t>Alosa</t>
        </is>
      </c>
      <c r="B231" t="inlineStr">
        <is>
          <t>Shads</t>
        </is>
      </c>
      <c r="C231" t="inlineStr">
        <is>
          <t>Medium pelagics (30 - 89 cm)</t>
        </is>
      </c>
      <c r="D231" t="inlineStr">
        <is>
          <t>Herring-likes</t>
        </is>
      </c>
      <c r="E231" t="n">
        <v>0.355</v>
      </c>
      <c r="F231" t="n">
        <v>0.375</v>
      </c>
      <c r="G231" t="n">
        <v>0.392</v>
      </c>
      <c r="H231" t="n">
        <v>0.435</v>
      </c>
      <c r="I231" t="n">
        <v>0.394</v>
      </c>
      <c r="J231" t="n">
        <v>0.421</v>
      </c>
      <c r="K231" t="n">
        <v>0.319</v>
      </c>
      <c r="L231" t="n">
        <v>0.26</v>
      </c>
      <c r="M231" t="n">
        <v>0.229</v>
      </c>
      <c r="N231" t="n">
        <v>0.302</v>
      </c>
      <c r="O231" t="n">
        <v>1.251</v>
      </c>
      <c r="P231" t="n">
        <v>0.269</v>
      </c>
      <c r="Q231" t="n">
        <v>1.541</v>
      </c>
      <c r="R231" t="n">
        <v>0.531</v>
      </c>
      <c r="S231" t="n">
        <v>2.471</v>
      </c>
      <c r="T231" t="n">
        <v>1.493</v>
      </c>
      <c r="U231" t="n">
        <v>1.276</v>
      </c>
      <c r="V231" t="n">
        <v>1.199</v>
      </c>
      <c r="W231" t="n">
        <v>1.135</v>
      </c>
      <c r="X231" t="n">
        <v>1.249</v>
      </c>
      <c r="Y231" t="n">
        <v>1.162</v>
      </c>
      <c r="Z231" t="n">
        <v>1.094</v>
      </c>
      <c r="AA231" t="n">
        <v>4.261</v>
      </c>
      <c r="AB231" t="n">
        <v>3.306</v>
      </c>
      <c r="AC231" t="n">
        <v>1.925</v>
      </c>
      <c r="AD231" t="n">
        <v>1.72</v>
      </c>
      <c r="AE231" t="n">
        <v>0.498</v>
      </c>
      <c r="AF231" t="n">
        <v>0.999</v>
      </c>
      <c r="AG231" t="n">
        <v>7.241</v>
      </c>
      <c r="AH231" t="n">
        <v>1.248</v>
      </c>
      <c r="AI231" t="n">
        <v>0.25</v>
      </c>
      <c r="AJ231" t="n">
        <v>1.247</v>
      </c>
      <c r="AK231" t="n">
        <v>0.25</v>
      </c>
      <c r="AL231" t="n">
        <v>0.25</v>
      </c>
      <c r="AM231" t="n">
        <v>0</v>
      </c>
      <c r="AN231" t="n">
        <v>0.25</v>
      </c>
      <c r="AO231" t="n">
        <v>0.25</v>
      </c>
      <c r="AP231" t="n">
        <v>0.25</v>
      </c>
      <c r="AQ231" t="n">
        <v>0</v>
      </c>
      <c r="AR231" t="n">
        <v>0.247</v>
      </c>
      <c r="AS231" t="n">
        <v>0.496</v>
      </c>
      <c r="AT231" t="n">
        <v>0</v>
      </c>
      <c r="AU231" t="n">
        <v>0.496</v>
      </c>
      <c r="AV231" t="n">
        <v>0.496</v>
      </c>
      <c r="AW231" t="n">
        <v>0.496</v>
      </c>
      <c r="AX231" t="n">
        <v>0.247</v>
      </c>
      <c r="AY231" t="n">
        <v>0.246</v>
      </c>
      <c r="AZ231" t="n">
        <v>0.496</v>
      </c>
      <c r="BA231" t="n">
        <v>0.247</v>
      </c>
      <c r="BB231" t="n">
        <v>0.497</v>
      </c>
      <c r="BC231" t="n">
        <v>0.496</v>
      </c>
      <c r="BD231" t="n">
        <v>4.987</v>
      </c>
      <c r="BE231" t="n">
        <v>0.246</v>
      </c>
      <c r="BF231" t="n">
        <v>0</v>
      </c>
      <c r="BG231" t="n">
        <v>0</v>
      </c>
      <c r="BH231" t="n">
        <v>0</v>
      </c>
      <c r="BI231" t="n">
        <v>1.246</v>
      </c>
      <c r="BJ231" t="n">
        <v>0.498</v>
      </c>
      <c r="BK231" t="n">
        <v>0.496</v>
      </c>
      <c r="BL231" t="n">
        <v>0</v>
      </c>
      <c r="BM231" t="n">
        <v>0.999</v>
      </c>
      <c r="BN231" t="n">
        <v>4.781</v>
      </c>
      <c r="BO231" t="n">
        <v>0.598</v>
      </c>
      <c r="BP231" t="n">
        <v>0.209</v>
      </c>
      <c r="BQ231" t="n">
        <v>0.09</v>
      </c>
      <c r="BR231" t="n">
        <v>0.11</v>
      </c>
      <c r="BS231" t="n">
        <v>0.12</v>
      </c>
      <c r="BT231" t="n">
        <v>0.1</v>
      </c>
      <c r="BU231" t="n">
        <v>0.117</v>
      </c>
      <c r="BV231" t="n">
        <v>0.175</v>
      </c>
    </row>
    <row r="232">
      <c r="A232" t="inlineStr">
        <is>
          <t>Mora moro</t>
        </is>
      </c>
      <c r="B232" t="inlineStr">
        <is>
          <t>Common mora</t>
        </is>
      </c>
      <c r="C232" t="inlineStr">
        <is>
          <t>Medium bathypelagics (30 - 89 cm)</t>
        </is>
      </c>
      <c r="D232" t="inlineStr">
        <is>
          <t>Cod-likes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0.04</v>
      </c>
      <c r="BD232" t="n">
        <v>0.12</v>
      </c>
      <c r="BE232" t="n">
        <v>0.839</v>
      </c>
      <c r="BF232" t="n">
        <v>0.959</v>
      </c>
      <c r="BG232" t="n">
        <v>0.839</v>
      </c>
      <c r="BH232" t="n">
        <v>0.719</v>
      </c>
      <c r="BI232" t="n">
        <v>0.479</v>
      </c>
      <c r="BJ232" t="n">
        <v>2.277</v>
      </c>
      <c r="BK232" t="n">
        <v>2.037</v>
      </c>
      <c r="BL232" t="n">
        <v>4.554</v>
      </c>
      <c r="BM232" t="n">
        <v>4.434</v>
      </c>
      <c r="BN232" t="n">
        <v>4.195</v>
      </c>
      <c r="BO232" t="n">
        <v>4.495</v>
      </c>
      <c r="BP232" t="n">
        <v>6.075</v>
      </c>
      <c r="BQ232" t="n">
        <v>5.129</v>
      </c>
      <c r="BR232" t="n">
        <v>5.162</v>
      </c>
      <c r="BS232" t="n">
        <v>4.653</v>
      </c>
      <c r="BT232" t="n">
        <v>3.07</v>
      </c>
      <c r="BU232" t="n">
        <v>5.322</v>
      </c>
      <c r="BV232" t="n">
        <v>5.622</v>
      </c>
    </row>
    <row r="233">
      <c r="A233" t="inlineStr">
        <is>
          <t>Cepola macrophthalma</t>
        </is>
      </c>
      <c r="B233" t="inlineStr">
        <is>
          <t>Red bandfish</t>
        </is>
      </c>
      <c r="C233" t="inlineStr">
        <is>
          <t>Medium demersals (30 - 89 cm)</t>
        </is>
      </c>
      <c r="D233" t="inlineStr">
        <is>
          <t>Perch-likes</t>
        </is>
      </c>
      <c r="E233" t="n">
        <v>0</v>
      </c>
      <c r="F233" t="n">
        <v>0.005</v>
      </c>
      <c r="G233" t="n">
        <v>0.003</v>
      </c>
      <c r="H233" t="n">
        <v>0.004</v>
      </c>
      <c r="I233" t="n">
        <v>0.003</v>
      </c>
      <c r="J233" t="n">
        <v>0.08799999999999999</v>
      </c>
      <c r="K233" t="n">
        <v>0.083</v>
      </c>
      <c r="L233" t="n">
        <v>0.109</v>
      </c>
      <c r="M233" t="n">
        <v>0.08</v>
      </c>
      <c r="N233" t="n">
        <v>0.105</v>
      </c>
      <c r="O233" t="n">
        <v>0.095</v>
      </c>
      <c r="P233" t="n">
        <v>0.144</v>
      </c>
      <c r="Q233" t="n">
        <v>0.111</v>
      </c>
      <c r="R233" t="n">
        <v>0.117</v>
      </c>
      <c r="S233" t="n">
        <v>0.155</v>
      </c>
      <c r="T233" t="n">
        <v>0.196</v>
      </c>
      <c r="U233" t="n">
        <v>0.365</v>
      </c>
      <c r="V233" t="n">
        <v>0.297</v>
      </c>
      <c r="W233" t="n">
        <v>0.29</v>
      </c>
      <c r="X233" t="n">
        <v>0.279</v>
      </c>
      <c r="Y233" t="n">
        <v>0.277</v>
      </c>
      <c r="Z233" t="n">
        <v>0.308</v>
      </c>
      <c r="AA233" t="n">
        <v>0.375</v>
      </c>
      <c r="AB233" t="n">
        <v>0.344</v>
      </c>
      <c r="AC233" t="n">
        <v>0.328</v>
      </c>
      <c r="AD233" t="n">
        <v>0.297</v>
      </c>
      <c r="AE233" t="n">
        <v>0.527</v>
      </c>
      <c r="AF233" t="n">
        <v>0.475</v>
      </c>
      <c r="AG233" t="n">
        <v>0.473</v>
      </c>
      <c r="AH233" t="n">
        <v>0.423</v>
      </c>
      <c r="AI233" t="n">
        <v>0.415</v>
      </c>
      <c r="AJ233" t="n">
        <v>0.44</v>
      </c>
      <c r="AK233" t="n">
        <v>0.586</v>
      </c>
      <c r="AL233" t="n">
        <v>0.612</v>
      </c>
      <c r="AM233" t="n">
        <v>0.257</v>
      </c>
      <c r="AN233" t="n">
        <v>1.072</v>
      </c>
      <c r="AO233" t="n">
        <v>0.176</v>
      </c>
      <c r="AP233" t="n">
        <v>1.758</v>
      </c>
      <c r="AQ233" t="n">
        <v>1.631</v>
      </c>
      <c r="AR233" t="n">
        <v>0.9399999999999999</v>
      </c>
      <c r="AS233" t="n">
        <v>1.752</v>
      </c>
      <c r="AT233" t="n">
        <v>1.639</v>
      </c>
      <c r="AU233" t="n">
        <v>1.879</v>
      </c>
      <c r="AV233" t="n">
        <v>1.059</v>
      </c>
      <c r="AW233" t="n">
        <v>1.795</v>
      </c>
      <c r="AX233" t="n">
        <v>1.339</v>
      </c>
      <c r="AY233" t="n">
        <v>1.41</v>
      </c>
      <c r="AZ233" t="n">
        <v>1.452</v>
      </c>
      <c r="BA233" t="n">
        <v>1.219</v>
      </c>
      <c r="BB233" t="n">
        <v>1.438</v>
      </c>
      <c r="BC233" t="n">
        <v>1.32</v>
      </c>
      <c r="BD233" t="n">
        <v>1.355</v>
      </c>
      <c r="BE233" t="n">
        <v>1.42</v>
      </c>
      <c r="BF233" t="n">
        <v>1.355</v>
      </c>
      <c r="BG233" t="n">
        <v>1.646</v>
      </c>
      <c r="BH233" t="n">
        <v>1.494</v>
      </c>
      <c r="BI233" t="n">
        <v>2.29</v>
      </c>
      <c r="BJ233" t="n">
        <v>2.314</v>
      </c>
      <c r="BK233" t="n">
        <v>2.141</v>
      </c>
      <c r="BL233" t="n">
        <v>2.383</v>
      </c>
      <c r="BM233" t="n">
        <v>2.052</v>
      </c>
      <c r="BN233" t="n">
        <v>1.556</v>
      </c>
      <c r="BO233" t="n">
        <v>1.238</v>
      </c>
      <c r="BP233" t="n">
        <v>0.969</v>
      </c>
      <c r="BQ233" t="n">
        <v>1.242</v>
      </c>
      <c r="BR233" t="n">
        <v>0.788</v>
      </c>
      <c r="BS233" t="n">
        <v>1.065</v>
      </c>
      <c r="BT233" t="n">
        <v>1.326</v>
      </c>
      <c r="BU233" t="n">
        <v>2.301</v>
      </c>
      <c r="BV233" t="n">
        <v>0.957</v>
      </c>
    </row>
    <row r="234">
      <c r="A234" t="inlineStr">
        <is>
          <t>Serranidae</t>
        </is>
      </c>
      <c r="B234" t="inlineStr">
        <is>
          <t>Basses, groupers, hinds</t>
        </is>
      </c>
      <c r="C234" t="inlineStr">
        <is>
          <t>Medium reef assoc. fish (30 - 89 cm)</t>
        </is>
      </c>
      <c r="D234" t="inlineStr">
        <is>
          <t>Perch-likes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0.966</v>
      </c>
      <c r="N234" t="n">
        <v>7.73</v>
      </c>
      <c r="O234" t="n">
        <v>1.932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1.449</v>
      </c>
      <c r="Z234" t="n">
        <v>0</v>
      </c>
      <c r="AA234" t="n">
        <v>2.416</v>
      </c>
      <c r="AB234" t="n">
        <v>0.966</v>
      </c>
      <c r="AC234" t="n">
        <v>0.483</v>
      </c>
      <c r="AD234" t="n">
        <v>0.483</v>
      </c>
      <c r="AE234" t="n">
        <v>0.966</v>
      </c>
      <c r="AF234" t="n">
        <v>4.831</v>
      </c>
      <c r="AG234" t="n">
        <v>6.281</v>
      </c>
      <c r="AH234" t="n">
        <v>10.146</v>
      </c>
      <c r="AI234" t="n">
        <v>6.764</v>
      </c>
      <c r="AJ234" t="n">
        <v>4.831</v>
      </c>
      <c r="AK234" t="n">
        <v>4.348</v>
      </c>
      <c r="AL234" t="n">
        <v>4.348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</row>
    <row r="235">
      <c r="A235" t="inlineStr">
        <is>
          <t>Scorpaenidae</t>
        </is>
      </c>
      <c r="B235" t="inlineStr">
        <is>
          <t>Scorpionfishes, rockfishes</t>
        </is>
      </c>
      <c r="C235" t="inlineStr">
        <is>
          <t>Large reef assoc. fish (&gt;=90 cm)</t>
        </is>
      </c>
      <c r="D235" t="inlineStr">
        <is>
          <t>Scorpionfishes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0.159</v>
      </c>
      <c r="AH235" t="n">
        <v>2.014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16.035</v>
      </c>
      <c r="AO235" t="n">
        <v>0.026</v>
      </c>
      <c r="AP235" t="n">
        <v>0</v>
      </c>
      <c r="AQ235" t="n">
        <v>0.026</v>
      </c>
      <c r="AR235" t="n">
        <v>0.503</v>
      </c>
      <c r="AS235" t="n">
        <v>0.397</v>
      </c>
      <c r="AT235" t="n">
        <v>0.53</v>
      </c>
      <c r="AU235" t="n">
        <v>0.556</v>
      </c>
      <c r="AV235" t="n">
        <v>0.503</v>
      </c>
      <c r="AW235" t="n">
        <v>0.821</v>
      </c>
      <c r="AX235" t="n">
        <v>0.53</v>
      </c>
      <c r="AY235" t="n">
        <v>1.881</v>
      </c>
      <c r="AZ235" t="n">
        <v>2.358</v>
      </c>
      <c r="BA235" t="n">
        <v>2.464</v>
      </c>
      <c r="BB235" t="n">
        <v>3.736</v>
      </c>
      <c r="BC235" t="n">
        <v>7.578</v>
      </c>
      <c r="BD235" t="n">
        <v>0.265</v>
      </c>
      <c r="BE235" t="n">
        <v>4.716</v>
      </c>
      <c r="BF235" t="n">
        <v>2.305</v>
      </c>
      <c r="BG235" t="n">
        <v>2.517</v>
      </c>
      <c r="BH235" t="n">
        <v>1.166</v>
      </c>
      <c r="BI235" t="n">
        <v>1.245</v>
      </c>
      <c r="BJ235" t="n">
        <v>0.768</v>
      </c>
      <c r="BK235" t="n">
        <v>1.007</v>
      </c>
      <c r="BL235" t="n">
        <v>1.537</v>
      </c>
      <c r="BM235" t="n">
        <v>0.053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0.152</v>
      </c>
      <c r="BV235" t="n">
        <v>0.169</v>
      </c>
    </row>
    <row r="236">
      <c r="A236" t="inlineStr">
        <is>
          <t>Labrus bergylta</t>
        </is>
      </c>
      <c r="B236" t="inlineStr">
        <is>
          <t>Ballan wrasse</t>
        </is>
      </c>
      <c r="C236" t="inlineStr">
        <is>
          <t>Medium reef assoc. fish (30 - 89 cm)</t>
        </is>
      </c>
      <c r="D236" t="inlineStr">
        <is>
          <t>Perch-likes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0.023</v>
      </c>
      <c r="AL236" t="n">
        <v>0</v>
      </c>
      <c r="AM236" t="n">
        <v>0</v>
      </c>
      <c r="AN236" t="n">
        <v>0</v>
      </c>
      <c r="AO236" t="n">
        <v>0</v>
      </c>
      <c r="AP236" t="n">
        <v>0.001</v>
      </c>
      <c r="AQ236" t="n">
        <v>0.004</v>
      </c>
      <c r="AR236" t="n">
        <v>0.006</v>
      </c>
      <c r="AS236" t="n">
        <v>0.005</v>
      </c>
      <c r="AT236" t="n">
        <v>0.005</v>
      </c>
      <c r="AU236" t="n">
        <v>0.003</v>
      </c>
      <c r="AV236" t="n">
        <v>0.003</v>
      </c>
      <c r="AW236" t="n">
        <v>0.004</v>
      </c>
      <c r="AX236" t="n">
        <v>0.007</v>
      </c>
      <c r="AY236" t="n">
        <v>0.006</v>
      </c>
      <c r="AZ236" t="n">
        <v>0.005</v>
      </c>
      <c r="BA236" t="n">
        <v>0.008</v>
      </c>
      <c r="BB236" t="n">
        <v>0.013</v>
      </c>
      <c r="BC236" t="n">
        <v>0.017</v>
      </c>
      <c r="BD236" t="n">
        <v>0.013</v>
      </c>
      <c r="BE236" t="n">
        <v>2.01</v>
      </c>
      <c r="BF236" t="n">
        <v>0.018</v>
      </c>
      <c r="BG236" t="n">
        <v>0.015</v>
      </c>
      <c r="BH236" t="n">
        <v>0.015</v>
      </c>
      <c r="BI236" t="n">
        <v>0.013</v>
      </c>
      <c r="BJ236" t="n">
        <v>0.016</v>
      </c>
      <c r="BK236" t="n">
        <v>0.007</v>
      </c>
      <c r="BL236" t="n">
        <v>0.061</v>
      </c>
      <c r="BM236" t="n">
        <v>0.013</v>
      </c>
      <c r="BN236" t="n">
        <v>0.013</v>
      </c>
      <c r="BO236" t="n">
        <v>0.013</v>
      </c>
      <c r="BP236" t="n">
        <v>0.013</v>
      </c>
      <c r="BQ236" t="n">
        <v>0.013</v>
      </c>
      <c r="BR236" t="n">
        <v>8.234999999999999</v>
      </c>
      <c r="BS236" t="n">
        <v>0.023</v>
      </c>
      <c r="BT236" t="n">
        <v>3.105</v>
      </c>
      <c r="BU236" t="n">
        <v>13.355</v>
      </c>
      <c r="BV236" t="n">
        <v>28.212</v>
      </c>
    </row>
    <row r="237">
      <c r="A237" t="inlineStr">
        <is>
          <t>Echinus esculentus</t>
        </is>
      </c>
      <c r="B237" t="inlineStr">
        <is>
          <t>European edible sea urchin</t>
        </is>
      </c>
      <c r="C237" t="inlineStr">
        <is>
          <t>Other demersal invertebrates</t>
        </is>
      </c>
      <c r="D237" t="inlineStr">
        <is>
          <t>Other fishes &amp; inverts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0.248</v>
      </c>
      <c r="AP237" t="n">
        <v>0.248</v>
      </c>
      <c r="AQ237" t="n">
        <v>0.992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1.241</v>
      </c>
      <c r="BC237" t="n">
        <v>0.497</v>
      </c>
      <c r="BD237" t="n">
        <v>0.497</v>
      </c>
      <c r="BE237" t="n">
        <v>0.497</v>
      </c>
      <c r="BF237" t="n">
        <v>0.497</v>
      </c>
      <c r="BG237" t="n">
        <v>0.497</v>
      </c>
      <c r="BH237" t="n">
        <v>0.999</v>
      </c>
      <c r="BI237" t="n">
        <v>0.497</v>
      </c>
      <c r="BJ237" t="n">
        <v>0.497</v>
      </c>
      <c r="BK237" t="n">
        <v>0.497</v>
      </c>
      <c r="BL237" t="n">
        <v>0.497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42.526</v>
      </c>
      <c r="BT237" t="n">
        <v>0</v>
      </c>
      <c r="BU237" t="n">
        <v>2.961</v>
      </c>
      <c r="BV237" t="n">
        <v>0.986</v>
      </c>
    </row>
    <row r="238">
      <c r="A238" t="inlineStr">
        <is>
          <t>Epigonus telescopus</t>
        </is>
      </c>
      <c r="B238" t="inlineStr">
        <is>
          <t>Black cardinal fish</t>
        </is>
      </c>
      <c r="C238" t="inlineStr">
        <is>
          <t>Medium bathydemersals (30 - 89 cm)</t>
        </is>
      </c>
      <c r="D238" t="inlineStr">
        <is>
          <t>Perch-likes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0.9399999999999999</v>
      </c>
      <c r="AW238" t="n">
        <v>7.435</v>
      </c>
      <c r="AX238" t="n">
        <v>1.373</v>
      </c>
      <c r="AY238" t="n">
        <v>0.867</v>
      </c>
      <c r="AZ238" t="n">
        <v>2.081</v>
      </c>
      <c r="BA238" t="n">
        <v>5.879</v>
      </c>
      <c r="BB238" t="n">
        <v>0</v>
      </c>
      <c r="BC238" t="n">
        <v>5.478</v>
      </c>
      <c r="BD238" t="n">
        <v>6.352</v>
      </c>
      <c r="BE238" t="n">
        <v>2.747</v>
      </c>
      <c r="BF238" t="n">
        <v>1.623</v>
      </c>
      <c r="BG238" t="n">
        <v>1.373</v>
      </c>
      <c r="BH238" t="n">
        <v>5.181</v>
      </c>
      <c r="BI238" t="n">
        <v>1.807</v>
      </c>
      <c r="BJ238" t="n">
        <v>0.973</v>
      </c>
      <c r="BK238" t="n">
        <v>0.361</v>
      </c>
      <c r="BL238" t="n">
        <v>0.741</v>
      </c>
      <c r="BM238" t="n">
        <v>0.506</v>
      </c>
      <c r="BN238" t="n">
        <v>0.289</v>
      </c>
      <c r="BO238" t="n">
        <v>1.157</v>
      </c>
      <c r="BP238" t="n">
        <v>0.723</v>
      </c>
      <c r="BQ238" t="n">
        <v>0.361</v>
      </c>
      <c r="BR238" t="n">
        <v>0.367</v>
      </c>
      <c r="BS238" t="n">
        <v>0.969</v>
      </c>
      <c r="BT238" t="n">
        <v>0.865</v>
      </c>
      <c r="BU238" t="n">
        <v>2.338</v>
      </c>
      <c r="BV238" t="n">
        <v>0.582</v>
      </c>
    </row>
    <row r="239">
      <c r="A239" t="inlineStr">
        <is>
          <t>Trachinus</t>
        </is>
      </c>
      <c r="B239" t="inlineStr">
        <is>
          <t>Weevers</t>
        </is>
      </c>
      <c r="C239" t="inlineStr">
        <is>
          <t>Medium demersals (30 - 89 cm)</t>
        </is>
      </c>
      <c r="D239" t="inlineStr">
        <is>
          <t>Perch-likes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0.998</v>
      </c>
      <c r="BM239" t="n">
        <v>0</v>
      </c>
      <c r="BN239" t="n">
        <v>0.997</v>
      </c>
      <c r="BO239" t="n">
        <v>5.985</v>
      </c>
      <c r="BP239" t="n">
        <v>4.981</v>
      </c>
      <c r="BQ239" t="n">
        <v>0</v>
      </c>
      <c r="BR239" t="n">
        <v>1.197</v>
      </c>
      <c r="BS239" t="n">
        <v>1.795</v>
      </c>
      <c r="BT239" t="n">
        <v>5.346</v>
      </c>
      <c r="BU239" t="n">
        <v>21.164</v>
      </c>
      <c r="BV239" t="n">
        <v>8.42</v>
      </c>
    </row>
    <row r="240">
      <c r="A240" t="inlineStr">
        <is>
          <t>Boops boops</t>
        </is>
      </c>
      <c r="B240" t="inlineStr">
        <is>
          <t>Bogue</t>
        </is>
      </c>
      <c r="C240" t="inlineStr">
        <is>
          <t>Medium demersals (30 - 89 cm)</t>
        </is>
      </c>
      <c r="D240" t="inlineStr">
        <is>
          <t>Perch-likes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28.832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1.991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7.991</v>
      </c>
      <c r="BV240" t="n">
        <v>8.897</v>
      </c>
    </row>
    <row r="241">
      <c r="A241" t="inlineStr">
        <is>
          <t>Pandalidae</t>
        </is>
      </c>
      <c r="B241" t="inlineStr">
        <is>
          <t>Northern shrimps</t>
        </is>
      </c>
      <c r="C241" t="inlineStr">
        <is>
          <t>Shrimps</t>
        </is>
      </c>
      <c r="D241" t="inlineStr">
        <is>
          <t>Crustaceans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32.941</v>
      </c>
      <c r="AA241" t="n">
        <v>0</v>
      </c>
      <c r="AB241" t="n">
        <v>0</v>
      </c>
      <c r="AC241" t="n">
        <v>0</v>
      </c>
      <c r="AD241" t="n">
        <v>1.996</v>
      </c>
      <c r="AE241" t="n">
        <v>0</v>
      </c>
      <c r="AF241" t="n">
        <v>0.998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0.25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0.078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1.121</v>
      </c>
      <c r="BM241" t="n">
        <v>10.06</v>
      </c>
      <c r="BN241" t="n">
        <v>0.001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</row>
    <row r="242">
      <c r="A242" t="inlineStr">
        <is>
          <t>Symphodus melops</t>
        </is>
      </c>
      <c r="B242" t="inlineStr">
        <is>
          <t>Corkwing wrasse</t>
        </is>
      </c>
      <c r="C242" t="inlineStr">
        <is>
          <t>Small reef assoc. fish (&lt;30 cm)</t>
        </is>
      </c>
      <c r="D242" t="inlineStr">
        <is>
          <t>Perch-likes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17.507</v>
      </c>
      <c r="BU242" t="n">
        <v>22.225</v>
      </c>
      <c r="BV242" t="n">
        <v>7.223</v>
      </c>
    </row>
    <row r="243">
      <c r="A243" t="inlineStr">
        <is>
          <t>Solea</t>
        </is>
      </c>
      <c r="B243" t="inlineStr">
        <is>
          <t>Soles</t>
        </is>
      </c>
      <c r="C243" t="inlineStr">
        <is>
          <t>Small to medium flatfishes (&lt;90 cm)</t>
        </is>
      </c>
      <c r="D243" t="inlineStr">
        <is>
          <t>Flatfishes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1.944</v>
      </c>
      <c r="AB243" t="n">
        <v>1.826</v>
      </c>
      <c r="AC243" t="n">
        <v>1.237</v>
      </c>
      <c r="AD243" t="n">
        <v>0.412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0.038</v>
      </c>
      <c r="BO243" t="n">
        <v>0.034</v>
      </c>
      <c r="BP243" t="n">
        <v>0.03</v>
      </c>
      <c r="BQ243" t="n">
        <v>0.037</v>
      </c>
      <c r="BR243" t="n">
        <v>2.095</v>
      </c>
      <c r="BS243" t="n">
        <v>6.255</v>
      </c>
      <c r="BT243" t="n">
        <v>5.262</v>
      </c>
      <c r="BU243" t="n">
        <v>9.515000000000001</v>
      </c>
      <c r="BV243" t="n">
        <v>18.101</v>
      </c>
    </row>
    <row r="244">
      <c r="A244" t="inlineStr">
        <is>
          <t>Mustelus asterias</t>
        </is>
      </c>
      <c r="B244" t="inlineStr">
        <is>
          <t>Starry smooth-hound</t>
        </is>
      </c>
      <c r="C244" t="inlineStr">
        <is>
          <t>Large sharks (&gt;=90 cm)</t>
        </is>
      </c>
      <c r="D244" t="inlineStr">
        <is>
          <t>Sharks &amp; rays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1.083</v>
      </c>
      <c r="BM244" t="n">
        <v>0.03</v>
      </c>
      <c r="BN244" t="n">
        <v>0.335</v>
      </c>
      <c r="BO244" t="n">
        <v>20.073</v>
      </c>
      <c r="BP244" t="n">
        <v>9.420999999999999</v>
      </c>
      <c r="BQ244" t="n">
        <v>7.439</v>
      </c>
      <c r="BR244" t="n">
        <v>0.246</v>
      </c>
      <c r="BS244" t="n">
        <v>1.537</v>
      </c>
      <c r="BT244" t="n">
        <v>1.494</v>
      </c>
      <c r="BU244" t="n">
        <v>2.779</v>
      </c>
      <c r="BV244" t="n">
        <v>2.082</v>
      </c>
    </row>
    <row r="245">
      <c r="A245" t="inlineStr">
        <is>
          <t>Acipenseridae</t>
        </is>
      </c>
      <c r="B245" t="inlineStr">
        <is>
          <t>Sturgeons</t>
        </is>
      </c>
      <c r="C245" t="inlineStr">
        <is>
          <t>Large demersals (&gt;=90 cm)</t>
        </is>
      </c>
      <c r="D245" t="inlineStr">
        <is>
          <t>Other fishes &amp; inverts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0.491</v>
      </c>
      <c r="R245" t="n">
        <v>0</v>
      </c>
      <c r="S245" t="n">
        <v>0.248</v>
      </c>
      <c r="T245" t="n">
        <v>0</v>
      </c>
      <c r="U245" t="n">
        <v>0</v>
      </c>
      <c r="V245" t="n">
        <v>1.235</v>
      </c>
      <c r="W245" t="n">
        <v>0</v>
      </c>
      <c r="X245" t="n">
        <v>0.248</v>
      </c>
      <c r="Y245" t="n">
        <v>0.248</v>
      </c>
      <c r="Z245" t="n">
        <v>0.987</v>
      </c>
      <c r="AA245" t="n">
        <v>0</v>
      </c>
      <c r="AB245" t="n">
        <v>0.745</v>
      </c>
      <c r="AC245" t="n">
        <v>32.247</v>
      </c>
      <c r="AD245" t="n">
        <v>6.215</v>
      </c>
      <c r="AE245" t="n">
        <v>0</v>
      </c>
      <c r="AF245" t="n">
        <v>0</v>
      </c>
      <c r="AG245" t="n">
        <v>0</v>
      </c>
      <c r="AH245" t="n">
        <v>0</v>
      </c>
      <c r="AI245" t="n">
        <v>0.249</v>
      </c>
      <c r="AJ245" t="n">
        <v>0</v>
      </c>
      <c r="AK245" t="n">
        <v>0</v>
      </c>
      <c r="AL245" t="n">
        <v>0.495</v>
      </c>
      <c r="AM245" t="n">
        <v>0.247</v>
      </c>
      <c r="AN245" t="n">
        <v>0.495</v>
      </c>
      <c r="AO245" t="n">
        <v>0.5590000000000001</v>
      </c>
      <c r="AP245" t="n">
        <v>0.247</v>
      </c>
      <c r="AQ245" t="n">
        <v>0.742</v>
      </c>
      <c r="AR245" t="n">
        <v>0</v>
      </c>
      <c r="AS245" t="n">
        <v>0</v>
      </c>
      <c r="AT245" t="n">
        <v>0.245</v>
      </c>
      <c r="AU245" t="n">
        <v>0</v>
      </c>
      <c r="AV245" t="n">
        <v>0</v>
      </c>
      <c r="AW245" t="n">
        <v>0.248</v>
      </c>
      <c r="AX245" t="n">
        <v>0</v>
      </c>
      <c r="AY245" t="n">
        <v>0</v>
      </c>
      <c r="AZ245" t="n">
        <v>0</v>
      </c>
      <c r="BA245" t="n">
        <v>0.248</v>
      </c>
      <c r="BB245" t="n">
        <v>0.065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</row>
    <row r="246">
      <c r="A246" t="inlineStr">
        <is>
          <t>Alosa fallax</t>
        </is>
      </c>
      <c r="B246" t="inlineStr">
        <is>
          <t>Twaite shad</t>
        </is>
      </c>
      <c r="C246" t="inlineStr">
        <is>
          <t>Medium pelagics (30 - 89 cm)</t>
        </is>
      </c>
      <c r="D246" t="inlineStr">
        <is>
          <t>Herring-likes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0.997</v>
      </c>
      <c r="BD246" t="n">
        <v>0</v>
      </c>
      <c r="BE246" t="n">
        <v>8.227</v>
      </c>
      <c r="BF246" t="n">
        <v>7.978</v>
      </c>
      <c r="BG246" t="n">
        <v>10.222</v>
      </c>
      <c r="BH246" t="n">
        <v>7.978</v>
      </c>
      <c r="BI246" t="n">
        <v>0</v>
      </c>
      <c r="BJ246" t="n">
        <v>0</v>
      </c>
      <c r="BK246" t="n">
        <v>0.997</v>
      </c>
      <c r="BL246" t="n">
        <v>0.997</v>
      </c>
      <c r="BM246" t="n">
        <v>0</v>
      </c>
      <c r="BN246" t="n">
        <v>0.997</v>
      </c>
      <c r="BO246" t="n">
        <v>0</v>
      </c>
      <c r="BP246" t="n">
        <v>0.997</v>
      </c>
      <c r="BQ246" t="n">
        <v>0</v>
      </c>
      <c r="BR246" t="n">
        <v>0.1</v>
      </c>
      <c r="BS246" t="n">
        <v>0</v>
      </c>
      <c r="BT246" t="n">
        <v>0</v>
      </c>
      <c r="BU246" t="n">
        <v>0.527</v>
      </c>
      <c r="BV246" t="n">
        <v>0.447</v>
      </c>
    </row>
    <row r="247">
      <c r="A247" t="inlineStr">
        <is>
          <t>Ciliata mustela</t>
        </is>
      </c>
      <c r="B247" t="inlineStr">
        <is>
          <t>Fivebeard rockling</t>
        </is>
      </c>
      <c r="C247" t="inlineStr">
        <is>
          <t>Small demersals (&lt;30 cm)</t>
        </is>
      </c>
      <c r="D247" t="inlineStr">
        <is>
          <t>Cod-likes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37.023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</row>
    <row r="248">
      <c r="A248" t="inlineStr">
        <is>
          <t>Gadiculus thori</t>
        </is>
      </c>
      <c r="B248" t="inlineStr">
        <is>
          <t>Silvery cod</t>
        </is>
      </c>
      <c r="C248" t="inlineStr">
        <is>
          <t>Small pelagics (&lt;30 cm)</t>
        </is>
      </c>
      <c r="D248" t="inlineStr">
        <is>
          <t>Cod-likes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0.627</v>
      </c>
      <c r="BS248" t="n">
        <v>25.75</v>
      </c>
      <c r="BT248" t="n">
        <v>1.99</v>
      </c>
      <c r="BU248" t="n">
        <v>2.985</v>
      </c>
      <c r="BV248" t="n">
        <v>4.714</v>
      </c>
    </row>
    <row r="249">
      <c r="A249" t="inlineStr">
        <is>
          <t>Octopus vulgaris</t>
        </is>
      </c>
      <c r="B249" t="inlineStr">
        <is>
          <t>Common octopus</t>
        </is>
      </c>
      <c r="C249" t="inlineStr">
        <is>
          <t>Cephalopods</t>
        </is>
      </c>
      <c r="D249" t="inlineStr">
        <is>
          <t>Other fishes &amp; inverts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0.007</v>
      </c>
      <c r="BK249" t="n">
        <v>0</v>
      </c>
      <c r="BL249" t="n">
        <v>0.001</v>
      </c>
      <c r="BM249" t="n">
        <v>0.003</v>
      </c>
      <c r="BN249" t="n">
        <v>1.978</v>
      </c>
      <c r="BO249" t="n">
        <v>0</v>
      </c>
      <c r="BP249" t="n">
        <v>0.997</v>
      </c>
      <c r="BQ249" t="n">
        <v>0.994</v>
      </c>
      <c r="BR249" t="n">
        <v>0.238</v>
      </c>
      <c r="BS249" t="n">
        <v>0.298</v>
      </c>
      <c r="BT249" t="n">
        <v>1.47</v>
      </c>
      <c r="BU249" t="n">
        <v>1.297</v>
      </c>
      <c r="BV249" t="n">
        <v>26.098</v>
      </c>
    </row>
    <row r="250">
      <c r="A250" t="inlineStr">
        <is>
          <t>Isurus oxyrinchus</t>
        </is>
      </c>
      <c r="B250" t="inlineStr">
        <is>
          <t>Shortfin mako</t>
        </is>
      </c>
      <c r="C250" t="inlineStr">
        <is>
          <t>Large sharks (&gt;=90 cm)</t>
        </is>
      </c>
      <c r="D250" t="inlineStr">
        <is>
          <t>Sharks &amp; rays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0.001</v>
      </c>
      <c r="BB250" t="n">
        <v>1</v>
      </c>
      <c r="BC250" t="n">
        <v>0.256</v>
      </c>
      <c r="BD250" t="n">
        <v>0.01</v>
      </c>
      <c r="BE250" t="n">
        <v>0.004</v>
      </c>
      <c r="BF250" t="n">
        <v>0.003</v>
      </c>
      <c r="BG250" t="n">
        <v>0.001</v>
      </c>
      <c r="BH250" t="n">
        <v>0</v>
      </c>
      <c r="BI250" t="n">
        <v>4.479</v>
      </c>
      <c r="BJ250" t="n">
        <v>0.221</v>
      </c>
      <c r="BK250" t="n">
        <v>1.555</v>
      </c>
      <c r="BL250" t="n">
        <v>24.923</v>
      </c>
      <c r="BM250" t="n">
        <v>0.008</v>
      </c>
      <c r="BN250" t="n">
        <v>0.25</v>
      </c>
      <c r="BO250" t="n">
        <v>0.205</v>
      </c>
      <c r="BP250" t="n">
        <v>0</v>
      </c>
      <c r="BQ250" t="n">
        <v>0</v>
      </c>
      <c r="BR250" t="n">
        <v>0</v>
      </c>
      <c r="BS250" t="n">
        <v>0</v>
      </c>
      <c r="BT250" t="n">
        <v>0.002</v>
      </c>
      <c r="BU250" t="n">
        <v>0.036</v>
      </c>
      <c r="BV250" t="n">
        <v>0.04</v>
      </c>
    </row>
    <row r="251">
      <c r="A251" t="inlineStr">
        <is>
          <t>Ctenolabrus rupestris</t>
        </is>
      </c>
      <c r="B251" t="inlineStr">
        <is>
          <t>Goldsinny-wrasse</t>
        </is>
      </c>
      <c r="C251" t="inlineStr">
        <is>
          <t>Small reef assoc. fish (&lt;30 cm)</t>
        </is>
      </c>
      <c r="D251" t="inlineStr">
        <is>
          <t>Perch-likes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4.159</v>
      </c>
      <c r="BS251" t="n">
        <v>0</v>
      </c>
      <c r="BT251" t="n">
        <v>6.443</v>
      </c>
      <c r="BU251" t="n">
        <v>8.470000000000001</v>
      </c>
      <c r="BV251" t="n">
        <v>9.75</v>
      </c>
    </row>
    <row r="252">
      <c r="A252" t="inlineStr">
        <is>
          <t>Atherinidae</t>
        </is>
      </c>
      <c r="B252" t="inlineStr">
        <is>
          <t>Silversides</t>
        </is>
      </c>
      <c r="C252" t="inlineStr">
        <is>
          <t>Small pelagics (&lt;30 cm)</t>
        </is>
      </c>
      <c r="D252" t="inlineStr">
        <is>
          <t>Other fishes &amp; inverts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0.014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2.817</v>
      </c>
      <c r="AQ252" t="n">
        <v>1.867</v>
      </c>
      <c r="AR252" t="n">
        <v>0.043</v>
      </c>
      <c r="AS252" t="n">
        <v>0</v>
      </c>
      <c r="AT252" t="n">
        <v>0.043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0.003</v>
      </c>
      <c r="BE252" t="n">
        <v>0</v>
      </c>
      <c r="BF252" t="n">
        <v>3.716</v>
      </c>
      <c r="BG252" t="n">
        <v>8.368</v>
      </c>
      <c r="BH252" t="n">
        <v>9.186</v>
      </c>
      <c r="BI252" t="n">
        <v>0</v>
      </c>
      <c r="BJ252" t="n">
        <v>0.927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0.107</v>
      </c>
      <c r="BV252" t="n">
        <v>0.119</v>
      </c>
    </row>
    <row r="253">
      <c r="A253" t="inlineStr">
        <is>
          <t>Microchirus</t>
        </is>
      </c>
      <c r="B253" t="inlineStr">
        <is>
          <t>Soles</t>
        </is>
      </c>
      <c r="C253" t="inlineStr">
        <is>
          <t>Small to medium flatfishes (&lt;90 cm)</t>
        </is>
      </c>
      <c r="D253" t="inlineStr">
        <is>
          <t>Flatfishes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0.001</v>
      </c>
      <c r="AX253" t="n">
        <v>0.001</v>
      </c>
      <c r="AY253" t="n">
        <v>3.864</v>
      </c>
      <c r="AZ253" t="n">
        <v>0.002</v>
      </c>
      <c r="BA253" t="n">
        <v>1.934</v>
      </c>
      <c r="BB253" t="n">
        <v>1.377</v>
      </c>
      <c r="BC253" t="n">
        <v>0.97</v>
      </c>
      <c r="BD253" t="n">
        <v>0.248</v>
      </c>
      <c r="BE253" t="n">
        <v>2.914</v>
      </c>
      <c r="BF253" t="n">
        <v>1.949</v>
      </c>
      <c r="BG253" t="n">
        <v>3.888</v>
      </c>
      <c r="BH253" t="n">
        <v>4.857</v>
      </c>
      <c r="BI253" t="n">
        <v>1.951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</row>
    <row r="254">
      <c r="A254" t="inlineStr">
        <is>
          <t>Trachipterus</t>
        </is>
      </c>
      <c r="B254" t="inlineStr">
        <is>
          <t>Ribbonfishes</t>
        </is>
      </c>
      <c r="C254" t="inlineStr">
        <is>
          <t>Large bathypelagics (&gt;=90 cm)</t>
        </is>
      </c>
      <c r="D254" t="inlineStr">
        <is>
          <t>Other fishes &amp; inverts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23.057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0.033</v>
      </c>
      <c r="BS254" t="n">
        <v>0</v>
      </c>
      <c r="BT254" t="n">
        <v>0</v>
      </c>
      <c r="BU254" t="n">
        <v>0.015</v>
      </c>
      <c r="BV254" t="n">
        <v>0.002</v>
      </c>
    </row>
    <row r="255">
      <c r="A255" t="inlineStr">
        <is>
          <t>Todarodes sagittatus</t>
        </is>
      </c>
      <c r="B255" t="inlineStr">
        <is>
          <t>European flying squid</t>
        </is>
      </c>
      <c r="C255" t="inlineStr">
        <is>
          <t>Cephalopods</t>
        </is>
      </c>
      <c r="D255" t="inlineStr">
        <is>
          <t>Other fishes &amp; inverts</t>
        </is>
      </c>
      <c r="E255" t="n">
        <v>0.253</v>
      </c>
      <c r="F255" t="n">
        <v>0.253</v>
      </c>
      <c r="G255" t="n">
        <v>0.253</v>
      </c>
      <c r="H255" t="n">
        <v>0.253</v>
      </c>
      <c r="I255" t="n">
        <v>0.253</v>
      </c>
      <c r="J255" t="n">
        <v>0.253</v>
      </c>
      <c r="K255" t="n">
        <v>0.253</v>
      </c>
      <c r="L255" t="n">
        <v>0.253</v>
      </c>
      <c r="M255" t="n">
        <v>0.253</v>
      </c>
      <c r="N255" t="n">
        <v>0.253</v>
      </c>
      <c r="O255" t="n">
        <v>0.253</v>
      </c>
      <c r="P255" t="n">
        <v>0.034</v>
      </c>
      <c r="Q255" t="n">
        <v>0.046</v>
      </c>
      <c r="R255" t="n">
        <v>0.032</v>
      </c>
      <c r="S255" t="n">
        <v>0.076</v>
      </c>
      <c r="T255" t="n">
        <v>0.097</v>
      </c>
      <c r="U255" t="n">
        <v>0.065</v>
      </c>
      <c r="V255" t="n">
        <v>0.194</v>
      </c>
      <c r="W255" t="n">
        <v>0.097</v>
      </c>
      <c r="X255" t="n">
        <v>0.194</v>
      </c>
      <c r="Y255" t="n">
        <v>0.843</v>
      </c>
      <c r="Z255" t="n">
        <v>1.1</v>
      </c>
      <c r="AA255" t="n">
        <v>0.485</v>
      </c>
      <c r="AB255" t="n">
        <v>0.615</v>
      </c>
      <c r="AC255" t="n">
        <v>0.648</v>
      </c>
      <c r="AD255" t="n">
        <v>0.681</v>
      </c>
      <c r="AE255" t="n">
        <v>0.202</v>
      </c>
      <c r="AF255" t="n">
        <v>0</v>
      </c>
      <c r="AG255" t="n">
        <v>0.115</v>
      </c>
      <c r="AH255" t="n">
        <v>0.08699999999999999</v>
      </c>
      <c r="AI255" t="n">
        <v>0</v>
      </c>
      <c r="AJ255" t="n">
        <v>0</v>
      </c>
      <c r="AK255" t="n">
        <v>0.003</v>
      </c>
      <c r="AL255" t="n">
        <v>0.06</v>
      </c>
      <c r="AM255" t="n">
        <v>0</v>
      </c>
      <c r="AN255" t="n">
        <v>0.318</v>
      </c>
      <c r="AO255" t="n">
        <v>0.577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0.024</v>
      </c>
      <c r="BB255" t="n">
        <v>0.024</v>
      </c>
      <c r="BC255" t="n">
        <v>0.013</v>
      </c>
      <c r="BD255" t="n">
        <v>0.003</v>
      </c>
      <c r="BE255" t="n">
        <v>0.016</v>
      </c>
      <c r="BF255" t="n">
        <v>0.057</v>
      </c>
      <c r="BG255" t="n">
        <v>0.003</v>
      </c>
      <c r="BH255" t="n">
        <v>0.054</v>
      </c>
      <c r="BI255" t="n">
        <v>0.001</v>
      </c>
      <c r="BJ255" t="n">
        <v>0</v>
      </c>
      <c r="BK255" t="n">
        <v>0.05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1.29</v>
      </c>
      <c r="BU255" t="n">
        <v>1.478</v>
      </c>
      <c r="BV255" t="n">
        <v>7.993</v>
      </c>
    </row>
    <row r="256">
      <c r="A256" t="inlineStr">
        <is>
          <t>Hydrolagus</t>
        </is>
      </c>
      <c r="B256" t="inlineStr">
        <is>
          <t>Ghostsharks</t>
        </is>
      </c>
      <c r="C256" t="inlineStr">
        <is>
          <t>Small to medium rays (&lt;90 cm)</t>
        </is>
      </c>
      <c r="D256" t="inlineStr">
        <is>
          <t>Sharks &amp; rays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0.05</v>
      </c>
      <c r="BF256" t="n">
        <v>0.402</v>
      </c>
      <c r="BG256" t="n">
        <v>1.021</v>
      </c>
      <c r="BH256" t="n">
        <v>0.87</v>
      </c>
      <c r="BI256" t="n">
        <v>0.87</v>
      </c>
      <c r="BJ256" t="n">
        <v>0</v>
      </c>
      <c r="BK256" t="n">
        <v>0</v>
      </c>
      <c r="BL256" t="n">
        <v>0</v>
      </c>
      <c r="BM256" t="n">
        <v>0</v>
      </c>
      <c r="BN256" t="n">
        <v>3.664</v>
      </c>
      <c r="BO256" t="n">
        <v>3.242</v>
      </c>
      <c r="BP256" t="n">
        <v>1.472</v>
      </c>
      <c r="BQ256" t="n">
        <v>1.272</v>
      </c>
      <c r="BR256" t="n">
        <v>1.783</v>
      </c>
      <c r="BS256" t="n">
        <v>1.364</v>
      </c>
      <c r="BT256" t="n">
        <v>0.494</v>
      </c>
      <c r="BU256" t="n">
        <v>1.123</v>
      </c>
      <c r="BV256" t="n">
        <v>1.611</v>
      </c>
    </row>
    <row r="257">
      <c r="A257" t="inlineStr">
        <is>
          <t>Glycymeris glycymeris</t>
        </is>
      </c>
      <c r="B257" t="inlineStr">
        <is>
          <t>Dog cockle</t>
        </is>
      </c>
      <c r="C257" t="inlineStr">
        <is>
          <t>Other demersal invertebrates</t>
        </is>
      </c>
      <c r="D257" t="inlineStr">
        <is>
          <t>Molluscs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0.003</v>
      </c>
      <c r="AT257" t="n">
        <v>0.026</v>
      </c>
      <c r="AU257" t="n">
        <v>0</v>
      </c>
      <c r="AV257" t="n">
        <v>0.005</v>
      </c>
      <c r="AW257" t="n">
        <v>0.003</v>
      </c>
      <c r="AX257" t="n">
        <v>0</v>
      </c>
      <c r="AY257" t="n">
        <v>0</v>
      </c>
      <c r="AZ257" t="n">
        <v>0</v>
      </c>
      <c r="BA257" t="n">
        <v>12.082</v>
      </c>
      <c r="BB257" t="n">
        <v>4.829</v>
      </c>
      <c r="BC257" t="n">
        <v>0</v>
      </c>
      <c r="BD257" t="n">
        <v>0.004</v>
      </c>
      <c r="BE257" t="n">
        <v>0.067</v>
      </c>
      <c r="BF257" t="n">
        <v>0.004</v>
      </c>
      <c r="BG257" t="n">
        <v>0.013</v>
      </c>
      <c r="BH257" t="n">
        <v>0</v>
      </c>
      <c r="BI257" t="n">
        <v>0.016</v>
      </c>
      <c r="BJ257" t="n">
        <v>0.021</v>
      </c>
      <c r="BK257" t="n">
        <v>0.021</v>
      </c>
      <c r="BL257" t="n">
        <v>0.028</v>
      </c>
      <c r="BM257" t="n">
        <v>0.195</v>
      </c>
      <c r="BN257" t="n">
        <v>0.005</v>
      </c>
      <c r="BO257" t="n">
        <v>0.001</v>
      </c>
      <c r="BP257" t="n">
        <v>0</v>
      </c>
      <c r="BQ257" t="n">
        <v>0.003</v>
      </c>
      <c r="BR257" t="n">
        <v>0.001</v>
      </c>
      <c r="BS257" t="n">
        <v>0.001</v>
      </c>
      <c r="BT257" t="n">
        <v>0.103</v>
      </c>
      <c r="BU257" t="n">
        <v>0.319</v>
      </c>
      <c r="BV257" t="n">
        <v>1.431</v>
      </c>
    </row>
    <row r="258">
      <c r="A258" t="inlineStr">
        <is>
          <t>Thunnus albacares</t>
        </is>
      </c>
      <c r="B258" t="inlineStr">
        <is>
          <t>Yellowfin tuna</t>
        </is>
      </c>
      <c r="C258" t="inlineStr">
        <is>
          <t>Large pelagics (&gt;=90 cm)</t>
        </is>
      </c>
      <c r="D258" t="inlineStr">
        <is>
          <t>Tuna &amp; billfishes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0.028</v>
      </c>
      <c r="BM258" t="n">
        <v>6.33</v>
      </c>
      <c r="BN258" t="n">
        <v>5.76</v>
      </c>
      <c r="BO258" t="n">
        <v>6.045</v>
      </c>
      <c r="BP258" t="n">
        <v>0.393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</row>
    <row r="259">
      <c r="A259" t="inlineStr">
        <is>
          <t>Cyprinus carpio</t>
        </is>
      </c>
      <c r="B259" t="inlineStr">
        <is>
          <t>Common carp</t>
        </is>
      </c>
      <c r="C259" t="inlineStr">
        <is>
          <t>Large benthopelagics (&gt;=90 cm)</t>
        </is>
      </c>
      <c r="D259" t="inlineStr">
        <is>
          <t>Other fishes &amp; inverts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0.776</v>
      </c>
      <c r="AD259" t="n">
        <v>0.504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0.077</v>
      </c>
      <c r="AL259" t="n">
        <v>0.333</v>
      </c>
      <c r="AM259" t="n">
        <v>0.257</v>
      </c>
      <c r="AN259" t="n">
        <v>0.339</v>
      </c>
      <c r="AO259" t="n">
        <v>0.549</v>
      </c>
      <c r="AP259" t="n">
        <v>0.637</v>
      </c>
      <c r="AQ259" t="n">
        <v>0.861</v>
      </c>
      <c r="AR259" t="n">
        <v>0.772</v>
      </c>
      <c r="AS259" t="n">
        <v>1.147</v>
      </c>
      <c r="AT259" t="n">
        <v>0</v>
      </c>
      <c r="AU259" t="n">
        <v>0.036</v>
      </c>
      <c r="AV259" t="n">
        <v>0.376</v>
      </c>
      <c r="AW259" t="n">
        <v>0.344</v>
      </c>
      <c r="AX259" t="n">
        <v>0.038</v>
      </c>
      <c r="AY259" t="n">
        <v>0</v>
      </c>
      <c r="AZ259" t="n">
        <v>0.037</v>
      </c>
      <c r="BA259" t="n">
        <v>0.248</v>
      </c>
      <c r="BB259" t="n">
        <v>0.283</v>
      </c>
      <c r="BC259" t="n">
        <v>0</v>
      </c>
      <c r="BD259" t="n">
        <v>0</v>
      </c>
      <c r="BE259" t="n">
        <v>10.022</v>
      </c>
      <c r="BF259" t="n">
        <v>0.424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0.01</v>
      </c>
      <c r="BS259" t="n">
        <v>0</v>
      </c>
      <c r="BT259" t="n">
        <v>0</v>
      </c>
      <c r="BU259" t="n">
        <v>0.074</v>
      </c>
      <c r="BV259" t="n">
        <v>0</v>
      </c>
    </row>
    <row r="260">
      <c r="A260" t="inlineStr">
        <is>
          <t>Peristediidae</t>
        </is>
      </c>
      <c r="B260" t="inlineStr">
        <is>
          <t>Armored searobins, gurnards</t>
        </is>
      </c>
      <c r="C260" t="inlineStr">
        <is>
          <t>Medium bathydemersals (30 - 89 cm)</t>
        </is>
      </c>
      <c r="D260" t="inlineStr">
        <is>
          <t>Scorpionfishes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0.067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6.108</v>
      </c>
      <c r="BJ260" t="n">
        <v>6.544</v>
      </c>
      <c r="BK260" t="n">
        <v>4.799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</row>
    <row r="261">
      <c r="A261" t="inlineStr">
        <is>
          <t>Mercenaria mercenaria</t>
        </is>
      </c>
      <c r="B261" t="inlineStr">
        <is>
          <t>Northern quahog</t>
        </is>
      </c>
      <c r="C261" t="inlineStr">
        <is>
          <t>Other demersal invertebrates</t>
        </is>
      </c>
      <c r="D261" t="inlineStr">
        <is>
          <t>Molluscs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0.222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3.19</v>
      </c>
      <c r="BO261" t="n">
        <v>3.99</v>
      </c>
      <c r="BP261" t="n">
        <v>0</v>
      </c>
      <c r="BQ261" t="n">
        <v>0.16</v>
      </c>
      <c r="BR261" t="n">
        <v>0.08</v>
      </c>
      <c r="BS261" t="n">
        <v>0</v>
      </c>
      <c r="BT261" t="n">
        <v>0</v>
      </c>
      <c r="BU261" t="n">
        <v>0.007</v>
      </c>
      <c r="BV261" t="n">
        <v>9.194000000000001</v>
      </c>
    </row>
    <row r="262">
      <c r="A262" t="inlineStr">
        <is>
          <t>Scorpaena</t>
        </is>
      </c>
      <c r="B262" t="inlineStr">
        <is>
          <t>Scorpionfishes</t>
        </is>
      </c>
      <c r="C262" t="inlineStr">
        <is>
          <t>Large reef assoc. fish (&gt;=90 cm)</t>
        </is>
      </c>
      <c r="D262" t="inlineStr">
        <is>
          <t>Scorpionfishes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7.933</v>
      </c>
      <c r="BO262" t="n">
        <v>0.994</v>
      </c>
      <c r="BP262" t="n">
        <v>0.004</v>
      </c>
      <c r="BQ262" t="n">
        <v>0</v>
      </c>
      <c r="BR262" t="n">
        <v>0.022</v>
      </c>
      <c r="BS262" t="n">
        <v>0.02</v>
      </c>
      <c r="BT262" t="n">
        <v>2.627</v>
      </c>
      <c r="BU262" t="n">
        <v>2.532</v>
      </c>
      <c r="BV262" t="n">
        <v>0.787</v>
      </c>
    </row>
    <row r="263">
      <c r="A263" t="inlineStr">
        <is>
          <t>Anomura</t>
        </is>
      </c>
      <c r="B263" t="inlineStr">
        <is>
          <t>Craylets, squat lobsters, hermits</t>
        </is>
      </c>
      <c r="C263" t="inlineStr">
        <is>
          <t>Lobsters, crabs</t>
        </is>
      </c>
      <c r="D263" t="inlineStr">
        <is>
          <t>Crustaceans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0.153</v>
      </c>
      <c r="AS263" t="n">
        <v>0.23</v>
      </c>
      <c r="AT263" t="n">
        <v>0.634</v>
      </c>
      <c r="AU263" t="n">
        <v>0.769</v>
      </c>
      <c r="AV263" t="n">
        <v>0.769</v>
      </c>
      <c r="AW263" t="n">
        <v>1.155</v>
      </c>
      <c r="AX263" t="n">
        <v>0.784</v>
      </c>
      <c r="AY263" t="n">
        <v>2.174</v>
      </c>
      <c r="AZ263" t="n">
        <v>0.9389999999999999</v>
      </c>
      <c r="BA263" t="n">
        <v>0</v>
      </c>
      <c r="BB263" t="n">
        <v>2.638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3.04</v>
      </c>
      <c r="BK263" t="n">
        <v>1.314</v>
      </c>
      <c r="BL263" t="n">
        <v>0.155</v>
      </c>
      <c r="BM263" t="n">
        <v>0.076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0.008</v>
      </c>
      <c r="BV263" t="n">
        <v>0.008999999999999999</v>
      </c>
    </row>
    <row r="264">
      <c r="A264" t="inlineStr">
        <is>
          <t>Lithodidae</t>
        </is>
      </c>
      <c r="B264" t="inlineStr">
        <is>
          <t>Stone/king crabs</t>
        </is>
      </c>
      <c r="C264" t="inlineStr">
        <is>
          <t>Lobsters, crabs</t>
        </is>
      </c>
      <c r="D264" t="inlineStr">
        <is>
          <t>Crustaceans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7.693</v>
      </c>
      <c r="BO264" t="n">
        <v>6.095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</row>
    <row r="265">
      <c r="A265" t="inlineStr">
        <is>
          <t>Dalatias licha</t>
        </is>
      </c>
      <c r="B265" t="inlineStr">
        <is>
          <t>Kitefin shark</t>
        </is>
      </c>
      <c r="C265" t="inlineStr">
        <is>
          <t>Large sharks (&gt;=90 cm)</t>
        </is>
      </c>
      <c r="D265" t="inlineStr">
        <is>
          <t>Sharks &amp; rays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7.238</v>
      </c>
      <c r="BG265" t="n">
        <v>3.969</v>
      </c>
      <c r="BH265" t="n">
        <v>0.6929999999999999</v>
      </c>
      <c r="BI265" t="n">
        <v>0.858</v>
      </c>
      <c r="BJ265" t="n">
        <v>0.07000000000000001</v>
      </c>
      <c r="BK265" t="n">
        <v>0</v>
      </c>
      <c r="BL265" t="n">
        <v>0.008999999999999999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</row>
    <row r="266">
      <c r="A266" t="inlineStr">
        <is>
          <t>Microchirus variegatus</t>
        </is>
      </c>
      <c r="B266" t="inlineStr">
        <is>
          <t>Thickback sole</t>
        </is>
      </c>
      <c r="C266" t="inlineStr">
        <is>
          <t>Small to medium flatfishes (&lt;90 cm)</t>
        </is>
      </c>
      <c r="D266" t="inlineStr">
        <is>
          <t>Flatfishes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0.155</v>
      </c>
      <c r="BG266" t="n">
        <v>0</v>
      </c>
      <c r="BH266" t="n">
        <v>0</v>
      </c>
      <c r="BI266" t="n">
        <v>0</v>
      </c>
      <c r="BJ266" t="n">
        <v>3.872</v>
      </c>
      <c r="BK266" t="n">
        <v>0.975</v>
      </c>
      <c r="BL266" t="n">
        <v>0.976</v>
      </c>
      <c r="BM266" t="n">
        <v>3.865</v>
      </c>
      <c r="BN266" t="n">
        <v>0.007</v>
      </c>
      <c r="BO266" t="n">
        <v>0.007</v>
      </c>
      <c r="BP266" t="n">
        <v>0.008999999999999999</v>
      </c>
      <c r="BQ266" t="n">
        <v>0.01</v>
      </c>
      <c r="BR266" t="n">
        <v>0.2</v>
      </c>
      <c r="BS266" t="n">
        <v>0.533</v>
      </c>
      <c r="BT266" t="n">
        <v>0.07199999999999999</v>
      </c>
      <c r="BU266" t="n">
        <v>0.079</v>
      </c>
      <c r="BV266" t="n">
        <v>0.043</v>
      </c>
    </row>
    <row r="267">
      <c r="A267" t="inlineStr">
        <is>
          <t>Amblyraja hyperborea</t>
        </is>
      </c>
      <c r="B267" t="inlineStr">
        <is>
          <t>Arctic skate</t>
        </is>
      </c>
      <c r="C267" t="inlineStr">
        <is>
          <t>Small to medium rays (&lt;90 cm)</t>
        </is>
      </c>
      <c r="D267" t="inlineStr">
        <is>
          <t>Sharks &amp; rays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0.247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0.19</v>
      </c>
      <c r="BP267" t="n">
        <v>1.1</v>
      </c>
      <c r="BQ267" t="n">
        <v>0.251</v>
      </c>
      <c r="BR267" t="n">
        <v>0</v>
      </c>
      <c r="BS267" t="n">
        <v>0.03</v>
      </c>
      <c r="BT267" t="n">
        <v>4.187</v>
      </c>
      <c r="BU267" t="n">
        <v>2.934</v>
      </c>
      <c r="BV267" t="n">
        <v>1.394</v>
      </c>
    </row>
    <row r="268">
      <c r="A268" t="inlineStr">
        <is>
          <t>Centrophorus squamosus</t>
        </is>
      </c>
      <c r="B268" t="inlineStr">
        <is>
          <t>Leafscale gulper shark</t>
        </is>
      </c>
      <c r="C268" t="inlineStr">
        <is>
          <t>Large sharks (&gt;=90 cm)</t>
        </is>
      </c>
      <c r="D268" t="inlineStr">
        <is>
          <t>Sharks &amp; rays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0.038</v>
      </c>
      <c r="BA268" t="n">
        <v>0.003</v>
      </c>
      <c r="BB268" t="n">
        <v>0</v>
      </c>
      <c r="BC268" t="n">
        <v>0</v>
      </c>
      <c r="BD268" t="n">
        <v>0</v>
      </c>
      <c r="BE268" t="n">
        <v>0</v>
      </c>
      <c r="BF268" t="n">
        <v>4.565</v>
      </c>
      <c r="BG268" t="n">
        <v>4.6</v>
      </c>
      <c r="BH268" t="n">
        <v>0.406</v>
      </c>
      <c r="BI268" t="n">
        <v>0.389</v>
      </c>
      <c r="BJ268" t="n">
        <v>0.097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0.005</v>
      </c>
      <c r="BT268" t="n">
        <v>0</v>
      </c>
      <c r="BU268" t="n">
        <v>0</v>
      </c>
      <c r="BV268" t="n">
        <v>0</v>
      </c>
    </row>
    <row r="269">
      <c r="A269" t="inlineStr">
        <is>
          <t>Etmopterus spinax</t>
        </is>
      </c>
      <c r="B269" t="inlineStr">
        <is>
          <t>Velvet belly</t>
        </is>
      </c>
      <c r="C269" t="inlineStr">
        <is>
          <t>Small to medium sharks (&lt;90 cm)</t>
        </is>
      </c>
      <c r="D269" t="inlineStr">
        <is>
          <t>Sharks &amp; rays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0.249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2.822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0.24</v>
      </c>
      <c r="BO269" t="n">
        <v>0</v>
      </c>
      <c r="BP269" t="n">
        <v>0.01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6.779</v>
      </c>
    </row>
    <row r="270">
      <c r="A270" t="inlineStr">
        <is>
          <t>Lepidopus caudatus</t>
        </is>
      </c>
      <c r="B270" t="inlineStr">
        <is>
          <t>Silver scabbardfish</t>
        </is>
      </c>
      <c r="C270" t="inlineStr">
        <is>
          <t>Large bathydemersals (&gt;=90 cm)</t>
        </is>
      </c>
      <c r="D270" t="inlineStr">
        <is>
          <t>Perch-likes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0.717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0.538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1.223</v>
      </c>
      <c r="BD270" t="n">
        <v>0.331</v>
      </c>
      <c r="BE270" t="n">
        <v>0.27</v>
      </c>
      <c r="BF270" t="n">
        <v>0.082</v>
      </c>
      <c r="BG270" t="n">
        <v>0.717</v>
      </c>
      <c r="BH270" t="n">
        <v>1.613</v>
      </c>
      <c r="BI270" t="n">
        <v>1.613</v>
      </c>
      <c r="BJ270" t="n">
        <v>1.494</v>
      </c>
      <c r="BK270" t="n">
        <v>0.293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0.018</v>
      </c>
      <c r="BU270" t="n">
        <v>0.386</v>
      </c>
      <c r="BV270" t="n">
        <v>0.431</v>
      </c>
    </row>
    <row r="271">
      <c r="A271" t="inlineStr">
        <is>
          <t>Decapoda</t>
        </is>
      </c>
      <c r="B271" t="inlineStr">
        <is>
          <t>Crabs, lobsters, shrimps</t>
        </is>
      </c>
      <c r="C271" t="inlineStr">
        <is>
          <t>Lobsters, crabs</t>
        </is>
      </c>
      <c r="D271" t="inlineStr">
        <is>
          <t>Crustaceans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0.249</v>
      </c>
      <c r="BF271" t="n">
        <v>0.249</v>
      </c>
      <c r="BG271" t="n">
        <v>0.249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0.149</v>
      </c>
      <c r="BT271" t="n">
        <v>0</v>
      </c>
      <c r="BU271" t="n">
        <v>4.737</v>
      </c>
      <c r="BV271" t="n">
        <v>4.06</v>
      </c>
    </row>
    <row r="272">
      <c r="A272" t="inlineStr">
        <is>
          <t>Polyprion americanus</t>
        </is>
      </c>
      <c r="B272" t="inlineStr">
        <is>
          <t>Wreckfish</t>
        </is>
      </c>
      <c r="C272" t="inlineStr">
        <is>
          <t>Large bathydemersals (&gt;=90 cm)</t>
        </is>
      </c>
      <c r="D272" t="inlineStr">
        <is>
          <t>Perch-likes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1.074</v>
      </c>
      <c r="BJ272" t="n">
        <v>1.45</v>
      </c>
      <c r="BK272" t="n">
        <v>0.644</v>
      </c>
      <c r="BL272" t="n">
        <v>0.07199999999999999</v>
      </c>
      <c r="BM272" t="n">
        <v>0</v>
      </c>
      <c r="BN272" t="n">
        <v>4.427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0.007</v>
      </c>
      <c r="BU272" t="n">
        <v>0.06900000000000001</v>
      </c>
      <c r="BV272" t="n">
        <v>1.852</v>
      </c>
    </row>
    <row r="273">
      <c r="A273" t="inlineStr">
        <is>
          <t>Maurolicus muelleri</t>
        </is>
      </c>
      <c r="B273" t="inlineStr">
        <is>
          <t>Silvery lightfish</t>
        </is>
      </c>
      <c r="C273" t="inlineStr">
        <is>
          <t>Small bathypelagics (&lt;30 cm)</t>
        </is>
      </c>
      <c r="D273" t="inlineStr">
        <is>
          <t>Other fishes &amp; inverts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9.568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</row>
    <row r="274">
      <c r="A274" t="inlineStr">
        <is>
          <t>Palinurus</t>
        </is>
      </c>
      <c r="B274" t="inlineStr">
        <is>
          <t>Spiny lobsters</t>
        </is>
      </c>
      <c r="C274" t="inlineStr">
        <is>
          <t>Lobsters, crabs</t>
        </is>
      </c>
      <c r="D274" t="inlineStr">
        <is>
          <t>Crustaceans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1.507</v>
      </c>
      <c r="BO274" t="n">
        <v>1.871</v>
      </c>
      <c r="BP274" t="n">
        <v>4.287</v>
      </c>
      <c r="BQ274" t="n">
        <v>0.42</v>
      </c>
      <c r="BR274" t="n">
        <v>0.58</v>
      </c>
      <c r="BS274" t="n">
        <v>0.163</v>
      </c>
      <c r="BT274" t="n">
        <v>0.174</v>
      </c>
      <c r="BU274" t="n">
        <v>0.066</v>
      </c>
      <c r="BV274" t="n">
        <v>0.322</v>
      </c>
    </row>
    <row r="275">
      <c r="A275" t="inlineStr">
        <is>
          <t>Mytilus</t>
        </is>
      </c>
      <c r="B275" t="inlineStr">
        <is>
          <t>Edible sea mussels</t>
        </is>
      </c>
      <c r="C275" t="inlineStr">
        <is>
          <t>Other demersal invertebrates</t>
        </is>
      </c>
      <c r="D275" t="inlineStr">
        <is>
          <t>Molluscs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1.329</v>
      </c>
      <c r="BK275" t="n">
        <v>1.3</v>
      </c>
      <c r="BL275" t="n">
        <v>0</v>
      </c>
      <c r="BM275" t="n">
        <v>0</v>
      </c>
      <c r="BN275" t="n">
        <v>1.098</v>
      </c>
      <c r="BO275" t="n">
        <v>1.851</v>
      </c>
      <c r="BP275" t="n">
        <v>1.073</v>
      </c>
      <c r="BQ275" t="n">
        <v>0.982</v>
      </c>
      <c r="BR275" t="n">
        <v>0.471</v>
      </c>
      <c r="BS275" t="n">
        <v>0.26</v>
      </c>
      <c r="BT275" t="n">
        <v>0.252</v>
      </c>
      <c r="BU275" t="n">
        <v>0.059</v>
      </c>
      <c r="BV275" t="n">
        <v>0.049</v>
      </c>
    </row>
    <row r="276">
      <c r="A276" t="inlineStr">
        <is>
          <t>Atherina presbyter</t>
        </is>
      </c>
      <c r="B276" t="inlineStr">
        <is>
          <t>Sand smelt</t>
        </is>
      </c>
      <c r="C276" t="inlineStr">
        <is>
          <t>Small pelagics (&lt;30 cm)</t>
        </is>
      </c>
      <c r="D276" t="inlineStr">
        <is>
          <t>Other fishes &amp; inverts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7.717</v>
      </c>
      <c r="BJ276" t="n">
        <v>0</v>
      </c>
      <c r="BK276" t="n">
        <v>0.241</v>
      </c>
      <c r="BL276" t="n">
        <v>0.241</v>
      </c>
      <c r="BM276" t="n">
        <v>0</v>
      </c>
      <c r="BN276" t="n">
        <v>0</v>
      </c>
      <c r="BO276" t="n">
        <v>0</v>
      </c>
      <c r="BP276" t="n">
        <v>0</v>
      </c>
      <c r="BQ276" t="n">
        <v>0.01</v>
      </c>
      <c r="BR276" t="n">
        <v>0</v>
      </c>
      <c r="BS276" t="n">
        <v>0</v>
      </c>
      <c r="BT276" t="n">
        <v>0</v>
      </c>
      <c r="BU276" t="n">
        <v>0.008999999999999999</v>
      </c>
      <c r="BV276" t="n">
        <v>0</v>
      </c>
    </row>
    <row r="277">
      <c r="A277" t="inlineStr">
        <is>
          <t>Rajella lintea</t>
        </is>
      </c>
      <c r="B277" t="inlineStr">
        <is>
          <t>Sailray</t>
        </is>
      </c>
      <c r="C277" t="inlineStr">
        <is>
          <t>Large rays (&gt;=90 cm)</t>
        </is>
      </c>
      <c r="D277" t="inlineStr">
        <is>
          <t>Sharks &amp; rays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4.083</v>
      </c>
      <c r="BV277" t="n">
        <v>3.578</v>
      </c>
    </row>
    <row r="278">
      <c r="A278" t="inlineStr">
        <is>
          <t>Tinca tinca</t>
        </is>
      </c>
      <c r="B278" t="inlineStr">
        <is>
          <t>Tench</t>
        </is>
      </c>
      <c r="C278" t="inlineStr">
        <is>
          <t>Medium demersals (30 - 89 cm)</t>
        </is>
      </c>
      <c r="D278" t="inlineStr">
        <is>
          <t>Other fishes &amp; inverts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0.991</v>
      </c>
      <c r="AL278" t="n">
        <v>0.092</v>
      </c>
      <c r="AM278" t="n">
        <v>0.246</v>
      </c>
      <c r="AN278" t="n">
        <v>1.079</v>
      </c>
      <c r="AO278" t="n">
        <v>0.38</v>
      </c>
      <c r="AP278" t="n">
        <v>0.342</v>
      </c>
      <c r="AQ278" t="n">
        <v>0.343</v>
      </c>
      <c r="AR278" t="n">
        <v>0.886</v>
      </c>
      <c r="AS278" t="n">
        <v>0.384</v>
      </c>
      <c r="AT278" t="n">
        <v>0</v>
      </c>
      <c r="AU278" t="n">
        <v>0.098</v>
      </c>
      <c r="AV278" t="n">
        <v>0.345</v>
      </c>
      <c r="AW278" t="n">
        <v>0.536</v>
      </c>
      <c r="AX278" t="n">
        <v>0</v>
      </c>
      <c r="AY278" t="n">
        <v>0.246</v>
      </c>
      <c r="AZ278" t="n">
        <v>0</v>
      </c>
      <c r="BA278" t="n">
        <v>0.347</v>
      </c>
      <c r="BB278" t="n">
        <v>0.346</v>
      </c>
      <c r="BC278" t="n">
        <v>0</v>
      </c>
      <c r="BD278" t="n">
        <v>0.039</v>
      </c>
      <c r="BE278" t="n">
        <v>0.133</v>
      </c>
      <c r="BF278" t="n">
        <v>0.093</v>
      </c>
      <c r="BG278" t="n">
        <v>0.092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0.02</v>
      </c>
      <c r="BS278" t="n">
        <v>0.039</v>
      </c>
      <c r="BT278" t="n">
        <v>0</v>
      </c>
      <c r="BU278" t="n">
        <v>0</v>
      </c>
      <c r="BV278" t="n">
        <v>0</v>
      </c>
    </row>
    <row r="279">
      <c r="A279" t="inlineStr">
        <is>
          <t>Moridae</t>
        </is>
      </c>
      <c r="B279" t="inlineStr">
        <is>
          <t>Codlings, moras</t>
        </is>
      </c>
      <c r="C279" t="inlineStr">
        <is>
          <t>Medium benthopelagics (30 - 89 cm)</t>
        </is>
      </c>
      <c r="D279" t="inlineStr">
        <is>
          <t>Cod-likes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1.489</v>
      </c>
      <c r="BB279" t="n">
        <v>1.092</v>
      </c>
      <c r="BC279" t="n">
        <v>0.777</v>
      </c>
      <c r="BD279" t="n">
        <v>0.777</v>
      </c>
      <c r="BE279" t="n">
        <v>0.194</v>
      </c>
      <c r="BF279" t="n">
        <v>0</v>
      </c>
      <c r="BG279" t="n">
        <v>0</v>
      </c>
      <c r="BH279" t="n">
        <v>0.583</v>
      </c>
      <c r="BI279" t="n">
        <v>0.777</v>
      </c>
      <c r="BJ279" t="n">
        <v>0.518</v>
      </c>
      <c r="BK279" t="n">
        <v>0.518</v>
      </c>
      <c r="BL279" t="n">
        <v>0</v>
      </c>
      <c r="BM279" t="n">
        <v>0.065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</row>
    <row r="280">
      <c r="A280" t="inlineStr">
        <is>
          <t>Mytilidae</t>
        </is>
      </c>
      <c r="B280" t="inlineStr">
        <is>
          <t>Sea mussels</t>
        </is>
      </c>
      <c r="C280" t="inlineStr">
        <is>
          <t>Other demersal invertebrates</t>
        </is>
      </c>
      <c r="D280" t="inlineStr">
        <is>
          <t>Molluscs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0.105</v>
      </c>
      <c r="AS280" t="n">
        <v>0.005</v>
      </c>
      <c r="AT280" t="n">
        <v>0.663</v>
      </c>
      <c r="AU280" t="n">
        <v>0.361</v>
      </c>
      <c r="AV280" t="n">
        <v>0.698</v>
      </c>
      <c r="AW280" t="n">
        <v>1.178</v>
      </c>
      <c r="AX280" t="n">
        <v>1.2</v>
      </c>
      <c r="AY280" t="n">
        <v>0.635</v>
      </c>
      <c r="AZ280" t="n">
        <v>0</v>
      </c>
      <c r="BA280" t="n">
        <v>0</v>
      </c>
      <c r="BB280" t="n">
        <v>0</v>
      </c>
      <c r="BC280" t="n">
        <v>1.046</v>
      </c>
      <c r="BD280" t="n">
        <v>0.647</v>
      </c>
      <c r="BE280" t="n">
        <v>0</v>
      </c>
      <c r="BF280" t="n">
        <v>0</v>
      </c>
      <c r="BG280" t="n">
        <v>0</v>
      </c>
      <c r="BH280" t="n">
        <v>0</v>
      </c>
      <c r="BI280" t="n">
        <v>0.001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</row>
    <row r="281">
      <c r="A281" t="inlineStr">
        <is>
          <t>Palaemonidae</t>
        </is>
      </c>
      <c r="B281" t="inlineStr">
        <is>
          <t>Clawed shrimps</t>
        </is>
      </c>
      <c r="C281" t="inlineStr">
        <is>
          <t>Shrimps</t>
        </is>
      </c>
      <c r="D281" t="inlineStr">
        <is>
          <t>Crustaceans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0.063</v>
      </c>
      <c r="AT281" t="n">
        <v>0.063</v>
      </c>
      <c r="AU281" t="n">
        <v>0.031</v>
      </c>
      <c r="AV281" t="n">
        <v>0.22</v>
      </c>
      <c r="AW281" t="n">
        <v>0</v>
      </c>
      <c r="AX281" t="n">
        <v>0.157</v>
      </c>
      <c r="AY281" t="n">
        <v>0.126</v>
      </c>
      <c r="AZ281" t="n">
        <v>0.22</v>
      </c>
      <c r="BA281" t="n">
        <v>0.189</v>
      </c>
      <c r="BB281" t="n">
        <v>0.22</v>
      </c>
      <c r="BC281" t="n">
        <v>0.88</v>
      </c>
      <c r="BD281" t="n">
        <v>0.597</v>
      </c>
      <c r="BE281" t="n">
        <v>0.189</v>
      </c>
      <c r="BF281" t="n">
        <v>0.629</v>
      </c>
      <c r="BG281" t="n">
        <v>0.334</v>
      </c>
      <c r="BH281" t="n">
        <v>1.008</v>
      </c>
      <c r="BI281" t="n">
        <v>0.466</v>
      </c>
      <c r="BJ281" t="n">
        <v>0</v>
      </c>
      <c r="BK281" t="n">
        <v>0.752</v>
      </c>
      <c r="BL281" t="n">
        <v>0.062</v>
      </c>
      <c r="BM281" t="n">
        <v>0.159</v>
      </c>
      <c r="BN281" t="n">
        <v>0.077</v>
      </c>
      <c r="BO281" t="n">
        <v>0</v>
      </c>
      <c r="BP281" t="n">
        <v>0.031</v>
      </c>
      <c r="BQ281" t="n">
        <v>0.031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</row>
    <row r="282">
      <c r="A282" t="inlineStr">
        <is>
          <t>Echinoidea</t>
        </is>
      </c>
      <c r="B282" t="inlineStr">
        <is>
          <t>Sea urchins, sea hedgehogs</t>
        </is>
      </c>
      <c r="C282" t="inlineStr">
        <is>
          <t>Other demersal invertebrates</t>
        </is>
      </c>
      <c r="D282" t="inlineStr">
        <is>
          <t>Other fishes &amp; inverts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0.249</v>
      </c>
      <c r="AS282" t="n">
        <v>0.249</v>
      </c>
      <c r="AT282" t="n">
        <v>0.747</v>
      </c>
      <c r="AU282" t="n">
        <v>0.249</v>
      </c>
      <c r="AV282" t="n">
        <v>0</v>
      </c>
      <c r="AW282" t="n">
        <v>0.249</v>
      </c>
      <c r="AX282" t="n">
        <v>0.249</v>
      </c>
      <c r="AY282" t="n">
        <v>1.483</v>
      </c>
      <c r="AZ282" t="n">
        <v>0.748</v>
      </c>
      <c r="BA282" t="n">
        <v>0.498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0.05</v>
      </c>
      <c r="BO282" t="n">
        <v>1.197</v>
      </c>
      <c r="BP282" t="n">
        <v>0.08</v>
      </c>
      <c r="BQ282" t="n">
        <v>0</v>
      </c>
      <c r="BR282" t="n">
        <v>0.001</v>
      </c>
      <c r="BS282" t="n">
        <v>0.003</v>
      </c>
      <c r="BT282" t="n">
        <v>0.001</v>
      </c>
      <c r="BU282" t="n">
        <v>0.004</v>
      </c>
      <c r="BV282" t="n">
        <v>0.102</v>
      </c>
    </row>
    <row r="283">
      <c r="A283" t="inlineStr">
        <is>
          <t>Lota lota</t>
        </is>
      </c>
      <c r="B283" t="inlineStr">
        <is>
          <t>Burbot</t>
        </is>
      </c>
      <c r="C283" t="inlineStr">
        <is>
          <t>Large demersals (&gt;=90 cm)</t>
        </is>
      </c>
      <c r="D283" t="inlineStr">
        <is>
          <t>Cod-likes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0.109</v>
      </c>
      <c r="R283" t="n">
        <v>0.106</v>
      </c>
      <c r="S283" t="n">
        <v>0.104</v>
      </c>
      <c r="T283" t="n">
        <v>0.096</v>
      </c>
      <c r="U283" t="n">
        <v>0.093</v>
      </c>
      <c r="V283" t="n">
        <v>0.078</v>
      </c>
      <c r="W283" t="n">
        <v>0.077</v>
      </c>
      <c r="X283" t="n">
        <v>0.06900000000000001</v>
      </c>
      <c r="Y283" t="n">
        <v>0.046</v>
      </c>
      <c r="Z283" t="n">
        <v>0</v>
      </c>
      <c r="AA283" t="n">
        <v>0</v>
      </c>
      <c r="AB283" t="n">
        <v>0</v>
      </c>
      <c r="AC283" t="n">
        <v>2.343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0.999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0.331</v>
      </c>
      <c r="BI283" t="n">
        <v>0.331</v>
      </c>
      <c r="BJ283" t="n">
        <v>0</v>
      </c>
      <c r="BK283" t="n">
        <v>0</v>
      </c>
      <c r="BL283" t="n">
        <v>0</v>
      </c>
      <c r="BM283" t="n">
        <v>0.679</v>
      </c>
      <c r="BN283" t="n">
        <v>0</v>
      </c>
      <c r="BO283" t="n">
        <v>0.325</v>
      </c>
      <c r="BP283" t="n">
        <v>0.325</v>
      </c>
      <c r="BQ283" t="n">
        <v>0</v>
      </c>
      <c r="BR283" t="n">
        <v>0.01</v>
      </c>
      <c r="BS283" t="n">
        <v>0.003</v>
      </c>
      <c r="BT283" t="n">
        <v>0</v>
      </c>
      <c r="BU283" t="n">
        <v>0.008</v>
      </c>
      <c r="BV283" t="n">
        <v>0.007</v>
      </c>
    </row>
    <row r="284">
      <c r="A284" t="inlineStr">
        <is>
          <t>Diplodus</t>
        </is>
      </c>
      <c r="B284" t="inlineStr">
        <is>
          <t>Two-toothed seabreams</t>
        </is>
      </c>
      <c r="C284" t="inlineStr">
        <is>
          <t>Medium benthopelagics (30 - 89 cm)</t>
        </is>
      </c>
      <c r="D284" t="inlineStr">
        <is>
          <t>Perch-likes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0.347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0.99</v>
      </c>
      <c r="V284" t="n">
        <v>1.881</v>
      </c>
      <c r="W284" t="n">
        <v>0.891</v>
      </c>
      <c r="X284" t="n">
        <v>0.99</v>
      </c>
      <c r="Y284" t="n">
        <v>0.99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0.013</v>
      </c>
      <c r="BV284" t="n">
        <v>0.014</v>
      </c>
    </row>
    <row r="285">
      <c r="A285" t="inlineStr">
        <is>
          <t>Trigla lyra</t>
        </is>
      </c>
      <c r="B285" t="inlineStr">
        <is>
          <t>Piper gurnard</t>
        </is>
      </c>
      <c r="C285" t="inlineStr">
        <is>
          <t>Medium bathydemersals (30 - 89 cm)</t>
        </is>
      </c>
      <c r="D285" t="inlineStr">
        <is>
          <t>Scorpionfishes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1.361</v>
      </c>
      <c r="AV285" t="n">
        <v>2.981</v>
      </c>
      <c r="AW285" t="n">
        <v>1.555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0.001</v>
      </c>
      <c r="BS285" t="n">
        <v>0</v>
      </c>
      <c r="BT285" t="n">
        <v>0</v>
      </c>
      <c r="BU285" t="n">
        <v>0.023</v>
      </c>
      <c r="BV285" t="n">
        <v>0.025</v>
      </c>
    </row>
    <row r="286">
      <c r="A286" t="inlineStr">
        <is>
          <t>Xiphias gladius</t>
        </is>
      </c>
      <c r="B286" t="inlineStr">
        <is>
          <t>Swordfish</t>
        </is>
      </c>
      <c r="C286" t="inlineStr">
        <is>
          <t>Large pelagics (&gt;=90 cm)</t>
        </is>
      </c>
      <c r="D286" t="inlineStr">
        <is>
          <t>Tuna &amp; billfishes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0.165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0.001</v>
      </c>
      <c r="BF286" t="n">
        <v>0</v>
      </c>
      <c r="BG286" t="n">
        <v>0</v>
      </c>
      <c r="BH286" t="n">
        <v>0</v>
      </c>
      <c r="BI286" t="n">
        <v>0.022</v>
      </c>
      <c r="BJ286" t="n">
        <v>0.152</v>
      </c>
      <c r="BK286" t="n">
        <v>0</v>
      </c>
      <c r="BL286" t="n">
        <v>4.857</v>
      </c>
      <c r="BM286" t="n">
        <v>0.315</v>
      </c>
      <c r="BN286" t="n">
        <v>0</v>
      </c>
      <c r="BO286" t="n">
        <v>0.166</v>
      </c>
      <c r="BP286" t="n">
        <v>0.04</v>
      </c>
      <c r="BQ286" t="n">
        <v>0</v>
      </c>
      <c r="BR286" t="n">
        <v>0</v>
      </c>
      <c r="BS286" t="n">
        <v>0.048</v>
      </c>
      <c r="BT286" t="n">
        <v>0</v>
      </c>
      <c r="BU286" t="n">
        <v>0</v>
      </c>
      <c r="BV286" t="n">
        <v>0</v>
      </c>
    </row>
    <row r="287">
      <c r="A287" t="inlineStr">
        <is>
          <t>Scardinius erythrophthalmus</t>
        </is>
      </c>
      <c r="B287" t="inlineStr">
        <is>
          <t>Rudd</t>
        </is>
      </c>
      <c r="C287" t="inlineStr">
        <is>
          <t>Medium benthopelagics (30 - 89 cm)</t>
        </is>
      </c>
      <c r="D287" t="inlineStr">
        <is>
          <t>Other fishes &amp; inverts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0.987</v>
      </c>
      <c r="BP287" t="n">
        <v>2.962</v>
      </c>
      <c r="BQ287" t="n">
        <v>0</v>
      </c>
      <c r="BR287" t="n">
        <v>0.296</v>
      </c>
      <c r="BS287" t="n">
        <v>0</v>
      </c>
      <c r="BT287" t="n">
        <v>0.049</v>
      </c>
      <c r="BU287" t="n">
        <v>0.612</v>
      </c>
      <c r="BV287" t="n">
        <v>0.08799999999999999</v>
      </c>
    </row>
    <row r="288">
      <c r="A288" t="inlineStr">
        <is>
          <t>Loligo forbesii</t>
        </is>
      </c>
      <c r="B288" t="inlineStr">
        <is>
          <t>Veined squid</t>
        </is>
      </c>
      <c r="C288" t="inlineStr">
        <is>
          <t>Cephalopods</t>
        </is>
      </c>
      <c r="D288" t="inlineStr">
        <is>
          <t>Other fishes &amp; inverts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4.987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</row>
    <row r="289">
      <c r="A289" t="inlineStr">
        <is>
          <t>Trachinidae</t>
        </is>
      </c>
      <c r="B289" t="inlineStr">
        <is>
          <t>Weeverfishes</t>
        </is>
      </c>
      <c r="C289" t="inlineStr">
        <is>
          <t>Medium demersals (30 - 89 cm)</t>
        </is>
      </c>
      <c r="D289" t="inlineStr">
        <is>
          <t>Perch-likes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1.71</v>
      </c>
      <c r="BE289" t="n">
        <v>0.421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0.02</v>
      </c>
      <c r="BS289" t="n">
        <v>1.256</v>
      </c>
      <c r="BT289" t="n">
        <v>0.279</v>
      </c>
      <c r="BU289" t="n">
        <v>1.03</v>
      </c>
      <c r="BV289" t="n">
        <v>0.231</v>
      </c>
    </row>
    <row r="290">
      <c r="A290" t="inlineStr">
        <is>
          <t>Ruditapes decussatus</t>
        </is>
      </c>
      <c r="B290" t="inlineStr">
        <is>
          <t>Grooved carpet shell</t>
        </is>
      </c>
      <c r="C290" t="inlineStr">
        <is>
          <t>Other demersal invertebrates</t>
        </is>
      </c>
      <c r="D290" t="inlineStr">
        <is>
          <t>Molluscs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0.245</v>
      </c>
      <c r="AV290" t="n">
        <v>0.98</v>
      </c>
      <c r="AW290" t="n">
        <v>0.98</v>
      </c>
      <c r="AX290" t="n">
        <v>0.245</v>
      </c>
      <c r="AY290" t="n">
        <v>0.245</v>
      </c>
      <c r="AZ290" t="n">
        <v>1.967</v>
      </c>
      <c r="BA290" t="n">
        <v>0</v>
      </c>
      <c r="BB290" t="n">
        <v>0</v>
      </c>
      <c r="BC290" t="n">
        <v>0</v>
      </c>
      <c r="BD290" t="n">
        <v>0.001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0.076</v>
      </c>
      <c r="BV290" t="n">
        <v>0.08400000000000001</v>
      </c>
    </row>
    <row r="291">
      <c r="A291" t="inlineStr">
        <is>
          <t>Alosa alosa</t>
        </is>
      </c>
      <c r="B291" t="inlineStr">
        <is>
          <t>Allis shad</t>
        </is>
      </c>
      <c r="C291" t="inlineStr">
        <is>
          <t>Medium pelagics (30 - 89 cm)</t>
        </is>
      </c>
      <c r="D291" t="inlineStr">
        <is>
          <t>Herring-likes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0.782</v>
      </c>
      <c r="BS291" t="n">
        <v>0.792</v>
      </c>
      <c r="BT291" t="n">
        <v>0.317</v>
      </c>
      <c r="BU291" t="n">
        <v>0.118</v>
      </c>
      <c r="BV291" t="n">
        <v>2.718</v>
      </c>
    </row>
    <row r="292">
      <c r="A292" t="inlineStr">
        <is>
          <t>Ruditapes</t>
        </is>
      </c>
      <c r="B292" t="inlineStr">
        <is>
          <t>Carpet shells</t>
        </is>
      </c>
      <c r="C292" t="inlineStr">
        <is>
          <t>Other demersal invertebrates</t>
        </is>
      </c>
      <c r="D292" t="inlineStr">
        <is>
          <t>Molluscs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0.178</v>
      </c>
      <c r="AE292" t="n">
        <v>0.333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0.006</v>
      </c>
      <c r="AT292" t="n">
        <v>0.027</v>
      </c>
      <c r="AU292" t="n">
        <v>0.02</v>
      </c>
      <c r="AV292" t="n">
        <v>0.019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0.062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0.004</v>
      </c>
      <c r="BN292" t="n">
        <v>0.001</v>
      </c>
      <c r="BO292" t="n">
        <v>3.972</v>
      </c>
      <c r="BP292" t="n">
        <v>0.001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</row>
    <row r="293">
      <c r="A293" t="inlineStr">
        <is>
          <t>Sparus aurata</t>
        </is>
      </c>
      <c r="B293" t="inlineStr">
        <is>
          <t>Gilthead seabream</t>
        </is>
      </c>
      <c r="C293" t="inlineStr">
        <is>
          <t>Medium demersals (30 - 89 cm)</t>
        </is>
      </c>
      <c r="D293" t="inlineStr">
        <is>
          <t>Perch-likes</t>
        </is>
      </c>
      <c r="E293" t="n">
        <v>0.006</v>
      </c>
      <c r="F293" t="n">
        <v>0.006</v>
      </c>
      <c r="G293" t="n">
        <v>0.005</v>
      </c>
      <c r="H293" t="n">
        <v>0.004</v>
      </c>
      <c r="I293" t="n">
        <v>0.003</v>
      </c>
      <c r="J293" t="n">
        <v>0.003</v>
      </c>
      <c r="K293" t="n">
        <v>0.004</v>
      </c>
      <c r="L293" t="n">
        <v>0.006</v>
      </c>
      <c r="M293" t="n">
        <v>0.005</v>
      </c>
      <c r="N293" t="n">
        <v>0.005</v>
      </c>
      <c r="O293" t="n">
        <v>0.006</v>
      </c>
      <c r="P293" t="n">
        <v>0.005</v>
      </c>
      <c r="Q293" t="n">
        <v>0.005</v>
      </c>
      <c r="R293" t="n">
        <v>0.003</v>
      </c>
      <c r="S293" t="n">
        <v>0.003</v>
      </c>
      <c r="T293" t="n">
        <v>0.002</v>
      </c>
      <c r="U293" t="n">
        <v>0.003</v>
      </c>
      <c r="V293" t="n">
        <v>0.002</v>
      </c>
      <c r="W293" t="n">
        <v>0.002</v>
      </c>
      <c r="X293" t="n">
        <v>0.001</v>
      </c>
      <c r="Y293" t="n">
        <v>0.001</v>
      </c>
      <c r="Z293" t="n">
        <v>0.001</v>
      </c>
      <c r="AA293" t="n">
        <v>0.001</v>
      </c>
      <c r="AB293" t="n">
        <v>0.001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0.001</v>
      </c>
      <c r="AJ293" t="n">
        <v>0</v>
      </c>
      <c r="AK293" t="n">
        <v>0.001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0.001</v>
      </c>
      <c r="AU293" t="n">
        <v>0</v>
      </c>
      <c r="AV293" t="n">
        <v>0.001</v>
      </c>
      <c r="AW293" t="n">
        <v>0.001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0.001</v>
      </c>
      <c r="BI293" t="n">
        <v>0.014</v>
      </c>
      <c r="BJ293" t="n">
        <v>0.001</v>
      </c>
      <c r="BK293" t="n">
        <v>0.001</v>
      </c>
      <c r="BL293" t="n">
        <v>3.991</v>
      </c>
      <c r="BM293" t="n">
        <v>0.018</v>
      </c>
      <c r="BN293" t="n">
        <v>0.002</v>
      </c>
      <c r="BO293" t="n">
        <v>0.001</v>
      </c>
      <c r="BP293" t="n">
        <v>0.003</v>
      </c>
      <c r="BQ293" t="n">
        <v>0.001</v>
      </c>
      <c r="BR293" t="n">
        <v>0.012</v>
      </c>
      <c r="BS293" t="n">
        <v>0.06</v>
      </c>
      <c r="BT293" t="n">
        <v>0.001</v>
      </c>
      <c r="BU293" t="n">
        <v>0.001</v>
      </c>
      <c r="BV293" t="n">
        <v>0.057</v>
      </c>
    </row>
    <row r="294">
      <c r="A294" t="inlineStr">
        <is>
          <t>Carassius carassius</t>
        </is>
      </c>
      <c r="B294" t="inlineStr">
        <is>
          <t>Crucian carp</t>
        </is>
      </c>
      <c r="C294" t="inlineStr">
        <is>
          <t>Medium demersals (30 - 89 cm)</t>
        </is>
      </c>
      <c r="D294" t="inlineStr">
        <is>
          <t>Other fishes &amp; inverts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0.341</v>
      </c>
      <c r="AM294" t="n">
        <v>0</v>
      </c>
      <c r="AN294" t="n">
        <v>0.09</v>
      </c>
      <c r="AO294" t="n">
        <v>0.096</v>
      </c>
      <c r="AP294" t="n">
        <v>0.493</v>
      </c>
      <c r="AQ294" t="n">
        <v>0.384</v>
      </c>
      <c r="AR294" t="n">
        <v>0.77</v>
      </c>
      <c r="AS294" t="n">
        <v>0</v>
      </c>
      <c r="AT294" t="n">
        <v>0.534</v>
      </c>
      <c r="AU294" t="n">
        <v>0.041</v>
      </c>
      <c r="AV294" t="n">
        <v>0</v>
      </c>
      <c r="AW294" t="n">
        <v>0.247</v>
      </c>
      <c r="AX294" t="n">
        <v>0</v>
      </c>
      <c r="AY294" t="n">
        <v>0</v>
      </c>
      <c r="AZ294" t="n">
        <v>0.247</v>
      </c>
      <c r="BA294" t="n">
        <v>0</v>
      </c>
      <c r="BB294" t="n">
        <v>0.288</v>
      </c>
      <c r="BC294" t="n">
        <v>0.247</v>
      </c>
      <c r="BD294" t="n">
        <v>0.098</v>
      </c>
      <c r="BE294" t="n">
        <v>0.096</v>
      </c>
      <c r="BF294" t="n">
        <v>0</v>
      </c>
      <c r="BG294" t="n">
        <v>0</v>
      </c>
      <c r="BH294" t="n">
        <v>0</v>
      </c>
      <c r="BI294" t="n">
        <v>0</v>
      </c>
      <c r="BJ294" t="n">
        <v>0.246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</row>
    <row r="295">
      <c r="A295" t="inlineStr">
        <is>
          <t>Lepidorhombus boscii</t>
        </is>
      </c>
      <c r="B295" t="inlineStr">
        <is>
          <t>Four-spot megrim</t>
        </is>
      </c>
      <c r="C295" t="inlineStr">
        <is>
          <t>Small to medium flatfishes (&lt;90 cm)</t>
        </is>
      </c>
      <c r="D295" t="inlineStr">
        <is>
          <t>Flatfishes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0.006</v>
      </c>
      <c r="BB295" t="n">
        <v>0.006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0.298</v>
      </c>
      <c r="BJ295" t="n">
        <v>0.507</v>
      </c>
      <c r="BK295" t="n">
        <v>0.481</v>
      </c>
      <c r="BL295" t="n">
        <v>2.247</v>
      </c>
      <c r="BM295" t="n">
        <v>0.429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0.02</v>
      </c>
      <c r="BU295" t="n">
        <v>0.018</v>
      </c>
      <c r="BV295" t="n">
        <v>0.003</v>
      </c>
    </row>
    <row r="296">
      <c r="A296" t="inlineStr">
        <is>
          <t>Balistes capriscus</t>
        </is>
      </c>
      <c r="B296" t="inlineStr">
        <is>
          <t>Grey triggerfish</t>
        </is>
      </c>
      <c r="C296" t="inlineStr">
        <is>
          <t>Medium benthopelagics (30 - 89 cm)</t>
        </is>
      </c>
      <c r="D296" t="inlineStr">
        <is>
          <t>Other fishes &amp; inverts</t>
        </is>
      </c>
      <c r="E296" t="n">
        <v>0.058</v>
      </c>
      <c r="F296" t="n">
        <v>0.061</v>
      </c>
      <c r="G296" t="n">
        <v>0.064</v>
      </c>
      <c r="H296" t="n">
        <v>0.07099999999999999</v>
      </c>
      <c r="I296" t="n">
        <v>0.064</v>
      </c>
      <c r="J296" t="n">
        <v>0.06900000000000001</v>
      </c>
      <c r="K296" t="n">
        <v>0.052</v>
      </c>
      <c r="L296" t="n">
        <v>0.042</v>
      </c>
      <c r="M296" t="n">
        <v>0.037</v>
      </c>
      <c r="N296" t="n">
        <v>0.049</v>
      </c>
      <c r="O296" t="n">
        <v>0.041</v>
      </c>
      <c r="P296" t="n">
        <v>0.044</v>
      </c>
      <c r="Q296" t="n">
        <v>0.048</v>
      </c>
      <c r="R296" t="n">
        <v>0.046</v>
      </c>
      <c r="S296" t="n">
        <v>0.066</v>
      </c>
      <c r="T296" t="n">
        <v>0.162</v>
      </c>
      <c r="U296" t="n">
        <v>0.207</v>
      </c>
      <c r="V296" t="n">
        <v>0.154</v>
      </c>
      <c r="W296" t="n">
        <v>0.144</v>
      </c>
      <c r="X296" t="n">
        <v>0.162</v>
      </c>
      <c r="Y296" t="n">
        <v>0.148</v>
      </c>
      <c r="Z296" t="n">
        <v>0.178</v>
      </c>
      <c r="AA296" t="n">
        <v>0.206</v>
      </c>
      <c r="AB296" t="n">
        <v>0.538</v>
      </c>
      <c r="AC296" t="n">
        <v>0.272</v>
      </c>
      <c r="AD296" t="n">
        <v>0.239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</row>
    <row r="297">
      <c r="A297" t="inlineStr">
        <is>
          <t>Anarhichas denticulatus</t>
        </is>
      </c>
      <c r="B297" t="inlineStr">
        <is>
          <t>Northern wolffish</t>
        </is>
      </c>
      <c r="C297" t="inlineStr">
        <is>
          <t>Large benthopelagics (&gt;=90 cm)</t>
        </is>
      </c>
      <c r="D297" t="inlineStr">
        <is>
          <t>Perch-likes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0.003</v>
      </c>
      <c r="BL297" t="n">
        <v>0.015</v>
      </c>
      <c r="BM297" t="n">
        <v>0.174</v>
      </c>
      <c r="BN297" t="n">
        <v>0.06900000000000001</v>
      </c>
      <c r="BO297" t="n">
        <v>0.06900000000000001</v>
      </c>
      <c r="BP297" t="n">
        <v>0.09</v>
      </c>
      <c r="BQ297" t="n">
        <v>0.019</v>
      </c>
      <c r="BR297" t="n">
        <v>0.194</v>
      </c>
      <c r="BS297" t="n">
        <v>0.06900000000000001</v>
      </c>
      <c r="BT297" t="n">
        <v>0.148</v>
      </c>
      <c r="BU297" t="n">
        <v>1.014</v>
      </c>
      <c r="BV297" t="n">
        <v>0.614</v>
      </c>
    </row>
    <row r="298">
      <c r="A298" t="inlineStr">
        <is>
          <t>Dasyatis pastinaca</t>
        </is>
      </c>
      <c r="B298" t="inlineStr">
        <is>
          <t>Common stingray</t>
        </is>
      </c>
      <c r="C298" t="inlineStr">
        <is>
          <t>Large rays (&gt;=90 cm)</t>
        </is>
      </c>
      <c r="D298" t="inlineStr">
        <is>
          <t>Sharks &amp; rays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0.011</v>
      </c>
      <c r="BH298" t="n">
        <v>0.044</v>
      </c>
      <c r="BI298" t="n">
        <v>0.044</v>
      </c>
      <c r="BJ298" t="n">
        <v>0.044</v>
      </c>
      <c r="BK298" t="n">
        <v>0.248</v>
      </c>
      <c r="BL298" t="n">
        <v>0</v>
      </c>
      <c r="BM298" t="n">
        <v>0</v>
      </c>
      <c r="BN298" t="n">
        <v>0.397</v>
      </c>
      <c r="BO298" t="n">
        <v>0</v>
      </c>
      <c r="BP298" t="n">
        <v>0</v>
      </c>
      <c r="BQ298" t="n">
        <v>0</v>
      </c>
      <c r="BR298" t="n">
        <v>0.578</v>
      </c>
      <c r="BS298" t="n">
        <v>0.478</v>
      </c>
      <c r="BT298" t="n">
        <v>0</v>
      </c>
      <c r="BU298" t="n">
        <v>0.369</v>
      </c>
      <c r="BV298" t="n">
        <v>0.172</v>
      </c>
    </row>
    <row r="299">
      <c r="A299" t="inlineStr">
        <is>
          <t>Eledone</t>
        </is>
      </c>
      <c r="B299" t="inlineStr">
        <is>
          <t>Horned, musky octopuses</t>
        </is>
      </c>
      <c r="C299" t="inlineStr">
        <is>
          <t>Cephalopods</t>
        </is>
      </c>
      <c r="D299" t="inlineStr">
        <is>
          <t>Other fishes &amp; inverts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0.612</v>
      </c>
      <c r="BV299" t="n">
        <v>1.657</v>
      </c>
    </row>
    <row r="300">
      <c r="A300" t="inlineStr">
        <is>
          <t>Alopias</t>
        </is>
      </c>
      <c r="B300" t="inlineStr">
        <is>
          <t>Thresher sharks</t>
        </is>
      </c>
      <c r="C300" t="inlineStr">
        <is>
          <t>Large sharks (&gt;=90 cm)</t>
        </is>
      </c>
      <c r="D300" t="inlineStr">
        <is>
          <t>Sharks &amp; rays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0.249</v>
      </c>
      <c r="BL300" t="n">
        <v>0.926</v>
      </c>
      <c r="BM300" t="n">
        <v>1.018</v>
      </c>
      <c r="BN300" t="n">
        <v>0.024</v>
      </c>
      <c r="BO300" t="n">
        <v>0.036</v>
      </c>
      <c r="BP300" t="n">
        <v>0</v>
      </c>
      <c r="BQ300" t="n">
        <v>0.002</v>
      </c>
      <c r="BR300" t="n">
        <v>0.001</v>
      </c>
      <c r="BS300" t="n">
        <v>0.007</v>
      </c>
      <c r="BT300" t="n">
        <v>0</v>
      </c>
      <c r="BU300" t="n">
        <v>0.001</v>
      </c>
      <c r="BV300" t="n">
        <v>0</v>
      </c>
    </row>
    <row r="301">
      <c r="A301" t="inlineStr">
        <is>
          <t>Mugil cephalus</t>
        </is>
      </c>
      <c r="B301" t="inlineStr">
        <is>
          <t>Flathead grey mullet</t>
        </is>
      </c>
      <c r="C301" t="inlineStr">
        <is>
          <t>Large benthopelagics (&gt;=90 cm)</t>
        </is>
      </c>
      <c r="D301" t="inlineStr">
        <is>
          <t>Perch-likes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0.992</v>
      </c>
      <c r="BR301" t="n">
        <v>0.576</v>
      </c>
      <c r="BS301" t="n">
        <v>0.092</v>
      </c>
      <c r="BT301" t="n">
        <v>0.21</v>
      </c>
      <c r="BU301" t="n">
        <v>0.029</v>
      </c>
      <c r="BV301" t="n">
        <v>0.124</v>
      </c>
    </row>
    <row r="302">
      <c r="A302" t="inlineStr">
        <is>
          <t>Scomberesox saurus</t>
        </is>
      </c>
      <c r="B302" t="inlineStr">
        <is>
          <t>Atlantic saury</t>
        </is>
      </c>
      <c r="C302" t="inlineStr">
        <is>
          <t>Medium pelagics (30 - 89 cm)</t>
        </is>
      </c>
      <c r="D302" t="inlineStr">
        <is>
          <t>Other fishes &amp; inverts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0.875</v>
      </c>
      <c r="BV302" t="n">
        <v>0.977</v>
      </c>
    </row>
    <row r="303">
      <c r="A303" t="inlineStr">
        <is>
          <t>Mola mola</t>
        </is>
      </c>
      <c r="B303" t="inlineStr">
        <is>
          <t>Ocean sunfish</t>
        </is>
      </c>
      <c r="C303" t="inlineStr">
        <is>
          <t>Large pelagics (&gt;=90 cm)</t>
        </is>
      </c>
      <c r="D303" t="inlineStr">
        <is>
          <t>Other fishes &amp; inverts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0.25</v>
      </c>
      <c r="BD303" t="n">
        <v>0</v>
      </c>
      <c r="BE303" t="n">
        <v>0.247</v>
      </c>
      <c r="BF303" t="n">
        <v>0.002</v>
      </c>
      <c r="BG303" t="n">
        <v>0.25</v>
      </c>
      <c r="BH303" t="n">
        <v>0</v>
      </c>
      <c r="BI303" t="n">
        <v>0.497</v>
      </c>
      <c r="BJ303" t="n">
        <v>0.25</v>
      </c>
      <c r="BK303" t="n">
        <v>0</v>
      </c>
      <c r="BL303" t="n">
        <v>0.25</v>
      </c>
      <c r="BM303" t="n">
        <v>0.001</v>
      </c>
      <c r="BN303" t="n">
        <v>0.01</v>
      </c>
      <c r="BO303" t="n">
        <v>0.001</v>
      </c>
      <c r="BP303" t="n">
        <v>0</v>
      </c>
      <c r="BQ303" t="n">
        <v>0</v>
      </c>
      <c r="BR303" t="n">
        <v>0</v>
      </c>
      <c r="BS303" t="n">
        <v>0</v>
      </c>
      <c r="BT303" t="n">
        <v>0.03</v>
      </c>
      <c r="BU303" t="n">
        <v>0.028</v>
      </c>
      <c r="BV303" t="n">
        <v>0</v>
      </c>
    </row>
    <row r="304">
      <c r="A304" t="inlineStr">
        <is>
          <t>Chelidonichthys lastoviza</t>
        </is>
      </c>
      <c r="B304" t="inlineStr">
        <is>
          <t>Streaked gurnard</t>
        </is>
      </c>
      <c r="C304" t="inlineStr">
        <is>
          <t>Medium demersals (30 - 89 cm)</t>
        </is>
      </c>
      <c r="D304" t="inlineStr">
        <is>
          <t>Scorpionfishes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0.003</v>
      </c>
      <c r="BA304" t="n">
        <v>0.017</v>
      </c>
      <c r="BB304" t="n">
        <v>0</v>
      </c>
      <c r="BC304" t="n">
        <v>0.005</v>
      </c>
      <c r="BD304" t="n">
        <v>1.001</v>
      </c>
      <c r="BE304" t="n">
        <v>0.262</v>
      </c>
      <c r="BF304" t="n">
        <v>0.013</v>
      </c>
      <c r="BG304" t="n">
        <v>0.015</v>
      </c>
      <c r="BH304" t="n">
        <v>0.019</v>
      </c>
      <c r="BI304" t="n">
        <v>0.014</v>
      </c>
      <c r="BJ304" t="n">
        <v>0.014</v>
      </c>
      <c r="BK304" t="n">
        <v>0.001</v>
      </c>
      <c r="BL304" t="n">
        <v>0.021</v>
      </c>
      <c r="BM304" t="n">
        <v>0.022</v>
      </c>
      <c r="BN304" t="n">
        <v>0.017</v>
      </c>
      <c r="BO304" t="n">
        <v>0.019</v>
      </c>
      <c r="BP304" t="n">
        <v>0.016</v>
      </c>
      <c r="BQ304" t="n">
        <v>0.017</v>
      </c>
      <c r="BR304" t="n">
        <v>0.012</v>
      </c>
      <c r="BS304" t="n">
        <v>0.016</v>
      </c>
      <c r="BT304" t="n">
        <v>0.179</v>
      </c>
      <c r="BU304" t="n">
        <v>0.091</v>
      </c>
      <c r="BV304" t="n">
        <v>0.026</v>
      </c>
    </row>
    <row r="305">
      <c r="A305" t="inlineStr">
        <is>
          <t>Illex coindetii</t>
        </is>
      </c>
      <c r="B305" t="inlineStr">
        <is>
          <t>Broadtail shortfin squid</t>
        </is>
      </c>
      <c r="C305" t="inlineStr">
        <is>
          <t>Cephalopods</t>
        </is>
      </c>
      <c r="D305" t="inlineStr">
        <is>
          <t>Other fishes &amp; inverts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1.052</v>
      </c>
      <c r="AH305" t="n">
        <v>0</v>
      </c>
      <c r="AI305" t="n">
        <v>0</v>
      </c>
      <c r="AJ305" t="n">
        <v>0</v>
      </c>
      <c r="AK305" t="n">
        <v>0</v>
      </c>
      <c r="AL305" t="n">
        <v>0.02</v>
      </c>
      <c r="AM305" t="n">
        <v>0.02</v>
      </c>
      <c r="AN305" t="n">
        <v>0</v>
      </c>
      <c r="AO305" t="n">
        <v>0.059</v>
      </c>
      <c r="AP305" t="n">
        <v>0.138</v>
      </c>
      <c r="AQ305" t="n">
        <v>0.02</v>
      </c>
      <c r="AR305" t="n">
        <v>0</v>
      </c>
      <c r="AS305" t="n">
        <v>0.02</v>
      </c>
      <c r="AT305" t="n">
        <v>0.02</v>
      </c>
      <c r="AU305" t="n">
        <v>0</v>
      </c>
      <c r="AV305" t="n">
        <v>0</v>
      </c>
      <c r="AW305" t="n">
        <v>0</v>
      </c>
      <c r="AX305" t="n">
        <v>0</v>
      </c>
      <c r="AY305" t="n">
        <v>0.039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0.037</v>
      </c>
      <c r="BV305" t="n">
        <v>0.041</v>
      </c>
    </row>
    <row r="306">
      <c r="A306" t="inlineStr">
        <is>
          <t>Berycidae</t>
        </is>
      </c>
      <c r="B306" t="inlineStr">
        <is>
          <t>Alfonsinos, redfishes</t>
        </is>
      </c>
      <c r="C306" t="inlineStr">
        <is>
          <t>Medium benthopelagics (30 - 89 cm)</t>
        </is>
      </c>
      <c r="D306" t="inlineStr">
        <is>
          <t>Other fishes &amp; inverts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0.25</v>
      </c>
      <c r="AZ306" t="n">
        <v>0</v>
      </c>
      <c r="BA306" t="n">
        <v>0</v>
      </c>
      <c r="BB306" t="n">
        <v>0.513</v>
      </c>
      <c r="BC306" t="n">
        <v>0.191</v>
      </c>
      <c r="BD306" t="n">
        <v>0.19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0.016</v>
      </c>
      <c r="BK306" t="n">
        <v>0</v>
      </c>
      <c r="BL306" t="n">
        <v>0</v>
      </c>
      <c r="BM306" t="n">
        <v>0</v>
      </c>
      <c r="BN306" t="n">
        <v>0.006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0.007</v>
      </c>
      <c r="BU306" t="n">
        <v>0.134</v>
      </c>
      <c r="BV306" t="n">
        <v>0.141</v>
      </c>
    </row>
    <row r="307">
      <c r="A307" t="inlineStr">
        <is>
          <t>Beryx splendens</t>
        </is>
      </c>
      <c r="B307" t="inlineStr">
        <is>
          <t>Splendid alfonsino</t>
        </is>
      </c>
      <c r="C307" t="inlineStr">
        <is>
          <t>Medium benthopelagics (30 - 89 cm)</t>
        </is>
      </c>
      <c r="D307" t="inlineStr">
        <is>
          <t>Other fishes &amp; inverts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0.061</v>
      </c>
      <c r="BF307" t="n">
        <v>0</v>
      </c>
      <c r="BG307" t="n">
        <v>0</v>
      </c>
      <c r="BH307" t="n">
        <v>0.363</v>
      </c>
      <c r="BI307" t="n">
        <v>0.061</v>
      </c>
      <c r="BJ307" t="n">
        <v>0.908</v>
      </c>
      <c r="BK307" t="n">
        <v>0.015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0.006</v>
      </c>
      <c r="BU307" t="n">
        <v>0.01</v>
      </c>
      <c r="BV307" t="n">
        <v>0.011</v>
      </c>
    </row>
    <row r="308">
      <c r="A308" t="inlineStr">
        <is>
          <t>Beryx decadactylus</t>
        </is>
      </c>
      <c r="B308" t="inlineStr">
        <is>
          <t>Alfonsino</t>
        </is>
      </c>
      <c r="C308" t="inlineStr">
        <is>
          <t>Medium bathydemersals (30 - 89 cm)</t>
        </is>
      </c>
      <c r="D308" t="inlineStr">
        <is>
          <t>Other fishes &amp; inverts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0.427</v>
      </c>
      <c r="BI308" t="n">
        <v>0.512</v>
      </c>
      <c r="BJ308" t="n">
        <v>0.341</v>
      </c>
      <c r="BK308" t="n">
        <v>0</v>
      </c>
      <c r="BL308" t="n">
        <v>0.021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0.001</v>
      </c>
      <c r="BU308" t="n">
        <v>0.039</v>
      </c>
      <c r="BV308" t="n">
        <v>0.044</v>
      </c>
    </row>
    <row r="309">
      <c r="A309" t="inlineStr">
        <is>
          <t>Anarhichas minor</t>
        </is>
      </c>
      <c r="B309" t="inlineStr">
        <is>
          <t>Spotted wolffish</t>
        </is>
      </c>
      <c r="C309" t="inlineStr">
        <is>
          <t>Large demersals (&gt;=90 cm)</t>
        </is>
      </c>
      <c r="D309" t="inlineStr">
        <is>
          <t>Perch-likes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0.037</v>
      </c>
      <c r="M309" t="n">
        <v>0.099</v>
      </c>
      <c r="N309" t="n">
        <v>0.016</v>
      </c>
      <c r="O309" t="n">
        <v>0.008</v>
      </c>
      <c r="P309" t="n">
        <v>0.002</v>
      </c>
      <c r="Q309" t="n">
        <v>0</v>
      </c>
      <c r="R309" t="n">
        <v>0</v>
      </c>
      <c r="S309" t="n">
        <v>0</v>
      </c>
      <c r="T309" t="n">
        <v>0.067</v>
      </c>
      <c r="U309" t="n">
        <v>0.061</v>
      </c>
      <c r="V309" t="n">
        <v>0.032</v>
      </c>
      <c r="W309" t="n">
        <v>0.02</v>
      </c>
      <c r="X309" t="n">
        <v>0</v>
      </c>
      <c r="Y309" t="n">
        <v>0.001</v>
      </c>
      <c r="Z309" t="n">
        <v>0</v>
      </c>
      <c r="AA309" t="n">
        <v>0.001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0.035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0.005</v>
      </c>
      <c r="BD309" t="n">
        <v>0.002</v>
      </c>
      <c r="BE309" t="n">
        <v>0.002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0.002</v>
      </c>
      <c r="BL309" t="n">
        <v>0.207</v>
      </c>
      <c r="BM309" t="n">
        <v>0.104</v>
      </c>
      <c r="BN309" t="n">
        <v>0.07099999999999999</v>
      </c>
      <c r="BO309" t="n">
        <v>0.02</v>
      </c>
      <c r="BP309" t="n">
        <v>0.035</v>
      </c>
      <c r="BQ309" t="n">
        <v>0.029</v>
      </c>
      <c r="BR309" t="n">
        <v>0.073</v>
      </c>
      <c r="BS309" t="n">
        <v>0.04</v>
      </c>
      <c r="BT309" t="n">
        <v>0.048</v>
      </c>
      <c r="BU309" t="n">
        <v>0.151</v>
      </c>
      <c r="BV309" t="n">
        <v>0.116</v>
      </c>
    </row>
    <row r="310">
      <c r="A310" t="inlineStr">
        <is>
          <t>Katsuwonus pelamis</t>
        </is>
      </c>
      <c r="B310" t="inlineStr">
        <is>
          <t>Skipjack tuna</t>
        </is>
      </c>
      <c r="C310" t="inlineStr">
        <is>
          <t>Large pelagics (&gt;=90 cm)</t>
        </is>
      </c>
      <c r="D310" t="inlineStr">
        <is>
          <t>Tuna &amp; billfishes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0.464</v>
      </c>
      <c r="BO310" t="n">
        <v>0</v>
      </c>
      <c r="BP310" t="n">
        <v>0</v>
      </c>
      <c r="BQ310" t="n">
        <v>0.196</v>
      </c>
      <c r="BR310" t="n">
        <v>0</v>
      </c>
      <c r="BS310" t="n">
        <v>0.002</v>
      </c>
      <c r="BT310" t="n">
        <v>0.5</v>
      </c>
      <c r="BU310" t="n">
        <v>0.058</v>
      </c>
      <c r="BV310" t="n">
        <v>0</v>
      </c>
    </row>
    <row r="311">
      <c r="A311" t="inlineStr">
        <is>
          <t>Argyrosomus regius</t>
        </is>
      </c>
      <c r="B311" t="inlineStr">
        <is>
          <t>Meagre</t>
        </is>
      </c>
      <c r="C311" t="inlineStr">
        <is>
          <t>Large benthopelagics (&gt;=90 cm)</t>
        </is>
      </c>
      <c r="D311" t="inlineStr">
        <is>
          <t>Perch-likes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0.001</v>
      </c>
      <c r="BG311" t="n">
        <v>0</v>
      </c>
      <c r="BH311" t="n">
        <v>0</v>
      </c>
      <c r="BI311" t="n">
        <v>0</v>
      </c>
      <c r="BJ311" t="n">
        <v>0.001</v>
      </c>
      <c r="BK311" t="n">
        <v>0.001</v>
      </c>
      <c r="BL311" t="n">
        <v>0.007</v>
      </c>
      <c r="BM311" t="n">
        <v>0.005</v>
      </c>
      <c r="BN311" t="n">
        <v>1.026</v>
      </c>
      <c r="BO311" t="n">
        <v>0.001</v>
      </c>
      <c r="BP311" t="n">
        <v>0.002</v>
      </c>
      <c r="BQ311" t="n">
        <v>0.001</v>
      </c>
      <c r="BR311" t="n">
        <v>0.005</v>
      </c>
      <c r="BS311" t="n">
        <v>0.004</v>
      </c>
      <c r="BT311" t="n">
        <v>0.011</v>
      </c>
      <c r="BU311" t="n">
        <v>0.075</v>
      </c>
      <c r="BV311" t="n">
        <v>0.065</v>
      </c>
    </row>
    <row r="312">
      <c r="A312" t="inlineStr">
        <is>
          <t>Etmopterus</t>
        </is>
      </c>
      <c r="B312" t="inlineStr">
        <is>
          <t>Lanternsharks</t>
        </is>
      </c>
      <c r="C312" t="inlineStr">
        <is>
          <t>Small to medium sharks (&lt;90 cm)</t>
        </is>
      </c>
      <c r="D312" t="inlineStr">
        <is>
          <t>Sharks &amp; rays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1.161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</row>
    <row r="313">
      <c r="A313" t="inlineStr">
        <is>
          <t>Pagellus erythrinus</t>
        </is>
      </c>
      <c r="B313" t="inlineStr">
        <is>
          <t>Common pandora</t>
        </is>
      </c>
      <c r="C313" t="inlineStr">
        <is>
          <t>Medium benthopelagics (30 - 89 cm)</t>
        </is>
      </c>
      <c r="D313" t="inlineStr">
        <is>
          <t>Perch-likes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0.993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0.001</v>
      </c>
      <c r="BU313" t="n">
        <v>0</v>
      </c>
      <c r="BV313" t="n">
        <v>0</v>
      </c>
    </row>
    <row r="314">
      <c r="A314" t="inlineStr">
        <is>
          <t>Leuciscus idus</t>
        </is>
      </c>
      <c r="B314" t="inlineStr">
        <is>
          <t>Ide</t>
        </is>
      </c>
      <c r="C314" t="inlineStr">
        <is>
          <t>Medium benthopelagics (30 - 89 cm)</t>
        </is>
      </c>
      <c r="D314" t="inlineStr">
        <is>
          <t>Other fishes &amp; inverts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0.861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0.016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0.082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0.002</v>
      </c>
      <c r="BS314" t="n">
        <v>0</v>
      </c>
      <c r="BT314" t="n">
        <v>0.013</v>
      </c>
      <c r="BU314" t="n">
        <v>0.002</v>
      </c>
      <c r="BV314" t="n">
        <v>0.002</v>
      </c>
    </row>
    <row r="315">
      <c r="A315" t="inlineStr">
        <is>
          <t>Mimachlamys varia</t>
        </is>
      </c>
      <c r="B315" t="inlineStr">
        <is>
          <t>Variegated scallop</t>
        </is>
      </c>
      <c r="C315" t="inlineStr">
        <is>
          <t>Other demersal invertebrates</t>
        </is>
      </c>
      <c r="D315" t="inlineStr">
        <is>
          <t>Molluscs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0.011</v>
      </c>
      <c r="AJ315" t="n">
        <v>0</v>
      </c>
      <c r="AK315" t="n">
        <v>0.083</v>
      </c>
      <c r="AL315" t="n">
        <v>0.057</v>
      </c>
      <c r="AM315" t="n">
        <v>0.064</v>
      </c>
      <c r="AN315" t="n">
        <v>0.021</v>
      </c>
      <c r="AO315" t="n">
        <v>0.052</v>
      </c>
      <c r="AP315" t="n">
        <v>0.005</v>
      </c>
      <c r="AQ315" t="n">
        <v>0.004</v>
      </c>
      <c r="AR315" t="n">
        <v>0.002</v>
      </c>
      <c r="AS315" t="n">
        <v>0.05</v>
      </c>
      <c r="AT315" t="n">
        <v>0.043</v>
      </c>
      <c r="AU315" t="n">
        <v>0.001</v>
      </c>
      <c r="AV315" t="n">
        <v>0.003</v>
      </c>
      <c r="AW315" t="n">
        <v>0.002</v>
      </c>
      <c r="AX315" t="n">
        <v>0</v>
      </c>
      <c r="AY315" t="n">
        <v>0</v>
      </c>
      <c r="AZ315" t="n">
        <v>0.001</v>
      </c>
      <c r="BA315" t="n">
        <v>0</v>
      </c>
      <c r="BB315" t="n">
        <v>0</v>
      </c>
      <c r="BC315" t="n">
        <v>0</v>
      </c>
      <c r="BD315" t="n">
        <v>0.012</v>
      </c>
      <c r="BE315" t="n">
        <v>0.013</v>
      </c>
      <c r="BF315" t="n">
        <v>0</v>
      </c>
      <c r="BG315" t="n">
        <v>0.004</v>
      </c>
      <c r="BH315" t="n">
        <v>0.115</v>
      </c>
      <c r="BI315" t="n">
        <v>0.015</v>
      </c>
      <c r="BJ315" t="n">
        <v>0.082</v>
      </c>
      <c r="BK315" t="n">
        <v>0.082</v>
      </c>
      <c r="BL315" t="n">
        <v>0.056</v>
      </c>
      <c r="BM315" t="n">
        <v>0.01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0.093</v>
      </c>
      <c r="BV315" t="n">
        <v>0.004</v>
      </c>
    </row>
    <row r="316">
      <c r="A316" t="inlineStr">
        <is>
          <t>Deania calceus</t>
        </is>
      </c>
      <c r="B316" t="inlineStr">
        <is>
          <t>Birdbeak dogfish</t>
        </is>
      </c>
      <c r="C316" t="inlineStr">
        <is>
          <t>Large sharks (&gt;=90 cm)</t>
        </is>
      </c>
      <c r="D316" t="inlineStr">
        <is>
          <t>Sharks &amp; rays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0.272</v>
      </c>
      <c r="BD316" t="n">
        <v>0.006</v>
      </c>
      <c r="BE316" t="n">
        <v>0</v>
      </c>
      <c r="BF316" t="n">
        <v>0.113</v>
      </c>
      <c r="BG316" t="n">
        <v>0.448</v>
      </c>
      <c r="BH316" t="n">
        <v>0.007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</row>
    <row r="317">
      <c r="A317" t="inlineStr">
        <is>
          <t>Auxis rochei</t>
        </is>
      </c>
      <c r="B317" t="inlineStr">
        <is>
          <t>Bullet tuna</t>
        </is>
      </c>
      <c r="C317" t="inlineStr">
        <is>
          <t>Medium pelagics (30 - 89 cm)</t>
        </is>
      </c>
      <c r="D317" t="inlineStr">
        <is>
          <t>Tuna &amp; billfishes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0.608</v>
      </c>
      <c r="BR317" t="n">
        <v>0</v>
      </c>
      <c r="BS317" t="n">
        <v>0</v>
      </c>
      <c r="BT317" t="n">
        <v>0</v>
      </c>
      <c r="BU317" t="n">
        <v>0.101</v>
      </c>
      <c r="BV317" t="n">
        <v>0.112</v>
      </c>
    </row>
    <row r="318">
      <c r="A318" t="inlineStr">
        <is>
          <t>Trichiuridae</t>
        </is>
      </c>
      <c r="B318" t="inlineStr">
        <is>
          <t>Cutlassfishes</t>
        </is>
      </c>
      <c r="C318" t="inlineStr">
        <is>
          <t>Large benthopelagics (&gt;=90 cm)</t>
        </is>
      </c>
      <c r="D318" t="inlineStr">
        <is>
          <t>Perch-likes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0.438</v>
      </c>
      <c r="BL318" t="n">
        <v>0.303</v>
      </c>
      <c r="BM318" t="n">
        <v>0</v>
      </c>
      <c r="BN318" t="n">
        <v>0.034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0.001</v>
      </c>
      <c r="BV318" t="n">
        <v>0.001</v>
      </c>
    </row>
    <row r="319">
      <c r="A319" t="inlineStr">
        <is>
          <t>Veneridae</t>
        </is>
      </c>
      <c r="B319" t="inlineStr">
        <is>
          <t>Venus clams</t>
        </is>
      </c>
      <c r="C319" t="inlineStr">
        <is>
          <t>Other demersal invertebrates</t>
        </is>
      </c>
      <c r="D319" t="inlineStr">
        <is>
          <t>Molluscs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0.105</v>
      </c>
      <c r="BC319" t="n">
        <v>0</v>
      </c>
      <c r="BD319" t="n">
        <v>0</v>
      </c>
      <c r="BE319" t="n">
        <v>0</v>
      </c>
      <c r="BF319" t="n">
        <v>0.001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0.01</v>
      </c>
      <c r="BQ319" t="n">
        <v>0</v>
      </c>
      <c r="BR319" t="n">
        <v>0.03</v>
      </c>
      <c r="BS319" t="n">
        <v>0</v>
      </c>
      <c r="BT319" t="n">
        <v>0</v>
      </c>
      <c r="BU319" t="n">
        <v>0.288</v>
      </c>
      <c r="BV319" t="n">
        <v>0.322</v>
      </c>
    </row>
    <row r="320">
      <c r="A320" t="inlineStr">
        <is>
          <t>Rhinochimaera atlantica</t>
        </is>
      </c>
      <c r="B320" t="inlineStr">
        <is>
          <t>Straightnose rabbitfish</t>
        </is>
      </c>
      <c r="C320" t="inlineStr">
        <is>
          <t>Large rays (&gt;=90 cm)</t>
        </is>
      </c>
      <c r="D320" t="inlineStr">
        <is>
          <t>Sharks &amp; rays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0.6870000000000001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</row>
    <row r="321">
      <c r="A321" t="inlineStr">
        <is>
          <t>Centrolophus niger</t>
        </is>
      </c>
      <c r="B321" t="inlineStr">
        <is>
          <t>Rudderfish</t>
        </is>
      </c>
      <c r="C321" t="inlineStr">
        <is>
          <t>Large bathypelagics (&gt;=90 cm)</t>
        </is>
      </c>
      <c r="D321" t="inlineStr">
        <is>
          <t>Perch-likes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0.605</v>
      </c>
    </row>
    <row r="322">
      <c r="A322" t="inlineStr">
        <is>
          <t>Alopias vulpinus</t>
        </is>
      </c>
      <c r="B322" t="inlineStr">
        <is>
          <t>Thresher</t>
        </is>
      </c>
      <c r="C322" t="inlineStr">
        <is>
          <t>Large sharks (&gt;=90 cm)</t>
        </is>
      </c>
      <c r="D322" t="inlineStr">
        <is>
          <t>Sharks &amp; rays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0.229</v>
      </c>
      <c r="BU322" t="n">
        <v>0.12</v>
      </c>
      <c r="BV322" t="n">
        <v>0.211</v>
      </c>
    </row>
    <row r="323">
      <c r="A323" t="inlineStr">
        <is>
          <t>Venerupis corrugata</t>
        </is>
      </c>
      <c r="B323" t="inlineStr">
        <is>
          <t>Corrugated venus</t>
        </is>
      </c>
      <c r="C323" t="inlineStr">
        <is>
          <t>Other demersal invertebrates</t>
        </is>
      </c>
      <c r="D323" t="inlineStr">
        <is>
          <t>Molluscs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0.25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0.007</v>
      </c>
      <c r="BB323" t="n">
        <v>0.01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0.13</v>
      </c>
      <c r="BV323" t="n">
        <v>0.145</v>
      </c>
    </row>
    <row r="324">
      <c r="A324" t="inlineStr">
        <is>
          <t>Dentex</t>
        </is>
      </c>
      <c r="B324" t="inlineStr">
        <is>
          <t>Toothed seabreams</t>
        </is>
      </c>
      <c r="C324" t="inlineStr">
        <is>
          <t>Large benthopelagics (&gt;=90 cm)</t>
        </is>
      </c>
      <c r="D324" t="inlineStr">
        <is>
          <t>Perch-likes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0.304</v>
      </c>
      <c r="AU324" t="n">
        <v>0.008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0.182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0.003</v>
      </c>
      <c r="BV324" t="n">
        <v>0.004</v>
      </c>
    </row>
    <row r="325">
      <c r="A325" t="inlineStr">
        <is>
          <t>Arctica islandica</t>
        </is>
      </c>
      <c r="B325" t="inlineStr">
        <is>
          <t>Ocean quahog</t>
        </is>
      </c>
      <c r="C325" t="inlineStr">
        <is>
          <t>Other demersal invertebrates</t>
        </is>
      </c>
      <c r="D325" t="inlineStr">
        <is>
          <t>Molluscs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0.246</v>
      </c>
      <c r="BJ325" t="n">
        <v>0.246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</row>
    <row r="326">
      <c r="A326" t="inlineStr">
        <is>
          <t>Molva macrophthalma</t>
        </is>
      </c>
      <c r="B326" t="inlineStr">
        <is>
          <t>Spanish ling</t>
        </is>
      </c>
      <c r="C326" t="inlineStr">
        <is>
          <t>Medium demersals (30 - 89 cm)</t>
        </is>
      </c>
      <c r="D326" t="inlineStr">
        <is>
          <t>Cod-likes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0.155</v>
      </c>
      <c r="BT326" t="n">
        <v>0.124</v>
      </c>
      <c r="BU326" t="n">
        <v>0.08699999999999999</v>
      </c>
      <c r="BV326" t="n">
        <v>0.037</v>
      </c>
    </row>
    <row r="327">
      <c r="A327" t="inlineStr">
        <is>
          <t>Squatina squatina</t>
        </is>
      </c>
      <c r="B327" t="inlineStr">
        <is>
          <t>Angelshark</t>
        </is>
      </c>
      <c r="C327" t="inlineStr">
        <is>
          <t>Large sharks (&gt;=90 cm)</t>
        </is>
      </c>
      <c r="D327" t="inlineStr">
        <is>
          <t>Sharks &amp; rays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0.129</v>
      </c>
      <c r="BU327" t="n">
        <v>0.118</v>
      </c>
      <c r="BV327" t="n">
        <v>0.075</v>
      </c>
    </row>
    <row r="328">
      <c r="A328" t="inlineStr">
        <is>
          <t>Gaidropsarus</t>
        </is>
      </c>
      <c r="B328" t="inlineStr">
        <is>
          <t>Rocklings</t>
        </is>
      </c>
      <c r="C328" t="inlineStr">
        <is>
          <t>Medium benthopelagics (30 - 89 cm)</t>
        </is>
      </c>
      <c r="D328" t="inlineStr">
        <is>
          <t>Cod-likes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0.067</v>
      </c>
      <c r="BO328" t="n">
        <v>0.037</v>
      </c>
      <c r="BP328" t="n">
        <v>0.028</v>
      </c>
      <c r="BQ328" t="n">
        <v>0.029</v>
      </c>
      <c r="BR328" t="n">
        <v>0.035</v>
      </c>
      <c r="BS328" t="n">
        <v>0.032</v>
      </c>
      <c r="BT328" t="n">
        <v>0.024</v>
      </c>
      <c r="BU328" t="n">
        <v>0.022</v>
      </c>
      <c r="BV328" t="n">
        <v>0.027</v>
      </c>
    </row>
    <row r="329">
      <c r="A329" t="inlineStr">
        <is>
          <t>Liocarcinus depurator</t>
        </is>
      </c>
      <c r="B329" t="inlineStr">
        <is>
          <t>Blueleg swimcrab</t>
        </is>
      </c>
      <c r="C329" t="inlineStr">
        <is>
          <t>Lobsters, crabs</t>
        </is>
      </c>
      <c r="D329" t="inlineStr">
        <is>
          <t>Crustaceans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0.092</v>
      </c>
      <c r="BS329" t="n">
        <v>0</v>
      </c>
      <c r="BT329" t="n">
        <v>0.126</v>
      </c>
      <c r="BU329" t="n">
        <v>0.01</v>
      </c>
      <c r="BV329" t="n">
        <v>0.066</v>
      </c>
    </row>
    <row r="330">
      <c r="A330" t="inlineStr">
        <is>
          <t>Hypophthalmichthys nobilis</t>
        </is>
      </c>
      <c r="B330" t="inlineStr">
        <is>
          <t>Bighead carp</t>
        </is>
      </c>
      <c r="C330" t="inlineStr">
        <is>
          <t>Large benthopelagics (&gt;=90 cm)</t>
        </is>
      </c>
      <c r="D330" t="inlineStr">
        <is>
          <t>Other fishes &amp; inverts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0.282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</row>
    <row r="331">
      <c r="A331" t="inlineStr">
        <is>
          <t>Somniosus microcephalus</t>
        </is>
      </c>
      <c r="B331" t="inlineStr">
        <is>
          <t>Greenland shark</t>
        </is>
      </c>
      <c r="C331" t="inlineStr">
        <is>
          <t>Large sharks (&gt;=90 cm)</t>
        </is>
      </c>
      <c r="D331" t="inlineStr">
        <is>
          <t>Sharks &amp; rays</t>
        </is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0.249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</row>
    <row r="332">
      <c r="A332" t="inlineStr">
        <is>
          <t>Venus verrucosa</t>
        </is>
      </c>
      <c r="B332" t="inlineStr">
        <is>
          <t>Warty venus</t>
        </is>
      </c>
      <c r="C332" t="inlineStr">
        <is>
          <t>Other demersal invertebrates</t>
        </is>
      </c>
      <c r="D332" t="inlineStr">
        <is>
          <t>Molluscs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0.008</v>
      </c>
      <c r="AT332" t="n">
        <v>0.045</v>
      </c>
      <c r="AU332" t="n">
        <v>0</v>
      </c>
      <c r="AV332" t="n">
        <v>0.001</v>
      </c>
      <c r="AW332" t="n">
        <v>0.002</v>
      </c>
      <c r="AX332" t="n">
        <v>0</v>
      </c>
      <c r="AY332" t="n">
        <v>0</v>
      </c>
      <c r="AZ332" t="n">
        <v>0.005</v>
      </c>
      <c r="BA332" t="n">
        <v>0</v>
      </c>
      <c r="BB332" t="n">
        <v>0</v>
      </c>
      <c r="BC332" t="n">
        <v>0</v>
      </c>
      <c r="BD332" t="n">
        <v>0.014</v>
      </c>
      <c r="BE332" t="n">
        <v>0.019</v>
      </c>
      <c r="BF332" t="n">
        <v>0.004</v>
      </c>
      <c r="BG332" t="n">
        <v>0.005</v>
      </c>
      <c r="BH332" t="n">
        <v>0.005</v>
      </c>
      <c r="BI332" t="n">
        <v>0.008</v>
      </c>
      <c r="BJ332" t="n">
        <v>0.002</v>
      </c>
      <c r="BK332" t="n">
        <v>0.002</v>
      </c>
      <c r="BL332" t="n">
        <v>0.001</v>
      </c>
      <c r="BM332" t="n">
        <v>0.002</v>
      </c>
      <c r="BN332" t="n">
        <v>0</v>
      </c>
      <c r="BO332" t="n">
        <v>0</v>
      </c>
      <c r="BP332" t="n">
        <v>0.001</v>
      </c>
      <c r="BQ332" t="n">
        <v>0</v>
      </c>
      <c r="BR332" t="n">
        <v>0.001</v>
      </c>
      <c r="BS332" t="n">
        <v>0</v>
      </c>
      <c r="BT332" t="n">
        <v>0.001</v>
      </c>
      <c r="BU332" t="n">
        <v>0.052</v>
      </c>
      <c r="BV332" t="n">
        <v>0.058</v>
      </c>
    </row>
    <row r="333">
      <c r="A333" t="inlineStr">
        <is>
          <t>Scorpaena scrofa</t>
        </is>
      </c>
      <c r="B333" t="inlineStr">
        <is>
          <t>Red scorpionfish</t>
        </is>
      </c>
      <c r="C333" t="inlineStr">
        <is>
          <t>Medium demersals (30 - 89 cm)</t>
        </is>
      </c>
      <c r="D333" t="inlineStr">
        <is>
          <t>Scorpionfishes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0.015</v>
      </c>
      <c r="BF333" t="n">
        <v>0</v>
      </c>
      <c r="BG333" t="n">
        <v>0</v>
      </c>
      <c r="BH333" t="n">
        <v>0.02</v>
      </c>
      <c r="BI333" t="n">
        <v>0.06</v>
      </c>
      <c r="BJ333" t="n">
        <v>0.007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0.038</v>
      </c>
      <c r="BV333" t="n">
        <v>0.042</v>
      </c>
    </row>
    <row r="334">
      <c r="A334" t="inlineStr">
        <is>
          <t>Ostrea</t>
        </is>
      </c>
      <c r="B334" t="inlineStr">
        <is>
          <t>Flat oysters</t>
        </is>
      </c>
      <c r="C334" t="inlineStr">
        <is>
          <t>Other demersal invertebrates</t>
        </is>
      </c>
      <c r="D334" t="inlineStr">
        <is>
          <t>Molluscs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0.03</v>
      </c>
      <c r="BQ334" t="n">
        <v>0</v>
      </c>
      <c r="BR334" t="n">
        <v>0.089</v>
      </c>
      <c r="BS334" t="n">
        <v>0</v>
      </c>
      <c r="BT334" t="n">
        <v>0</v>
      </c>
      <c r="BU334" t="n">
        <v>0.058</v>
      </c>
      <c r="BV334" t="n">
        <v>0</v>
      </c>
    </row>
    <row r="335">
      <c r="A335" t="inlineStr">
        <is>
          <t>Acanthocardia tuberculata</t>
        </is>
      </c>
      <c r="B335" t="inlineStr">
        <is>
          <t>Tuberculate cockle</t>
        </is>
      </c>
      <c r="C335" t="inlineStr">
        <is>
          <t>Other demersal invertebrates</t>
        </is>
      </c>
      <c r="D335" t="inlineStr">
        <is>
          <t>Molluscs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0.176</v>
      </c>
    </row>
    <row r="336">
      <c r="A336" t="inlineStr">
        <is>
          <t>Galeus</t>
        </is>
      </c>
      <c r="B336" t="inlineStr">
        <is>
          <t>Sawtail catsharks</t>
        </is>
      </c>
      <c r="C336" t="inlineStr">
        <is>
          <t>Small to medium sharks (&lt;90 cm)</t>
        </is>
      </c>
      <c r="D336" t="inlineStr">
        <is>
          <t>Sharks &amp; rays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0.041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0.054</v>
      </c>
      <c r="BV336" t="n">
        <v>0.06</v>
      </c>
    </row>
    <row r="337">
      <c r="A337" t="inlineStr">
        <is>
          <t>Dendrobranchiata</t>
        </is>
      </c>
      <c r="B337" t="inlineStr">
        <is>
          <t>Shrimps and prawns</t>
        </is>
      </c>
      <c r="C337" t="inlineStr">
        <is>
          <t>Shrimps</t>
        </is>
      </c>
      <c r="D337" t="inlineStr">
        <is>
          <t>Crustaceans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0.111</v>
      </c>
      <c r="BO337" t="n">
        <v>0.022</v>
      </c>
      <c r="BP337" t="n">
        <v>0</v>
      </c>
      <c r="BQ337" t="n">
        <v>0</v>
      </c>
      <c r="BR337" t="n">
        <v>0.003</v>
      </c>
      <c r="BS337" t="n">
        <v>0.003</v>
      </c>
      <c r="BT337" t="n">
        <v>0.003</v>
      </c>
      <c r="BU337" t="n">
        <v>0.001</v>
      </c>
      <c r="BV337" t="n">
        <v>0.001</v>
      </c>
    </row>
    <row r="338">
      <c r="A338" t="inlineStr">
        <is>
          <t>Nephropidae</t>
        </is>
      </c>
      <c r="B338" t="inlineStr">
        <is>
          <t>Clawed lobsters</t>
        </is>
      </c>
      <c r="C338" t="inlineStr">
        <is>
          <t>Lobsters, crabs</t>
        </is>
      </c>
      <c r="D338" t="inlineStr">
        <is>
          <t>Crustaceans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0.14</v>
      </c>
      <c r="BS338" t="n">
        <v>0</v>
      </c>
      <c r="BT338" t="n">
        <v>0</v>
      </c>
      <c r="BU338" t="n">
        <v>0</v>
      </c>
      <c r="BV338" t="n">
        <v>0</v>
      </c>
    </row>
    <row r="339">
      <c r="A339" t="inlineStr">
        <is>
          <t>Auxis</t>
        </is>
      </c>
      <c r="B339" t="inlineStr">
        <is>
          <t>Bullet and frigate tunas</t>
        </is>
      </c>
      <c r="C339" t="inlineStr">
        <is>
          <t>Medium pelagics (30 - 89 cm)</t>
        </is>
      </c>
      <c r="D339" t="inlineStr">
        <is>
          <t>Tuna &amp; billfishes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0.066</v>
      </c>
      <c r="BV339" t="n">
        <v>0.074</v>
      </c>
    </row>
    <row r="340">
      <c r="A340" t="inlineStr">
        <is>
          <t>Salvelinus</t>
        </is>
      </c>
      <c r="B340" t="inlineStr">
        <is>
          <t>Chars</t>
        </is>
      </c>
      <c r="C340" t="inlineStr">
        <is>
          <t>Large benthopelagics (&gt;=90 cm)</t>
        </is>
      </c>
      <c r="D340" t="inlineStr">
        <is>
          <t>Salmon, smelts, etc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0.139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</row>
    <row r="341">
      <c r="A341" t="inlineStr">
        <is>
          <t>Carcharhinidae</t>
        </is>
      </c>
      <c r="B341" t="inlineStr">
        <is>
          <t>Requiem sharks</t>
        </is>
      </c>
      <c r="C341" t="inlineStr">
        <is>
          <t>Large sharks (&gt;=90 cm)</t>
        </is>
      </c>
      <c r="D341" t="inlineStr">
        <is>
          <t>Sharks &amp; rays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0.053</v>
      </c>
      <c r="BV341" t="n">
        <v>0.059</v>
      </c>
    </row>
    <row r="342">
      <c r="A342" t="inlineStr">
        <is>
          <t>Lithodes maja</t>
        </is>
      </c>
      <c r="B342" t="inlineStr">
        <is>
          <t>Stone king crab</t>
        </is>
      </c>
      <c r="C342" t="inlineStr">
        <is>
          <t>Lobsters, crabs</t>
        </is>
      </c>
      <c r="D342" t="inlineStr">
        <is>
          <t>Crustaceans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0.082</v>
      </c>
      <c r="BS342" t="n">
        <v>0</v>
      </c>
      <c r="BT342" t="n">
        <v>0</v>
      </c>
      <c r="BU342" t="n">
        <v>0</v>
      </c>
      <c r="BV342" t="n">
        <v>0</v>
      </c>
    </row>
    <row r="343">
      <c r="A343" t="inlineStr">
        <is>
          <t>Mactridae</t>
        </is>
      </c>
      <c r="B343" t="inlineStr">
        <is>
          <t>Mactra surf clams</t>
        </is>
      </c>
      <c r="C343" t="inlineStr">
        <is>
          <t>Other demersal invertebrates</t>
        </is>
      </c>
      <c r="D343" t="inlineStr">
        <is>
          <t>Molluscs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0.006</v>
      </c>
      <c r="AT343" t="n">
        <v>0.068</v>
      </c>
      <c r="AU343" t="n">
        <v>0</v>
      </c>
      <c r="AV343" t="n">
        <v>0.006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</row>
    <row r="344">
      <c r="A344" t="inlineStr">
        <is>
          <t>Scomber</t>
        </is>
      </c>
      <c r="B344" t="inlineStr">
        <is>
          <t>Chub mackerels</t>
        </is>
      </c>
      <c r="C344" t="inlineStr">
        <is>
          <t>Medium pelagics (30 - 89 cm)</t>
        </is>
      </c>
      <c r="D344" t="inlineStr">
        <is>
          <t>Perch-likes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0.035</v>
      </c>
      <c r="BV344" t="n">
        <v>0.039</v>
      </c>
    </row>
    <row r="345">
      <c r="A345" t="inlineStr">
        <is>
          <t>Polititapes rhomboides</t>
        </is>
      </c>
      <c r="B345" t="inlineStr">
        <is>
          <t>Banded carpet shell</t>
        </is>
      </c>
      <c r="C345" t="inlineStr">
        <is>
          <t>Other demersal invertebrates</t>
        </is>
      </c>
      <c r="D345" t="inlineStr">
        <is>
          <t>Molluscs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0.022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0.001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0.023</v>
      </c>
      <c r="BV345" t="n">
        <v>0.026</v>
      </c>
    </row>
    <row r="346">
      <c r="A346" t="inlineStr">
        <is>
          <t>Acipenser sturio</t>
        </is>
      </c>
      <c r="B346" t="inlineStr">
        <is>
          <t>Sturgeon</t>
        </is>
      </c>
      <c r="C346" t="inlineStr">
        <is>
          <t>Large demersals (&gt;=90 cm)</t>
        </is>
      </c>
      <c r="D346" t="inlineStr">
        <is>
          <t>Other fishes &amp; inverts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0.062</v>
      </c>
      <c r="BP346" t="n">
        <v>0</v>
      </c>
      <c r="BQ346" t="n">
        <v>0.004</v>
      </c>
      <c r="BR346" t="n">
        <v>0.001</v>
      </c>
      <c r="BS346" t="n">
        <v>0</v>
      </c>
      <c r="BT346" t="n">
        <v>0</v>
      </c>
      <c r="BU346" t="n">
        <v>0.001</v>
      </c>
      <c r="BV346" t="n">
        <v>0.001</v>
      </c>
    </row>
    <row r="347">
      <c r="A347" t="inlineStr">
        <is>
          <t>Sebastes viviparus</t>
        </is>
      </c>
      <c r="B347" t="inlineStr">
        <is>
          <t>Norway redfish</t>
        </is>
      </c>
      <c r="C347" t="inlineStr">
        <is>
          <t>Medium demersals (30 - 89 cm)</t>
        </is>
      </c>
      <c r="D347" t="inlineStr">
        <is>
          <t>Scorpionfishes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0.002</v>
      </c>
      <c r="BJ347" t="n">
        <v>0.001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0.018</v>
      </c>
      <c r="BT347" t="n">
        <v>0</v>
      </c>
      <c r="BU347" t="n">
        <v>0.04</v>
      </c>
      <c r="BV347" t="n">
        <v>0</v>
      </c>
    </row>
    <row r="348">
      <c r="A348" t="inlineStr">
        <is>
          <t>Scomberesocidae</t>
        </is>
      </c>
      <c r="B348" t="inlineStr">
        <is>
          <t>Sauries</t>
        </is>
      </c>
      <c r="C348" t="inlineStr">
        <is>
          <t>Medium pelagics (30 - 89 cm)</t>
        </is>
      </c>
      <c r="D348" t="inlineStr">
        <is>
          <t>Other fishes &amp; inverts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0.027</v>
      </c>
      <c r="BV348" t="n">
        <v>0.03</v>
      </c>
    </row>
    <row r="349">
      <c r="A349" t="inlineStr">
        <is>
          <t>Ensis ensis</t>
        </is>
      </c>
      <c r="B349" t="inlineStr">
        <is>
          <t>Pod razor</t>
        </is>
      </c>
      <c r="C349" t="inlineStr">
        <is>
          <t>Other demersal invertebrates</t>
        </is>
      </c>
      <c r="D349" t="inlineStr">
        <is>
          <t>Molluscs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0.022</v>
      </c>
      <c r="BV349" t="n">
        <v>0.025</v>
      </c>
    </row>
    <row r="350">
      <c r="A350" t="inlineStr">
        <is>
          <t>Donax</t>
        </is>
      </c>
      <c r="B350" t="inlineStr">
        <is>
          <t>Bean clams</t>
        </is>
      </c>
      <c r="C350" t="inlineStr">
        <is>
          <t>Other demersal invertebrates</t>
        </is>
      </c>
      <c r="D350" t="inlineStr">
        <is>
          <t>Molluscs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0.001</v>
      </c>
      <c r="BC350" t="n">
        <v>0.004</v>
      </c>
      <c r="BD350" t="n">
        <v>0.007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0.02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0.006</v>
      </c>
      <c r="BV350" t="n">
        <v>0.007</v>
      </c>
    </row>
    <row r="351">
      <c r="A351" t="inlineStr">
        <is>
          <t>Palinurus elephas</t>
        </is>
      </c>
      <c r="B351" t="inlineStr">
        <is>
          <t>Common spiny lobster</t>
        </is>
      </c>
      <c r="C351" t="inlineStr">
        <is>
          <t>Lobsters, crabs</t>
        </is>
      </c>
      <c r="D351" t="inlineStr">
        <is>
          <t>Crustaceans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0.005</v>
      </c>
      <c r="AA351" t="n">
        <v>0.004</v>
      </c>
      <c r="AB351" t="n">
        <v>0.005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0.007</v>
      </c>
      <c r="BC351" t="n">
        <v>0.015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0.001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0.001</v>
      </c>
      <c r="BU351" t="n">
        <v>0.002</v>
      </c>
      <c r="BV351" t="n">
        <v>0.003</v>
      </c>
    </row>
    <row r="352">
      <c r="A352" t="inlineStr">
        <is>
          <t>Callista chione</t>
        </is>
      </c>
      <c r="B352" t="inlineStr">
        <is>
          <t>Smooth callista</t>
        </is>
      </c>
      <c r="C352" t="inlineStr">
        <is>
          <t>Other demersal invertebrates</t>
        </is>
      </c>
      <c r="D352" t="inlineStr">
        <is>
          <t>Molluscs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0.039</v>
      </c>
    </row>
    <row r="353">
      <c r="A353" t="inlineStr">
        <is>
          <t>Ommastrephidae</t>
        </is>
      </c>
      <c r="B353" t="inlineStr">
        <is>
          <t>Arrow squids</t>
        </is>
      </c>
      <c r="C353" t="inlineStr">
        <is>
          <t>Cephalopods</t>
        </is>
      </c>
      <c r="D353" t="inlineStr">
        <is>
          <t>Other fishes &amp; inverts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0.001</v>
      </c>
      <c r="BU353" t="n">
        <v>0.014</v>
      </c>
      <c r="BV353" t="n">
        <v>0.021</v>
      </c>
    </row>
    <row r="354">
      <c r="A354" t="inlineStr">
        <is>
          <t>Palaemon longirostris</t>
        </is>
      </c>
      <c r="B354" t="inlineStr">
        <is>
          <t>Delta prawn</t>
        </is>
      </c>
      <c r="C354" t="inlineStr">
        <is>
          <t>Shrimps</t>
        </is>
      </c>
      <c r="D354" t="inlineStr">
        <is>
          <t>Crustaceans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0.001</v>
      </c>
      <c r="BC354" t="n">
        <v>0.002</v>
      </c>
      <c r="BD354" t="n">
        <v>0.002</v>
      </c>
      <c r="BE354" t="n">
        <v>0.002</v>
      </c>
      <c r="BF354" t="n">
        <v>0.003</v>
      </c>
      <c r="BG354" t="n">
        <v>0.004</v>
      </c>
      <c r="BH354" t="n">
        <v>0.002</v>
      </c>
      <c r="BI354" t="n">
        <v>0.001</v>
      </c>
      <c r="BJ354" t="n">
        <v>0.001</v>
      </c>
      <c r="BK354" t="n">
        <v>0.001</v>
      </c>
      <c r="BL354" t="n">
        <v>0</v>
      </c>
      <c r="BM354" t="n">
        <v>0.001</v>
      </c>
      <c r="BN354" t="n">
        <v>0</v>
      </c>
      <c r="BO354" t="n">
        <v>0.003</v>
      </c>
      <c r="BP354" t="n">
        <v>0.002</v>
      </c>
      <c r="BQ354" t="n">
        <v>0.002</v>
      </c>
      <c r="BR354" t="n">
        <v>0.002</v>
      </c>
      <c r="BS354" t="n">
        <v>0.001</v>
      </c>
      <c r="BT354" t="n">
        <v>0.001</v>
      </c>
      <c r="BU354" t="n">
        <v>0.001</v>
      </c>
      <c r="BV354" t="n">
        <v>0.002</v>
      </c>
    </row>
    <row r="355">
      <c r="A355" t="inlineStr">
        <is>
          <t>Phycis</t>
        </is>
      </c>
      <c r="B355" t="inlineStr">
        <is>
          <t>Gunnels, forkbeards</t>
        </is>
      </c>
      <c r="C355" t="inlineStr">
        <is>
          <t>Medium benthopelagics (30 - 89 cm)</t>
        </is>
      </c>
      <c r="D355" t="inlineStr">
        <is>
          <t>Cod-likes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0.016</v>
      </c>
      <c r="BV355" t="n">
        <v>0.018</v>
      </c>
    </row>
    <row r="356">
      <c r="A356" t="inlineStr">
        <is>
          <t>Palinuridae</t>
        </is>
      </c>
      <c r="B356" t="inlineStr">
        <is>
          <t>Spiny lobsters</t>
        </is>
      </c>
      <c r="C356" t="inlineStr">
        <is>
          <t>Lobsters, crabs</t>
        </is>
      </c>
      <c r="D356" t="inlineStr">
        <is>
          <t>Crustaceans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0.03</v>
      </c>
    </row>
    <row r="357">
      <c r="A357" t="inlineStr">
        <is>
          <t>Chelon auratus</t>
        </is>
      </c>
      <c r="B357" t="inlineStr">
        <is>
          <t>Golden grey mullet</t>
        </is>
      </c>
      <c r="C357" t="inlineStr">
        <is>
          <t>Medium pelagics (30 - 89 cm)</t>
        </is>
      </c>
      <c r="D357" t="inlineStr">
        <is>
          <t>Other fishes &amp; inverts</t>
        </is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0.002</v>
      </c>
      <c r="BO357" t="n">
        <v>0.003</v>
      </c>
      <c r="BP357" t="n">
        <v>0.002</v>
      </c>
      <c r="BQ357" t="n">
        <v>0.002</v>
      </c>
      <c r="BR357" t="n">
        <v>0.002</v>
      </c>
      <c r="BS357" t="n">
        <v>0.004</v>
      </c>
      <c r="BT357" t="n">
        <v>0.006</v>
      </c>
      <c r="BU357" t="n">
        <v>0.002</v>
      </c>
      <c r="BV357" t="n">
        <v>0.003</v>
      </c>
    </row>
    <row r="358">
      <c r="A358" t="inlineStr">
        <is>
          <t>Trachichthyidae</t>
        </is>
      </c>
      <c r="B358" t="inlineStr">
        <is>
          <t>Slimeheads</t>
        </is>
      </c>
      <c r="C358" t="inlineStr">
        <is>
          <t>Medium bathypelagics (30 - 89 cm)</t>
        </is>
      </c>
      <c r="D358" t="inlineStr">
        <is>
          <t>Other fishes &amp; inverts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0.015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0.005</v>
      </c>
      <c r="BV358" t="n">
        <v>0.005</v>
      </c>
    </row>
    <row r="359">
      <c r="A359" t="inlineStr">
        <is>
          <t>Paracentrotus lividus</t>
        </is>
      </c>
      <c r="B359" t="inlineStr">
        <is>
          <t>Stony sea urchin</t>
        </is>
      </c>
      <c r="C359" t="inlineStr">
        <is>
          <t>Other demersal invertebrates</t>
        </is>
      </c>
      <c r="D359" t="inlineStr">
        <is>
          <t>Other fishes &amp; inverts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0.011</v>
      </c>
      <c r="AA359" t="n">
        <v>0.005</v>
      </c>
      <c r="AB359" t="n">
        <v>0.005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</row>
    <row r="360">
      <c r="A360" t="inlineStr">
        <is>
          <t>Istiophorus albicans</t>
        </is>
      </c>
      <c r="B360" t="inlineStr">
        <is>
          <t>Atlantic sailfish</t>
        </is>
      </c>
      <c r="C360" t="inlineStr">
        <is>
          <t>Large pelagics (&gt;=90 cm)</t>
        </is>
      </c>
      <c r="D360" t="inlineStr">
        <is>
          <t>Tuna &amp; billfishes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0.012</v>
      </c>
      <c r="BM360" t="n">
        <v>0.002</v>
      </c>
      <c r="BN360" t="n">
        <v>0</v>
      </c>
      <c r="BO360" t="n">
        <v>0</v>
      </c>
      <c r="BP360" t="n">
        <v>0</v>
      </c>
      <c r="BQ360" t="n">
        <v>0.005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</row>
    <row r="361">
      <c r="A361" t="inlineStr">
        <is>
          <t>Dicentrarchus punctatus</t>
        </is>
      </c>
      <c r="B361" t="inlineStr">
        <is>
          <t>Spotted seabass</t>
        </is>
      </c>
      <c r="C361" t="inlineStr">
        <is>
          <t>Medium pelagics (30 - 89 cm)</t>
        </is>
      </c>
      <c r="D361" t="inlineStr">
        <is>
          <t>Perch-likes</t>
        </is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0.016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</row>
    <row r="362">
      <c r="A362" t="inlineStr">
        <is>
          <t>Bramidae</t>
        </is>
      </c>
      <c r="B362" t="inlineStr">
        <is>
          <t>Pomfrets</t>
        </is>
      </c>
      <c r="C362" t="inlineStr">
        <is>
          <t>Medium pelagics (30 - 89 cm)</t>
        </is>
      </c>
      <c r="D362" t="inlineStr">
        <is>
          <t>Perch-likes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0.011</v>
      </c>
      <c r="BS362" t="n">
        <v>0</v>
      </c>
      <c r="BT362" t="n">
        <v>0</v>
      </c>
      <c r="BU362" t="n">
        <v>0.001</v>
      </c>
      <c r="BV362" t="n">
        <v>0.001</v>
      </c>
    </row>
    <row r="363">
      <c r="A363" t="inlineStr">
        <is>
          <t>Spisula ovalis</t>
        </is>
      </c>
      <c r="B363" t="inlineStr">
        <is>
          <t>Venus clam</t>
        </is>
      </c>
      <c r="C363" t="inlineStr">
        <is>
          <t>Other demersal invertebrates</t>
        </is>
      </c>
      <c r="D363" t="inlineStr">
        <is>
          <t>Molluscs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0.001</v>
      </c>
      <c r="BQ363" t="n">
        <v>0</v>
      </c>
      <c r="BR363" t="n">
        <v>0</v>
      </c>
      <c r="BS363" t="n">
        <v>0</v>
      </c>
      <c r="BT363" t="n">
        <v>0</v>
      </c>
      <c r="BU363" t="n">
        <v>0.01</v>
      </c>
      <c r="BV363" t="n">
        <v>0.001</v>
      </c>
    </row>
    <row r="364">
      <c r="A364" t="inlineStr">
        <is>
          <t>Chlamys islandica</t>
        </is>
      </c>
      <c r="B364" t="inlineStr">
        <is>
          <t>Iceland scallop</t>
        </is>
      </c>
      <c r="C364" t="inlineStr">
        <is>
          <t>Other demersal invertebrates</t>
        </is>
      </c>
      <c r="D364" t="inlineStr">
        <is>
          <t>Molluscs</t>
        </is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0.012</v>
      </c>
      <c r="BV364" t="n">
        <v>0</v>
      </c>
    </row>
    <row r="365">
      <c r="A365" t="inlineStr">
        <is>
          <t>Ammodytes tobianus</t>
        </is>
      </c>
      <c r="B365" t="inlineStr">
        <is>
          <t>Small sandeel</t>
        </is>
      </c>
      <c r="C365" t="inlineStr">
        <is>
          <t>Small demersals (&lt;30 cm)</t>
        </is>
      </c>
      <c r="D365" t="inlineStr">
        <is>
          <t>Perch-likes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0.012</v>
      </c>
    </row>
    <row r="366">
      <c r="A366" t="inlineStr">
        <is>
          <t>Centroscyllium fabricii</t>
        </is>
      </c>
      <c r="B366" t="inlineStr">
        <is>
          <t>Black dogfish</t>
        </is>
      </c>
      <c r="C366" t="inlineStr">
        <is>
          <t>Small to medium sharks (&lt;90 cm)</t>
        </is>
      </c>
      <c r="D366" t="inlineStr">
        <is>
          <t>Sharks &amp; rays</t>
        </is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0.011</v>
      </c>
      <c r="BS366" t="n">
        <v>0</v>
      </c>
      <c r="BT366" t="n">
        <v>0</v>
      </c>
      <c r="BU366" t="n">
        <v>0</v>
      </c>
      <c r="BV366" t="n">
        <v>0</v>
      </c>
    </row>
    <row r="367">
      <c r="A367" t="inlineStr">
        <is>
          <t>Myliobatis aquila</t>
        </is>
      </c>
      <c r="B367" t="inlineStr">
        <is>
          <t>Common eagle ray</t>
        </is>
      </c>
      <c r="C367" t="inlineStr">
        <is>
          <t>Large rays (&gt;=90 cm)</t>
        </is>
      </c>
      <c r="D367" t="inlineStr">
        <is>
          <t>Sharks &amp; rays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0.004</v>
      </c>
      <c r="BM367" t="n">
        <v>0</v>
      </c>
      <c r="BN367" t="n">
        <v>0.004</v>
      </c>
      <c r="BO367" t="n">
        <v>0</v>
      </c>
      <c r="BP367" t="n">
        <v>0</v>
      </c>
      <c r="BQ367" t="n">
        <v>0</v>
      </c>
      <c r="BR367" t="n">
        <v>0.002</v>
      </c>
      <c r="BS367" t="n">
        <v>0</v>
      </c>
      <c r="BT367" t="n">
        <v>0</v>
      </c>
      <c r="BU367" t="n">
        <v>0</v>
      </c>
      <c r="BV367" t="n">
        <v>0</v>
      </c>
    </row>
    <row r="368">
      <c r="A368" t="inlineStr">
        <is>
          <t>Galeus melastomus</t>
        </is>
      </c>
      <c r="B368" t="inlineStr">
        <is>
          <t>Blackmouth catshark</t>
        </is>
      </c>
      <c r="C368" t="inlineStr">
        <is>
          <t>Small to medium sharks (&lt;90 cm)</t>
        </is>
      </c>
      <c r="D368" t="inlineStr">
        <is>
          <t>Sharks &amp; rays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0.004</v>
      </c>
      <c r="BV368" t="n">
        <v>0.005</v>
      </c>
    </row>
    <row r="369">
      <c r="A369" t="inlineStr">
        <is>
          <t>Pagellus</t>
        </is>
      </c>
      <c r="B369" t="inlineStr">
        <is>
          <t>Pandoras</t>
        </is>
      </c>
      <c r="C369" t="inlineStr">
        <is>
          <t>Medium benthopelagics (30 - 89 cm)</t>
        </is>
      </c>
      <c r="D369" t="inlineStr">
        <is>
          <t>Perch-likes</t>
        </is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0.004</v>
      </c>
      <c r="BV369" t="n">
        <v>0.005</v>
      </c>
    </row>
    <row r="370">
      <c r="A370" t="inlineStr">
        <is>
          <t>Hexanchus griseus</t>
        </is>
      </c>
      <c r="B370" t="inlineStr">
        <is>
          <t>Bluntnose sixgill shark</t>
        </is>
      </c>
      <c r="C370" t="inlineStr">
        <is>
          <t>Large sharks (&gt;=90 cm)</t>
        </is>
      </c>
      <c r="D370" t="inlineStr">
        <is>
          <t>Sharks &amp; rays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0.008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</row>
    <row r="371">
      <c r="A371" t="inlineStr">
        <is>
          <t>Lamnidae</t>
        </is>
      </c>
      <c r="B371" t="inlineStr">
        <is>
          <t>Mackerel/white sharks</t>
        </is>
      </c>
      <c r="C371" t="inlineStr">
        <is>
          <t>Large sharks (&gt;=90 cm)</t>
        </is>
      </c>
      <c r="D371" t="inlineStr">
        <is>
          <t>Sharks &amp; rays</t>
        </is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0.008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</row>
    <row r="372">
      <c r="A372" t="inlineStr">
        <is>
          <t>Sepia</t>
        </is>
      </c>
      <c r="B372" t="inlineStr">
        <is>
          <t>Sepia cuttlefishes</t>
        </is>
      </c>
      <c r="C372" t="inlineStr">
        <is>
          <t>Cephalopods</t>
        </is>
      </c>
      <c r="D372" t="inlineStr">
        <is>
          <t>Other fishes &amp; inverts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0.008</v>
      </c>
      <c r="BV372" t="n">
        <v>0</v>
      </c>
    </row>
    <row r="373">
      <c r="A373" t="inlineStr">
        <is>
          <t>Chlamys</t>
        </is>
      </c>
      <c r="B373" t="inlineStr">
        <is>
          <t>Cloak scallops</t>
        </is>
      </c>
      <c r="C373" t="inlineStr">
        <is>
          <t>Other demersal invertebrates</t>
        </is>
      </c>
      <c r="D373" t="inlineStr">
        <is>
          <t>Molluscs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0.001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0.003</v>
      </c>
      <c r="BV373" t="n">
        <v>0.003</v>
      </c>
    </row>
    <row r="374">
      <c r="A374" t="inlineStr">
        <is>
          <t>Torpedo marmorata</t>
        </is>
      </c>
      <c r="B374" t="inlineStr">
        <is>
          <t>Marbled electric ray</t>
        </is>
      </c>
      <c r="C374" t="inlineStr">
        <is>
          <t>Large rays (&gt;=90 cm)</t>
        </is>
      </c>
      <c r="D374" t="inlineStr">
        <is>
          <t>Sharks &amp; rays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0.005</v>
      </c>
    </row>
    <row r="375">
      <c r="A375" t="inlineStr">
        <is>
          <t>Haliotis tuberculata</t>
        </is>
      </c>
      <c r="B375" t="inlineStr">
        <is>
          <t>Tuberculate abalone</t>
        </is>
      </c>
      <c r="C375" t="inlineStr">
        <is>
          <t>Other demersal invertebrates</t>
        </is>
      </c>
      <c r="D375" t="inlineStr">
        <is>
          <t>Molluscs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0.004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</row>
    <row r="376">
      <c r="A376" t="inlineStr">
        <is>
          <t>Ostreidae</t>
        </is>
      </c>
      <c r="B376" t="inlineStr">
        <is>
          <t>True oysters</t>
        </is>
      </c>
      <c r="C376" t="inlineStr">
        <is>
          <t>Other demersal invertebrates</t>
        </is>
      </c>
      <c r="D376" t="inlineStr">
        <is>
          <t>Molluscs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0.002</v>
      </c>
      <c r="BP376" t="n">
        <v>0.002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</row>
    <row r="377">
      <c r="A377" t="inlineStr">
        <is>
          <t>Murex</t>
        </is>
      </c>
      <c r="B377" t="inlineStr">
        <is>
          <t>Murex shells</t>
        </is>
      </c>
      <c r="C377" t="inlineStr">
        <is>
          <t>Other demersal invertebrates</t>
        </is>
      </c>
      <c r="D377" t="inlineStr">
        <is>
          <t>Molluscs</t>
        </is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0.002</v>
      </c>
      <c r="BV377" t="n">
        <v>0.002</v>
      </c>
    </row>
    <row r="378">
      <c r="A378" t="inlineStr">
        <is>
          <t>Modiolus</t>
        </is>
      </c>
      <c r="B378" t="inlineStr">
        <is>
          <t>Horse mussels</t>
        </is>
      </c>
      <c r="C378" t="inlineStr">
        <is>
          <t>Other demersal invertebrates</t>
        </is>
      </c>
      <c r="D378" t="inlineStr">
        <is>
          <t>Molluscs</t>
        </is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0.002</v>
      </c>
      <c r="BU378" t="n">
        <v>0</v>
      </c>
      <c r="BV378" t="n">
        <v>0</v>
      </c>
    </row>
    <row r="379">
      <c r="A379" t="inlineStr">
        <is>
          <t>Solen vagina</t>
        </is>
      </c>
      <c r="B379" t="inlineStr">
        <is>
          <t>European razor clam</t>
        </is>
      </c>
      <c r="C379" t="inlineStr">
        <is>
          <t>Other demersal invertebrates</t>
        </is>
      </c>
      <c r="D379" t="inlineStr">
        <is>
          <t>Molluscs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0.001</v>
      </c>
      <c r="BV379" t="n">
        <v>0.001</v>
      </c>
    </row>
    <row r="380">
      <c r="A380" t="inlineStr">
        <is>
          <t>Trichiurus</t>
        </is>
      </c>
      <c r="B380" t="inlineStr">
        <is>
          <t>Hairtails</t>
        </is>
      </c>
      <c r="C380" t="inlineStr">
        <is>
          <t>Large benthopelagics (&gt;=90 cm)</t>
        </is>
      </c>
      <c r="D380" t="inlineStr">
        <is>
          <t>Perch-likes</t>
        </is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0.001</v>
      </c>
      <c r="BV380" t="n">
        <v>0.001</v>
      </c>
    </row>
    <row r="381">
      <c r="A381" t="inlineStr">
        <is>
          <t>Petromyzontidae</t>
        </is>
      </c>
      <c r="B381" t="inlineStr">
        <is>
          <t>Lampreys</t>
        </is>
      </c>
      <c r="C381" t="inlineStr">
        <is>
          <t>Large demersals (&gt;=90 cm)</t>
        </is>
      </c>
      <c r="D381" t="inlineStr">
        <is>
          <t>Other fishes &amp; inverts</t>
        </is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</row>
    <row r="382">
      <c r="A382" t="inlineStr">
        <is>
          <t>Chelon saliens</t>
        </is>
      </c>
      <c r="B382" t="inlineStr">
        <is>
          <t>Leaping mullet</t>
        </is>
      </c>
      <c r="C382" t="inlineStr">
        <is>
          <t>Medium demersals (30 - 89 cm)</t>
        </is>
      </c>
      <c r="D382" t="inlineStr">
        <is>
          <t>Perch-likes</t>
        </is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</row>
    <row r="383">
      <c r="A383" t="inlineStr">
        <is>
          <t>Dasyatidae</t>
        </is>
      </c>
      <c r="B383" t="inlineStr">
        <is>
          <t>Whiptail stingrays</t>
        </is>
      </c>
      <c r="C383" t="inlineStr">
        <is>
          <t>Large rays (&gt;=90 cm)</t>
        </is>
      </c>
      <c r="D383" t="inlineStr">
        <is>
          <t>Sharks &amp; rays</t>
        </is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</row>
    <row r="384">
      <c r="A384" t="inlineStr">
        <is>
          <t>Patella</t>
        </is>
      </c>
      <c r="B384" t="inlineStr">
        <is>
          <t>Limpets</t>
        </is>
      </c>
      <c r="C384" t="inlineStr">
        <is>
          <t>Other demersal invertebrates</t>
        </is>
      </c>
      <c r="D384" t="inlineStr">
        <is>
          <t>Molluscs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</row>
    <row r="385">
      <c r="A385" t="inlineStr">
        <is>
          <t>Merluccius</t>
        </is>
      </c>
      <c r="B385" t="inlineStr">
        <is>
          <t>Hakes</t>
        </is>
      </c>
      <c r="C385" t="inlineStr">
        <is>
          <t>Medium bathydemersals (30 - 89 cm)</t>
        </is>
      </c>
      <c r="D385" t="inlineStr">
        <is>
          <t>Cod-likes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8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28" customWidth="1" min="3" max="3"/>
    <col width="20" customWidth="1" min="4" max="4"/>
    <col width="40" customWidth="1" min="5" max="5"/>
    <col width="18" customWidth="1" min="6" max="6"/>
    <col width="18" customWidth="1" min="7" max="7"/>
    <col width="12" customWidth="1" min="8" max="8"/>
    <col width="20" customWidth="1" min="9" max="9"/>
    <col width="14" customWidth="1" min="10" max="10"/>
    <col width="10" customWidth="1" min="11" max="11"/>
    <col width="110" customWidth="1" min="12" max="12"/>
  </cols>
  <sheetData>
    <row r="1">
      <c r="A1" s="1" t="inlineStr">
        <is>
          <t>Which Ecopath group each catch taxon belongs to, and on what evidence.</t>
        </is>
      </c>
    </row>
    <row r="2">
      <c r="A2" t="inlineStr">
        <is>
          <t>Several groups separated by | means the taxon spans them and its catch is apportioned; the weights used are in the next two columns.</t>
        </is>
      </c>
    </row>
    <row r="4">
      <c r="A4" s="4" t="inlineStr">
        <is>
          <t>taxon</t>
        </is>
      </c>
      <c r="B4" s="4" t="inlineStr">
        <is>
          <t>common_name</t>
        </is>
      </c>
      <c r="C4" s="4" t="inlineStr">
        <is>
          <t>SAU functional group</t>
        </is>
      </c>
      <c r="D4" s="4" t="inlineStr">
        <is>
          <t>SAU commercial group</t>
        </is>
      </c>
      <c r="E4" s="4" t="inlineStr">
        <is>
          <t>Ecopath group</t>
        </is>
      </c>
      <c r="F4" s="4" t="inlineStr">
        <is>
          <t>weights</t>
        </is>
      </c>
      <c r="G4" s="4" t="inlineStr">
        <is>
          <t>weight basis</t>
        </is>
      </c>
      <c r="H4" s="4" t="inlineStr">
        <is>
          <t>confidence</t>
        </is>
      </c>
      <c r="I4" s="4" t="inlineStr">
        <is>
          <t>evidence</t>
        </is>
      </c>
      <c r="J4" s="4" t="inlineStr">
        <is>
          <t>catch tonnes</t>
        </is>
      </c>
      <c r="K4" s="4" t="inlineStr">
        <is>
          <t>% of catch</t>
        </is>
      </c>
      <c r="L4" s="4" t="inlineStr">
        <is>
          <t>explanation</t>
        </is>
      </c>
    </row>
    <row r="5">
      <c r="A5" t="inlineStr">
        <is>
          <t>Clupea harengus</t>
        </is>
      </c>
      <c r="B5" t="inlineStr">
        <is>
          <t>Atlantic herring</t>
        </is>
      </c>
      <c r="C5" t="inlineStr">
        <is>
          <t>Medium pelagics (30 - 89 cm)</t>
        </is>
      </c>
      <c r="D5" t="inlineStr">
        <is>
          <t>Herring-likes</t>
        </is>
      </c>
      <c r="E5" s="5" t="inlineStr">
        <is>
          <t>Herring</t>
        </is>
      </c>
      <c r="F5" t="inlineStr"/>
      <c r="G5" t="inlineStr"/>
      <c r="H5" t="inlineStr">
        <is>
          <t>high</t>
        </is>
      </c>
      <c r="I5" t="inlineStr">
        <is>
          <t>explicit_member</t>
        </is>
      </c>
      <c r="J5" t="n">
        <v>44483947.668</v>
      </c>
      <c r="K5" t="n">
        <v>21.3556</v>
      </c>
      <c r="L5" s="6" t="inlineStr">
        <is>
          <t>Table S2 explicitly lists Clupea harengus in this model group; source membership overrides the SAU habitat-size class.</t>
        </is>
      </c>
    </row>
    <row r="6">
      <c r="A6" t="inlineStr">
        <is>
          <t>Marine fishes not identified</t>
        </is>
      </c>
      <c r="B6" t="inlineStr">
        <is>
          <t>Marine fishes nei</t>
        </is>
      </c>
      <c r="C6" t="inlineStr">
        <is>
          <t>Medium demersals (30 - 89 cm)</t>
        </is>
      </c>
      <c r="D6" t="inlineStr">
        <is>
          <t>Other fishes &amp; inverts</t>
        </is>
      </c>
      <c r="E6" s="7" t="inlineStr">
        <is>
          <t>Flatfishes | Monkfish | Large Dem. fish</t>
        </is>
      </c>
      <c r="F6" t="inlineStr">
        <is>
          <t>0.878 | 0.027 | 0.095</t>
        </is>
      </c>
      <c r="G6" t="inlineStr">
        <is>
          <t>catch_composition</t>
        </is>
      </c>
      <c r="H6" t="inlineStr">
        <is>
          <t>low</t>
        </is>
      </c>
      <c r="I6" t="inlineStr">
        <is>
          <t>composite_split</t>
        </is>
      </c>
      <c r="J6" t="n">
        <v>29733130.467</v>
      </c>
      <c r="K6" t="n">
        <v>14.2741</v>
      </c>
      <c r="L6" s="6" t="inlineStr">
        <is>
          <t>Analyst inference: SAU medium demersal unidentified catch spans the model's multi-species demersal pools (Table S2). Species-specific commercial stocks are excluded under the coarse-taxon workflow. This broad, unobserved composition is a major uncertainty; fixed weights use identified catch in these pools.</t>
        </is>
      </c>
    </row>
    <row r="7">
      <c r="A7" t="inlineStr">
        <is>
          <t>Scomber scombrus</t>
        </is>
      </c>
      <c r="B7" t="inlineStr">
        <is>
          <t>Atlantic mackerel</t>
        </is>
      </c>
      <c r="C7" t="inlineStr">
        <is>
          <t>Medium pelagics (30 - 89 cm)</t>
        </is>
      </c>
      <c r="D7" t="inlineStr">
        <is>
          <t>Perch-likes</t>
        </is>
      </c>
      <c r="E7" s="5" t="inlineStr">
        <is>
          <t>Large Pelagics</t>
        </is>
      </c>
      <c r="F7" t="inlineStr"/>
      <c r="G7" t="inlineStr"/>
      <c r="H7" t="inlineStr">
        <is>
          <t>high</t>
        </is>
      </c>
      <c r="I7" t="inlineStr">
        <is>
          <t>explicit_member</t>
        </is>
      </c>
      <c r="J7" t="n">
        <v>16745086.077</v>
      </c>
      <c r="K7" t="n">
        <v>8.0389</v>
      </c>
      <c r="L7" s="6" t="inlineStr">
        <is>
          <t>Table S2 explicitly lists Scomber scombrus in this model group; source membership overrides the SAU habitat-size class.</t>
        </is>
      </c>
    </row>
    <row r="8">
      <c r="A8" t="inlineStr">
        <is>
          <t>Gadus morhua</t>
        </is>
      </c>
      <c r="B8" t="inlineStr">
        <is>
          <t>Atlantic cod</t>
        </is>
      </c>
      <c r="C8" t="inlineStr">
        <is>
          <t>Large benthopelagics (&gt;=90 cm)</t>
        </is>
      </c>
      <c r="D8" t="inlineStr">
        <is>
          <t>Cod-likes</t>
        </is>
      </c>
      <c r="E8" s="5" t="inlineStr">
        <is>
          <t>Cod</t>
        </is>
      </c>
      <c r="F8" t="inlineStr"/>
      <c r="G8" t="inlineStr"/>
      <c r="H8" t="inlineStr">
        <is>
          <t>high</t>
        </is>
      </c>
      <c r="I8" t="inlineStr">
        <is>
          <t>explicit_member</t>
        </is>
      </c>
      <c r="J8" t="n">
        <v>13334157.546</v>
      </c>
      <c r="K8" t="n">
        <v>6.4014</v>
      </c>
      <c r="L8" s="6" t="inlineStr">
        <is>
          <t>Table S2 explicitly lists Gadus morhua in this model group; source membership overrides the SAU habitat-size class.</t>
        </is>
      </c>
    </row>
    <row r="9">
      <c r="A9" t="inlineStr">
        <is>
          <t>Sprattus sprattus</t>
        </is>
      </c>
      <c r="B9" t="inlineStr">
        <is>
          <t>European sprat</t>
        </is>
      </c>
      <c r="C9" t="inlineStr">
        <is>
          <t>Small pelagics (&lt;30 cm)</t>
        </is>
      </c>
      <c r="D9" t="inlineStr">
        <is>
          <t>Herring-likes</t>
        </is>
      </c>
      <c r="E9" s="5" t="inlineStr">
        <is>
          <t>Small pelagics</t>
        </is>
      </c>
      <c r="F9" t="inlineStr"/>
      <c r="G9" t="inlineStr"/>
      <c r="H9" t="inlineStr">
        <is>
          <t>high</t>
        </is>
      </c>
      <c r="I9" t="inlineStr">
        <is>
          <t>explicit_member</t>
        </is>
      </c>
      <c r="J9" t="n">
        <v>12106574.793</v>
      </c>
      <c r="K9" t="n">
        <v>5.8121</v>
      </c>
      <c r="L9" s="6" t="inlineStr">
        <is>
          <t>Table S2 explicitly lists Sprattus sprattus in this model group; source membership overrides the SAU habitat-size class.</t>
        </is>
      </c>
    </row>
    <row r="10">
      <c r="A10" t="inlineStr">
        <is>
          <t>Trisopterus esmarkii</t>
        </is>
      </c>
      <c r="B10" t="inlineStr">
        <is>
          <t>Norway pout</t>
        </is>
      </c>
      <c r="C10" t="inlineStr">
        <is>
          <t>Medium benthopelagics (30 - 89 cm)</t>
        </is>
      </c>
      <c r="D10" t="inlineStr">
        <is>
          <t>Cod-likes</t>
        </is>
      </c>
      <c r="E10" s="5" t="inlineStr">
        <is>
          <t>Small pelagics</t>
        </is>
      </c>
      <c r="F10" t="inlineStr"/>
      <c r="G10" t="inlineStr"/>
      <c r="H10" t="inlineStr">
        <is>
          <t>high</t>
        </is>
      </c>
      <c r="I10" t="inlineStr">
        <is>
          <t>explicit_member</t>
        </is>
      </c>
      <c r="J10" t="n">
        <v>11833739.558</v>
      </c>
      <c r="K10" t="n">
        <v>5.6811</v>
      </c>
      <c r="L10" s="6" t="inlineStr">
        <is>
          <t>Table S2 explicitly lists Trisopterus esmarkii in this model group; source membership overrides the SAU habitat-size class.</t>
        </is>
      </c>
    </row>
    <row r="11">
      <c r="A11" t="inlineStr">
        <is>
          <t>Pleuronectes platessa</t>
        </is>
      </c>
      <c r="B11" t="inlineStr">
        <is>
          <t>European plaice</t>
        </is>
      </c>
      <c r="C11" t="inlineStr">
        <is>
          <t>Large flatfishes (&gt;=90 cm)</t>
        </is>
      </c>
      <c r="D11" t="inlineStr">
        <is>
          <t>Flatfishes</t>
        </is>
      </c>
      <c r="E11" s="5" t="inlineStr">
        <is>
          <t>Flatfishes</t>
        </is>
      </c>
      <c r="F11" t="inlineStr"/>
      <c r="G11" t="inlineStr"/>
      <c r="H11" t="inlineStr">
        <is>
          <t>high</t>
        </is>
      </c>
      <c r="I11" t="inlineStr">
        <is>
          <t>explicit_member</t>
        </is>
      </c>
      <c r="J11" t="n">
        <v>11472308.936</v>
      </c>
      <c r="K11" t="n">
        <v>5.5076</v>
      </c>
      <c r="L11" s="6" t="inlineStr">
        <is>
          <t>Table S2 explicitly lists Pleuronectes platessa in this model group; source membership overrides the SAU habitat-size class.</t>
        </is>
      </c>
    </row>
    <row r="12">
      <c r="A12" t="inlineStr">
        <is>
          <t>Melanogrammus aeglefinus</t>
        </is>
      </c>
      <c r="B12" t="inlineStr">
        <is>
          <t>Haddock</t>
        </is>
      </c>
      <c r="C12" t="inlineStr">
        <is>
          <t>Medium demersals (30 - 89 cm)</t>
        </is>
      </c>
      <c r="D12" t="inlineStr">
        <is>
          <t>Cod-likes</t>
        </is>
      </c>
      <c r="E12" s="5" t="inlineStr">
        <is>
          <t>Haddock</t>
        </is>
      </c>
      <c r="F12" t="inlineStr"/>
      <c r="G12" t="inlineStr"/>
      <c r="H12" t="inlineStr">
        <is>
          <t>high</t>
        </is>
      </c>
      <c r="I12" t="inlineStr">
        <is>
          <t>explicit_member</t>
        </is>
      </c>
      <c r="J12" t="n">
        <v>10774033.577</v>
      </c>
      <c r="K12" t="n">
        <v>5.1723</v>
      </c>
      <c r="L12" s="6" t="inlineStr">
        <is>
          <t>Table S2 explicitly lists Melanogrammus aeglefinus in this model group; source membership overrides the SAU habitat-size class.</t>
        </is>
      </c>
    </row>
    <row r="13">
      <c r="A13" t="inlineStr">
        <is>
          <t>Pollachius virens</t>
        </is>
      </c>
      <c r="B13" t="inlineStr">
        <is>
          <t>Saithe</t>
        </is>
      </c>
      <c r="C13" t="inlineStr">
        <is>
          <t>Large demersals (&gt;=90 cm)</t>
        </is>
      </c>
      <c r="D13" t="inlineStr">
        <is>
          <t>Cod-likes</t>
        </is>
      </c>
      <c r="E13" s="5" t="inlineStr">
        <is>
          <t>Saithe</t>
        </is>
      </c>
      <c r="F13" t="inlineStr"/>
      <c r="G13" t="inlineStr"/>
      <c r="H13" t="inlineStr">
        <is>
          <t>high</t>
        </is>
      </c>
      <c r="I13" t="inlineStr">
        <is>
          <t>explicit_member</t>
        </is>
      </c>
      <c r="J13" t="n">
        <v>8485402.640000001</v>
      </c>
      <c r="K13" t="n">
        <v>4.0736</v>
      </c>
      <c r="L13" s="6" t="inlineStr">
        <is>
          <t>Table S2 explicitly lists Pollachius virens in this model group; source membership overrides the SAU habitat-size class.</t>
        </is>
      </c>
    </row>
    <row r="14">
      <c r="A14" t="inlineStr">
        <is>
          <t>Merlangius merlangus</t>
        </is>
      </c>
      <c r="B14" t="inlineStr">
        <is>
          <t>Whiting</t>
        </is>
      </c>
      <c r="C14" t="inlineStr">
        <is>
          <t>Medium benthopelagics (30 - 89 cm)</t>
        </is>
      </c>
      <c r="D14" t="inlineStr">
        <is>
          <t>Cod-likes</t>
        </is>
      </c>
      <c r="E14" s="5" t="inlineStr">
        <is>
          <t>Whiting</t>
        </is>
      </c>
      <c r="F14" t="inlineStr"/>
      <c r="G14" t="inlineStr"/>
      <c r="H14" t="inlineStr">
        <is>
          <t>high</t>
        </is>
      </c>
      <c r="I14" t="inlineStr">
        <is>
          <t>explicit_member</t>
        </is>
      </c>
      <c r="J14" t="n">
        <v>8350556.624</v>
      </c>
      <c r="K14" t="n">
        <v>4.0089</v>
      </c>
      <c r="L14" s="6" t="inlineStr">
        <is>
          <t>Table S2 explicitly lists Merlangius merlangus in this model group; source membership overrides the SAU habitat-size class.</t>
        </is>
      </c>
    </row>
    <row r="15">
      <c r="A15" t="inlineStr">
        <is>
          <t>Micromesistius poutassou</t>
        </is>
      </c>
      <c r="B15" t="inlineStr">
        <is>
          <t>Blue whiting</t>
        </is>
      </c>
      <c r="C15" t="inlineStr">
        <is>
          <t>Medium benthopelagics (30 - 89 cm)</t>
        </is>
      </c>
      <c r="D15" t="inlineStr">
        <is>
          <t>Cod-likes</t>
        </is>
      </c>
      <c r="E15" s="5" t="inlineStr">
        <is>
          <t>Large Pelagics</t>
        </is>
      </c>
      <c r="F15" t="inlineStr"/>
      <c r="G15" t="inlineStr"/>
      <c r="H15" t="inlineStr">
        <is>
          <t>high</t>
        </is>
      </c>
      <c r="I15" t="inlineStr">
        <is>
          <t>explicit_member</t>
        </is>
      </c>
      <c r="J15" t="n">
        <v>4620345.859</v>
      </c>
      <c r="K15" t="n">
        <v>2.2181</v>
      </c>
      <c r="L15" s="6" t="inlineStr">
        <is>
          <t>Table S2 explicitly lists Micromesistius poutassou in this model group; source membership overrides the SAU habitat-size class.</t>
        </is>
      </c>
    </row>
    <row r="16">
      <c r="A16" t="inlineStr">
        <is>
          <t>Crangon crangon</t>
        </is>
      </c>
      <c r="B16" t="inlineStr">
        <is>
          <t>Common shrimp</t>
        </is>
      </c>
      <c r="C16" t="inlineStr">
        <is>
          <t>Shrimps</t>
        </is>
      </c>
      <c r="D16" t="inlineStr">
        <is>
          <t>Crustaceans</t>
        </is>
      </c>
      <c r="E16" s="5" t="inlineStr">
        <is>
          <t>Crustacea</t>
        </is>
      </c>
      <c r="F16" t="inlineStr"/>
      <c r="G16" t="inlineStr"/>
      <c r="H16" t="inlineStr">
        <is>
          <t>high</t>
        </is>
      </c>
      <c r="I16" t="inlineStr">
        <is>
          <t>explicit_member</t>
        </is>
      </c>
      <c r="J16" t="n">
        <v>4557226.392</v>
      </c>
      <c r="K16" t="n">
        <v>2.1878</v>
      </c>
      <c r="L16" s="6" t="inlineStr">
        <is>
          <t>Table S2 explicitly lists Crangon crangon in this model group; source membership overrides the SAU habitat-size class.</t>
        </is>
      </c>
    </row>
    <row r="17">
      <c r="A17" t="inlineStr">
        <is>
          <t>Limanda limanda</t>
        </is>
      </c>
      <c r="B17" t="inlineStr">
        <is>
          <t>Common dab</t>
        </is>
      </c>
      <c r="C17" t="inlineStr">
        <is>
          <t>Small to medium flatfishes (&lt;90 cm)</t>
        </is>
      </c>
      <c r="D17" t="inlineStr">
        <is>
          <t>Flatfishes</t>
        </is>
      </c>
      <c r="E17" s="5" t="inlineStr">
        <is>
          <t>Flatfishes</t>
        </is>
      </c>
      <c r="F17" t="inlineStr"/>
      <c r="G17" t="inlineStr"/>
      <c r="H17" t="inlineStr">
        <is>
          <t>high</t>
        </is>
      </c>
      <c r="I17" t="inlineStr">
        <is>
          <t>explicit_member</t>
        </is>
      </c>
      <c r="J17" t="n">
        <v>4280614.625</v>
      </c>
      <c r="K17" t="n">
        <v>2.055</v>
      </c>
      <c r="L17" s="6" t="inlineStr">
        <is>
          <t>Table S2 explicitly lists Limanda limanda in this model group; source membership overrides the SAU habitat-size class.</t>
        </is>
      </c>
    </row>
    <row r="18">
      <c r="A18" t="inlineStr">
        <is>
          <t>Mytilus edulis</t>
        </is>
      </c>
      <c r="B18" t="inlineStr">
        <is>
          <t>Blue mussel</t>
        </is>
      </c>
      <c r="C18" t="inlineStr">
        <is>
          <t>Other demersal invertebrates</t>
        </is>
      </c>
      <c r="D18" t="inlineStr">
        <is>
          <t>Molluscs</t>
        </is>
      </c>
      <c r="E18" s="5" t="inlineStr">
        <is>
          <t>Epifauna</t>
        </is>
      </c>
      <c r="F18" t="inlineStr"/>
      <c r="G18" t="inlineStr"/>
      <c r="H18" t="inlineStr">
        <is>
          <t>high</t>
        </is>
      </c>
      <c r="I18" t="inlineStr">
        <is>
          <t>explicit_member</t>
        </is>
      </c>
      <c r="J18" t="n">
        <v>3878700.62</v>
      </c>
      <c r="K18" t="n">
        <v>1.8621</v>
      </c>
      <c r="L18" s="6" t="inlineStr">
        <is>
          <t>Table S2 explicitly lists Mytilus edulis in this model group; source membership overrides the SAU habitat-size class.</t>
        </is>
      </c>
    </row>
    <row r="19">
      <c r="A19" t="inlineStr">
        <is>
          <t>Marine finfishes not identified</t>
        </is>
      </c>
      <c r="B19" t="inlineStr">
        <is>
          <t>Finfishes</t>
        </is>
      </c>
      <c r="C19" t="inlineStr">
        <is>
          <t>Medium demersals (30 - 89 cm)</t>
        </is>
      </c>
      <c r="D19" t="inlineStr">
        <is>
          <t>Other fishes &amp; inverts</t>
        </is>
      </c>
      <c r="E19" s="7" t="inlineStr">
        <is>
          <t>Flatfishes | Monkfish | Large Dem. fish</t>
        </is>
      </c>
      <c r="F19" t="inlineStr">
        <is>
          <t>0.878 | 0.027 | 0.095</t>
        </is>
      </c>
      <c r="G19" t="inlineStr">
        <is>
          <t>catch_composition</t>
        </is>
      </c>
      <c r="H19" t="inlineStr">
        <is>
          <t>low</t>
        </is>
      </c>
      <c r="I19" t="inlineStr">
        <is>
          <t>composite_split</t>
        </is>
      </c>
      <c r="J19" t="n">
        <v>2348602.181</v>
      </c>
      <c r="K19" t="n">
        <v>1.1275</v>
      </c>
      <c r="L19" s="6" t="inlineStr">
        <is>
          <t>Analyst inference: SAU medium demersal unidentified catch spans the model's multi-species demersal pools (Table S2). Species-specific commercial stocks are excluded under the coarse-taxon workflow. This broad, unobserved composition is a major uncertainty; fixed weights use identified catch in these pools.</t>
        </is>
      </c>
    </row>
    <row r="20">
      <c r="A20" t="inlineStr">
        <is>
          <t>Ammodytes marinus</t>
        </is>
      </c>
      <c r="B20" t="inlineStr">
        <is>
          <t>Lesser sand-eel</t>
        </is>
      </c>
      <c r="C20" t="inlineStr">
        <is>
          <t>Large reef assoc. fish (&gt;=90 cm)</t>
        </is>
      </c>
      <c r="D20" t="inlineStr">
        <is>
          <t>Perch-likes</t>
        </is>
      </c>
      <c r="E20" s="5" t="inlineStr">
        <is>
          <t>Small pelagics</t>
        </is>
      </c>
      <c r="F20" t="inlineStr"/>
      <c r="G20" t="inlineStr"/>
      <c r="H20" t="inlineStr">
        <is>
          <t>high</t>
        </is>
      </c>
      <c r="I20" t="inlineStr">
        <is>
          <t>explicit_member</t>
        </is>
      </c>
      <c r="J20" t="n">
        <v>1980091.321</v>
      </c>
      <c r="K20" t="n">
        <v>0.9506</v>
      </c>
      <c r="L20" s="6" t="inlineStr">
        <is>
          <t>Table S2 explicitly lists Ammodytes marinus in this model group; source membership overrides the SAU habitat-size class.</t>
        </is>
      </c>
    </row>
    <row r="21">
      <c r="A21" t="inlineStr">
        <is>
          <t>Trachurus trachurus</t>
        </is>
      </c>
      <c r="B21" t="inlineStr">
        <is>
          <t>Atlantic horse mackerel</t>
        </is>
      </c>
      <c r="C21" t="inlineStr">
        <is>
          <t>Medium pelagics (30 - 89 cm)</t>
        </is>
      </c>
      <c r="D21" t="inlineStr">
        <is>
          <t>Perch-likes</t>
        </is>
      </c>
      <c r="E21" s="5" t="inlineStr">
        <is>
          <t>Large Pelagics</t>
        </is>
      </c>
      <c r="F21" t="inlineStr"/>
      <c r="G21" t="inlineStr"/>
      <c r="H21" t="inlineStr">
        <is>
          <t>high</t>
        </is>
      </c>
      <c r="I21" t="inlineStr">
        <is>
          <t>explicit_member</t>
        </is>
      </c>
      <c r="J21" t="n">
        <v>1949460.462</v>
      </c>
      <c r="K21" t="n">
        <v>0.9359</v>
      </c>
      <c r="L21" s="6" t="inlineStr">
        <is>
          <t>Table S2 explicitly lists Trachurus trachurus in this model group; source membership overrides the SAU habitat-size class.</t>
        </is>
      </c>
    </row>
    <row r="22">
      <c r="A22" t="inlineStr">
        <is>
          <t>Solea solea</t>
        </is>
      </c>
      <c r="B22" t="inlineStr">
        <is>
          <t>Common sole</t>
        </is>
      </c>
      <c r="C22" t="inlineStr">
        <is>
          <t>Small to medium flatfishes (&lt;90 cm)</t>
        </is>
      </c>
      <c r="D22" t="inlineStr">
        <is>
          <t>Flatfishes</t>
        </is>
      </c>
      <c r="E22" s="5" t="inlineStr">
        <is>
          <t>Flatfishes</t>
        </is>
      </c>
      <c r="F22" t="inlineStr"/>
      <c r="G22" t="inlineStr"/>
      <c r="H22" t="inlineStr">
        <is>
          <t>high</t>
        </is>
      </c>
      <c r="I22" t="inlineStr">
        <is>
          <t>explicit_member</t>
        </is>
      </c>
      <c r="J22" t="n">
        <v>1672792.169</v>
      </c>
      <c r="K22" t="n">
        <v>0.8031</v>
      </c>
      <c r="L22" s="6" t="inlineStr">
        <is>
          <t>Table S2 explicitly lists Solea solea in this model group; source membership overrides the SAU habitat-size class.</t>
        </is>
      </c>
    </row>
    <row r="23">
      <c r="A23" t="inlineStr">
        <is>
          <t>Cerastoderma edule</t>
        </is>
      </c>
      <c r="B23" t="inlineStr">
        <is>
          <t>Common cockle</t>
        </is>
      </c>
      <c r="C23" t="inlineStr">
        <is>
          <t>Other demersal invertebrates</t>
        </is>
      </c>
      <c r="D23" t="inlineStr">
        <is>
          <t>Molluscs</t>
        </is>
      </c>
      <c r="E23" s="8" t="inlineStr">
        <is>
          <t>Epifauna</t>
        </is>
      </c>
      <c r="F23" t="inlineStr"/>
      <c r="G23" t="inlineStr"/>
      <c r="H23" t="inlineStr">
        <is>
          <t>medium</t>
        </is>
      </c>
      <c r="I23" t="inlineStr">
        <is>
          <t>taxonomic_containment</t>
        </is>
      </c>
      <c r="J23" t="n">
        <v>1395522.042</v>
      </c>
      <c r="K23" t="n">
        <v>0.67</v>
      </c>
      <c r="L23" s="6" t="inlineStr">
        <is>
          <t>Table S2 Epifauna explicitly includes mussels, oysters, scallops, cockles, periwinkles and whelks; this catch label belongs to those source-defined categories.</t>
        </is>
      </c>
    </row>
    <row r="24">
      <c r="A24" t="inlineStr">
        <is>
          <t>Nephrops norvegicus</t>
        </is>
      </c>
      <c r="B24" t="inlineStr">
        <is>
          <t>Norway lobster</t>
        </is>
      </c>
      <c r="C24" t="inlineStr">
        <is>
          <t>Lobsters, crabs</t>
        </is>
      </c>
      <c r="D24" t="inlineStr">
        <is>
          <t>Crustaceans</t>
        </is>
      </c>
      <c r="E24" s="5" t="inlineStr">
        <is>
          <t>Crustacea</t>
        </is>
      </c>
      <c r="F24" t="inlineStr"/>
      <c r="G24" t="inlineStr"/>
      <c r="H24" t="inlineStr">
        <is>
          <t>high</t>
        </is>
      </c>
      <c r="I24" t="inlineStr">
        <is>
          <t>explicit_member</t>
        </is>
      </c>
      <c r="J24" t="n">
        <v>1105909.216</v>
      </c>
      <c r="K24" t="n">
        <v>0.5309</v>
      </c>
      <c r="L24" s="6" t="inlineStr">
        <is>
          <t>Table S2 explicitly lists Nephrops norvegicus in this model group; source membership overrides the SAU habitat-size class.</t>
        </is>
      </c>
    </row>
    <row r="25">
      <c r="A25" t="inlineStr">
        <is>
          <t>Squalus acanthias</t>
        </is>
      </c>
      <c r="B25" t="inlineStr">
        <is>
          <t>Picked dogfish</t>
        </is>
      </c>
      <c r="C25" t="inlineStr">
        <is>
          <t>Large sharks (&gt;=90 cm)</t>
        </is>
      </c>
      <c r="D25" t="inlineStr">
        <is>
          <t>Sharks &amp; rays</t>
        </is>
      </c>
      <c r="E25" s="5" t="inlineStr">
        <is>
          <t>Sharks &amp; rays</t>
        </is>
      </c>
      <c r="F25" t="inlineStr"/>
      <c r="G25" t="inlineStr"/>
      <c r="H25" t="inlineStr">
        <is>
          <t>high</t>
        </is>
      </c>
      <c r="I25" t="inlineStr">
        <is>
          <t>explicit_member</t>
        </is>
      </c>
      <c r="J25" t="n">
        <v>917739.005</v>
      </c>
      <c r="K25" t="n">
        <v>0.4406</v>
      </c>
      <c r="L25" s="6" t="inlineStr">
        <is>
          <t>Table S2 explicitly lists Squalus acanthias in this model group; source membership overrides the SAU habitat-size class.</t>
        </is>
      </c>
    </row>
    <row r="26">
      <c r="A26" t="inlineStr">
        <is>
          <t>Molva molva</t>
        </is>
      </c>
      <c r="B26" t="inlineStr">
        <is>
          <t>Ling</t>
        </is>
      </c>
      <c r="C26" t="inlineStr">
        <is>
          <t>Large demersals (&gt;=90 cm)</t>
        </is>
      </c>
      <c r="D26" t="inlineStr">
        <is>
          <t>Cod-likes</t>
        </is>
      </c>
      <c r="E26" s="5" t="inlineStr">
        <is>
          <t>Ling</t>
        </is>
      </c>
      <c r="F26" t="inlineStr"/>
      <c r="G26" t="inlineStr"/>
      <c r="H26" t="inlineStr">
        <is>
          <t>high</t>
        </is>
      </c>
      <c r="I26" t="inlineStr">
        <is>
          <t>explicit_member</t>
        </is>
      </c>
      <c r="J26" t="n">
        <v>758148.637</v>
      </c>
      <c r="K26" t="n">
        <v>0.364</v>
      </c>
      <c r="L26" s="6" t="inlineStr">
        <is>
          <t>Table S2 explicitly lists Molva molva in this model group; source membership overrides the SAU habitat-size class.</t>
        </is>
      </c>
    </row>
    <row r="27">
      <c r="A27" t="inlineStr">
        <is>
          <t>Ammodytidae</t>
        </is>
      </c>
      <c r="B27" t="inlineStr">
        <is>
          <t>Sand lances</t>
        </is>
      </c>
      <c r="C27" t="inlineStr">
        <is>
          <t>Large reef assoc. fish (&gt;=90 cm)</t>
        </is>
      </c>
      <c r="D27" t="inlineStr">
        <is>
          <t>Perch-likes</t>
        </is>
      </c>
      <c r="E27" s="5" t="inlineStr">
        <is>
          <t>Small pelagics</t>
        </is>
      </c>
      <c r="F27" t="inlineStr"/>
      <c r="G27" t="inlineStr"/>
      <c r="H27" t="inlineStr">
        <is>
          <t>high</t>
        </is>
      </c>
      <c r="I27" t="inlineStr">
        <is>
          <t>taxonomic_containment</t>
        </is>
      </c>
      <c r="J27" t="n">
        <v>647298.106</v>
      </c>
      <c r="K27" t="n">
        <v>0.3108</v>
      </c>
      <c r="L27" s="6" t="inlineStr">
        <is>
          <t>Taxonomic containment of the Table S2 named members determines the candidate group(s). Fixed composition weights are used when multiple documented groups occur.</t>
        </is>
      </c>
    </row>
    <row r="28">
      <c r="A28" t="inlineStr">
        <is>
          <t>Cancer pagurus</t>
        </is>
      </c>
      <c r="B28" t="inlineStr">
        <is>
          <t>Edible crab</t>
        </is>
      </c>
      <c r="C28" t="inlineStr">
        <is>
          <t>Lobsters, crabs</t>
        </is>
      </c>
      <c r="D28" t="inlineStr">
        <is>
          <t>Crustaceans</t>
        </is>
      </c>
      <c r="E28" s="5" t="inlineStr">
        <is>
          <t>Crustacea</t>
        </is>
      </c>
      <c r="F28" t="inlineStr"/>
      <c r="G28" t="inlineStr"/>
      <c r="H28" t="inlineStr">
        <is>
          <t>high</t>
        </is>
      </c>
      <c r="I28" t="inlineStr">
        <is>
          <t>explicit_member</t>
        </is>
      </c>
      <c r="J28" t="n">
        <v>625814.999</v>
      </c>
      <c r="K28" t="n">
        <v>0.3004</v>
      </c>
      <c r="L28" s="6" t="inlineStr">
        <is>
          <t>Table S2 explicitly lists Cancer pagurus in this model group; source membership overrides the SAU habitat-size class.</t>
        </is>
      </c>
    </row>
    <row r="29">
      <c r="A29" t="inlineStr">
        <is>
          <t>Eutrigla gurnardus</t>
        </is>
      </c>
      <c r="B29" t="inlineStr">
        <is>
          <t>Grey gurnard</t>
        </is>
      </c>
      <c r="C29" t="inlineStr">
        <is>
          <t>Medium demersals (30 - 89 cm)</t>
        </is>
      </c>
      <c r="D29" t="inlineStr">
        <is>
          <t>Scorpionfishes</t>
        </is>
      </c>
      <c r="E29" s="5" t="inlineStr">
        <is>
          <t>Large Dem. fish</t>
        </is>
      </c>
      <c r="F29" t="inlineStr"/>
      <c r="G29" t="inlineStr"/>
      <c r="H29" t="inlineStr">
        <is>
          <t>high</t>
        </is>
      </c>
      <c r="I29" t="inlineStr">
        <is>
          <t>explicit_member</t>
        </is>
      </c>
      <c r="J29" t="n">
        <v>513023.669</v>
      </c>
      <c r="K29" t="n">
        <v>0.2463</v>
      </c>
      <c r="L29" s="6" t="inlineStr">
        <is>
          <t>Table S2 explicitly lists Eutrigla gurnardus in this model group; source membership overrides the SAU habitat-size class.</t>
        </is>
      </c>
    </row>
    <row r="30">
      <c r="A30" t="inlineStr">
        <is>
          <t>Lophius piscatorius</t>
        </is>
      </c>
      <c r="B30" t="inlineStr">
        <is>
          <t>Angler</t>
        </is>
      </c>
      <c r="C30" t="inlineStr">
        <is>
          <t>Large bathydemersals (&gt;=90 cm)</t>
        </is>
      </c>
      <c r="D30" t="inlineStr">
        <is>
          <t>Other fishes &amp; inverts</t>
        </is>
      </c>
      <c r="E30" s="5" t="inlineStr">
        <is>
          <t>Monkfish</t>
        </is>
      </c>
      <c r="F30" t="inlineStr"/>
      <c r="G30" t="inlineStr"/>
      <c r="H30" t="inlineStr">
        <is>
          <t>high</t>
        </is>
      </c>
      <c r="I30" t="inlineStr">
        <is>
          <t>explicit_member</t>
        </is>
      </c>
      <c r="J30" t="n">
        <v>468035.675</v>
      </c>
      <c r="K30" t="n">
        <v>0.2247</v>
      </c>
      <c r="L30" s="6" t="inlineStr">
        <is>
          <t>Table S2 explicitly lists Lophius piscatorius in this model group; source membership overrides the SAU habitat-size class.</t>
        </is>
      </c>
    </row>
    <row r="31">
      <c r="A31" t="inlineStr">
        <is>
          <t>Platichthys flesus</t>
        </is>
      </c>
      <c r="B31" t="inlineStr">
        <is>
          <t>European flounder</t>
        </is>
      </c>
      <c r="C31" t="inlineStr">
        <is>
          <t>Small to medium flatfishes (&lt;90 cm)</t>
        </is>
      </c>
      <c r="D31" t="inlineStr">
        <is>
          <t>Flatfishes</t>
        </is>
      </c>
      <c r="E31" s="5" t="inlineStr">
        <is>
          <t>Flatfishes</t>
        </is>
      </c>
      <c r="F31" t="inlineStr"/>
      <c r="G31" t="inlineStr"/>
      <c r="H31" t="inlineStr">
        <is>
          <t>high</t>
        </is>
      </c>
      <c r="I31" t="inlineStr">
        <is>
          <t>explicit_member</t>
        </is>
      </c>
      <c r="J31" t="n">
        <v>429416.031</v>
      </c>
      <c r="K31" t="n">
        <v>0.2062</v>
      </c>
      <c r="L31" s="6" t="inlineStr">
        <is>
          <t>Table S2 explicitly lists Platichthys flesus in this model group; source membership overrides the SAU habitat-size class.</t>
        </is>
      </c>
    </row>
    <row r="32">
      <c r="A32" t="inlineStr">
        <is>
          <t>Pandalus borealis</t>
        </is>
      </c>
      <c r="B32" t="inlineStr">
        <is>
          <t>Northern prawn</t>
        </is>
      </c>
      <c r="C32" t="inlineStr">
        <is>
          <t>Shrimps</t>
        </is>
      </c>
      <c r="D32" t="inlineStr">
        <is>
          <t>Crustaceans</t>
        </is>
      </c>
      <c r="E32" s="5" t="inlineStr">
        <is>
          <t>Crustacea</t>
        </is>
      </c>
      <c r="F32" t="inlineStr"/>
      <c r="G32" t="inlineStr"/>
      <c r="H32" t="inlineStr">
        <is>
          <t>high</t>
        </is>
      </c>
      <c r="I32" t="inlineStr">
        <is>
          <t>explicit_member</t>
        </is>
      </c>
      <c r="J32" t="n">
        <v>424697.784</v>
      </c>
      <c r="K32" t="n">
        <v>0.2039</v>
      </c>
      <c r="L32" s="6" t="inlineStr">
        <is>
          <t>Table S2 explicitly lists Pandalus borealis in this model group; source membership overrides the SAU habitat-size class.</t>
        </is>
      </c>
    </row>
    <row r="33">
      <c r="A33" t="inlineStr">
        <is>
          <t>Coryphaenoides rupestris</t>
        </is>
      </c>
      <c r="B33" t="inlineStr">
        <is>
          <t>Roundnose grenadier</t>
        </is>
      </c>
      <c r="C33" t="inlineStr">
        <is>
          <t>Large bathypelagics (&gt;=90 cm)</t>
        </is>
      </c>
      <c r="D33" t="inlineStr">
        <is>
          <t>Cod-likes</t>
        </is>
      </c>
      <c r="E33" s="9" t="inlineStr">
        <is>
          <t>Unresolved</t>
        </is>
      </c>
      <c r="F33" t="inlineStr"/>
      <c r="G33" t="inlineStr"/>
      <c r="H33" t="inlineStr">
        <is>
          <t>unresolved</t>
        </is>
      </c>
      <c r="I33" t="inlineStr">
        <is>
          <t>none</t>
        </is>
      </c>
      <c r="J33" t="n">
        <v>421865.307</v>
      </c>
      <c r="K33" t="n">
        <v>0.2025</v>
      </c>
      <c r="L33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34">
      <c r="A34" t="inlineStr">
        <is>
          <t>Microstomus kitt</t>
        </is>
      </c>
      <c r="B34" t="inlineStr">
        <is>
          <t>Lemon sole</t>
        </is>
      </c>
      <c r="C34" t="inlineStr">
        <is>
          <t>Small to medium flatfishes (&lt;90 cm)</t>
        </is>
      </c>
      <c r="D34" t="inlineStr">
        <is>
          <t>Flatfishes</t>
        </is>
      </c>
      <c r="E34" s="5" t="inlineStr">
        <is>
          <t>Flatfishes</t>
        </is>
      </c>
      <c r="F34" t="inlineStr"/>
      <c r="G34" t="inlineStr"/>
      <c r="H34" t="inlineStr">
        <is>
          <t>high</t>
        </is>
      </c>
      <c r="I34" t="inlineStr">
        <is>
          <t>explicit_member</t>
        </is>
      </c>
      <c r="J34" t="n">
        <v>386479.498</v>
      </c>
      <c r="K34" t="n">
        <v>0.1855</v>
      </c>
      <c r="L34" s="6" t="inlineStr">
        <is>
          <t>Table S2 explicitly lists Microstomus kitt in this model group; source membership overrides the SAU habitat-size class.</t>
        </is>
      </c>
    </row>
    <row r="35">
      <c r="A35" t="inlineStr">
        <is>
          <t>Merluccius merluccius</t>
        </is>
      </c>
      <c r="B35" t="inlineStr">
        <is>
          <t>European hake</t>
        </is>
      </c>
      <c r="C35" t="inlineStr">
        <is>
          <t>Large demersals (&gt;=90 cm)</t>
        </is>
      </c>
      <c r="D35" t="inlineStr">
        <is>
          <t>Cod-likes</t>
        </is>
      </c>
      <c r="E35" s="5" t="inlineStr">
        <is>
          <t>Hake</t>
        </is>
      </c>
      <c r="F35" t="inlineStr"/>
      <c r="G35" t="inlineStr"/>
      <c r="H35" t="inlineStr">
        <is>
          <t>high</t>
        </is>
      </c>
      <c r="I35" t="inlineStr">
        <is>
          <t>explicit_member</t>
        </is>
      </c>
      <c r="J35" t="n">
        <v>374489.75</v>
      </c>
      <c r="K35" t="n">
        <v>0.1798</v>
      </c>
      <c r="L35" s="6" t="inlineStr">
        <is>
          <t>Table S2 explicitly lists Merluccius merluccius in this model group; source membership overrides the SAU habitat-size class.</t>
        </is>
      </c>
    </row>
    <row r="36">
      <c r="A36" t="inlineStr">
        <is>
          <t>Scophthalmus maximus</t>
        </is>
      </c>
      <c r="B36" t="inlineStr">
        <is>
          <t>Turbot</t>
        </is>
      </c>
      <c r="C36" t="inlineStr">
        <is>
          <t>Large flatfishes (&gt;=90 cm)</t>
        </is>
      </c>
      <c r="D36" t="inlineStr">
        <is>
          <t>Flatfishes</t>
        </is>
      </c>
      <c r="E36" s="5" t="inlineStr">
        <is>
          <t>Turbot</t>
        </is>
      </c>
      <c r="F36" t="inlineStr"/>
      <c r="G36" t="inlineStr"/>
      <c r="H36" t="inlineStr">
        <is>
          <t>high</t>
        </is>
      </c>
      <c r="I36" t="inlineStr">
        <is>
          <t>explicit_member</t>
        </is>
      </c>
      <c r="J36" t="n">
        <v>328616.767</v>
      </c>
      <c r="K36" t="n">
        <v>0.1578</v>
      </c>
      <c r="L36" s="6" t="inlineStr">
        <is>
          <t>Table S2 explicitly lists Scophthalmus maximus in this model group; source membership overrides the SAU habitat-size class.</t>
        </is>
      </c>
    </row>
    <row r="37">
      <c r="A37" t="inlineStr">
        <is>
          <t>Raja</t>
        </is>
      </c>
      <c r="B37" t="inlineStr">
        <is>
          <t>Stingrays, skates</t>
        </is>
      </c>
      <c r="C37" t="inlineStr">
        <is>
          <t>Small to medium rays (&lt;90 cm)</t>
        </is>
      </c>
      <c r="D37" t="inlineStr">
        <is>
          <t>Sharks &amp; rays</t>
        </is>
      </c>
      <c r="E37" s="8" t="inlineStr">
        <is>
          <t>Sharks &amp; rays</t>
        </is>
      </c>
      <c r="F37" t="inlineStr"/>
      <c r="G37" t="inlineStr"/>
      <c r="H37" t="inlineStr">
        <is>
          <t>medium</t>
        </is>
      </c>
      <c r="I37" t="inlineStr">
        <is>
          <t>taxonomic_containment</t>
        </is>
      </c>
      <c r="J37" t="n">
        <v>312711.923</v>
      </c>
      <c r="K37" t="n">
        <v>0.1501</v>
      </c>
      <c r="L37" s="6" t="inlineStr">
        <is>
          <t>Table S2 lists members of genus Raja in these group(s); genus-level catch is assigned to their documented group union.</t>
        </is>
      </c>
    </row>
    <row r="38">
      <c r="A38" t="inlineStr">
        <is>
          <t>Brosme brosme</t>
        </is>
      </c>
      <c r="B38" t="inlineStr">
        <is>
          <t>Tusk</t>
        </is>
      </c>
      <c r="C38" t="inlineStr">
        <is>
          <t>Large demersals (&gt;=90 cm)</t>
        </is>
      </c>
      <c r="D38" t="inlineStr">
        <is>
          <t>Cod-likes</t>
        </is>
      </c>
      <c r="E38" s="5" t="inlineStr">
        <is>
          <t>Large Dem. fish</t>
        </is>
      </c>
      <c r="F38" t="inlineStr"/>
      <c r="G38" t="inlineStr"/>
      <c r="H38" t="inlineStr">
        <is>
          <t>high</t>
        </is>
      </c>
      <c r="I38" t="inlineStr">
        <is>
          <t>explicit_member</t>
        </is>
      </c>
      <c r="J38" t="n">
        <v>270078.992</v>
      </c>
      <c r="K38" t="n">
        <v>0.1297</v>
      </c>
      <c r="L38" s="6" t="inlineStr">
        <is>
          <t>Table S2 explicitly lists Brosme brosme in this model group; source membership overrides the SAU habitat-size class.</t>
        </is>
      </c>
    </row>
    <row r="39">
      <c r="A39" t="inlineStr">
        <is>
          <t>Glyptocephalus cynoglossus</t>
        </is>
      </c>
      <c r="B39" t="inlineStr">
        <is>
          <t>Witch flounder</t>
        </is>
      </c>
      <c r="C39" t="inlineStr">
        <is>
          <t>Small to medium flatfishes (&lt;90 cm)</t>
        </is>
      </c>
      <c r="D39" t="inlineStr">
        <is>
          <t>Flatfishes</t>
        </is>
      </c>
      <c r="E39" s="5" t="inlineStr">
        <is>
          <t>Flatfishes</t>
        </is>
      </c>
      <c r="F39" t="inlineStr"/>
      <c r="G39" t="inlineStr"/>
      <c r="H39" t="inlineStr">
        <is>
          <t>high</t>
        </is>
      </c>
      <c r="I39" t="inlineStr">
        <is>
          <t>explicit_member</t>
        </is>
      </c>
      <c r="J39" t="n">
        <v>231439.712</v>
      </c>
      <c r="K39" t="n">
        <v>0.1111</v>
      </c>
      <c r="L39" s="6" t="inlineStr">
        <is>
          <t>Table S2 explicitly lists Glyptocephalus cynoglossus in this model group; source membership overrides the SAU habitat-size class.</t>
        </is>
      </c>
    </row>
    <row r="40">
      <c r="A40" t="inlineStr">
        <is>
          <t>Asterias rubens</t>
        </is>
      </c>
      <c r="B40" t="inlineStr">
        <is>
          <t>Red starfish</t>
        </is>
      </c>
      <c r="C40" t="inlineStr">
        <is>
          <t>Other demersal invertebrates</t>
        </is>
      </c>
      <c r="D40" t="inlineStr">
        <is>
          <t>Other fishes &amp; inverts</t>
        </is>
      </c>
      <c r="E40" s="7" t="inlineStr">
        <is>
          <t>Epifauna</t>
        </is>
      </c>
      <c r="F40" t="inlineStr"/>
      <c r="G40" t="inlineStr"/>
      <c r="H40" t="inlineStr">
        <is>
          <t>low</t>
        </is>
      </c>
      <c r="I40" t="inlineStr">
        <is>
          <t>habitat_size_guild</t>
        </is>
      </c>
      <c r="J40" t="n">
        <v>217471.35</v>
      </c>
      <c r="K40" t="n">
        <v>0.1044</v>
      </c>
      <c r="L40" s="6" t="inlineStr">
        <is>
          <t>Analyst inference: benthic epifaunal catch is represented by the Epifauna compartment name; Table S2 does not list this organism, so its detailed trophic placement remains weakly supported.</t>
        </is>
      </c>
    </row>
    <row r="41">
      <c r="A41" t="inlineStr">
        <is>
          <t>Buccinum undatum</t>
        </is>
      </c>
      <c r="B41" t="inlineStr">
        <is>
          <t>Whelk</t>
        </is>
      </c>
      <c r="C41" t="inlineStr">
        <is>
          <t>Other demersal invertebrates</t>
        </is>
      </c>
      <c r="D41" t="inlineStr">
        <is>
          <t>Molluscs</t>
        </is>
      </c>
      <c r="E41" s="8" t="inlineStr">
        <is>
          <t>Epifauna</t>
        </is>
      </c>
      <c r="F41" t="inlineStr"/>
      <c r="G41" t="inlineStr"/>
      <c r="H41" t="inlineStr">
        <is>
          <t>medium</t>
        </is>
      </c>
      <c r="I41" t="inlineStr">
        <is>
          <t>taxonomic_containment</t>
        </is>
      </c>
      <c r="J41" t="n">
        <v>198563.862</v>
      </c>
      <c r="K41" t="n">
        <v>0.0953</v>
      </c>
      <c r="L41" s="6" t="inlineStr">
        <is>
          <t>Table S2 Epifauna explicitly includes mussels, oysters, scallops, cockles, periwinkles and whelks; this catch label belongs to those source-defined categories.</t>
        </is>
      </c>
    </row>
    <row r="42">
      <c r="A42" t="inlineStr">
        <is>
          <t>Triglidae</t>
        </is>
      </c>
      <c r="B42" t="inlineStr">
        <is>
          <t>Searobins, gurnards</t>
        </is>
      </c>
      <c r="C42" t="inlineStr">
        <is>
          <t>Medium demersals (30 - 89 cm)</t>
        </is>
      </c>
      <c r="D42" t="inlineStr">
        <is>
          <t>Scorpionfishes</t>
        </is>
      </c>
      <c r="E42" s="5" t="inlineStr">
        <is>
          <t>Large Dem. fish</t>
        </is>
      </c>
      <c r="F42" t="inlineStr"/>
      <c r="G42" t="inlineStr"/>
      <c r="H42" t="inlineStr">
        <is>
          <t>high</t>
        </is>
      </c>
      <c r="I42" t="inlineStr">
        <is>
          <t>taxonomic_containment</t>
        </is>
      </c>
      <c r="J42" t="n">
        <v>197963.084</v>
      </c>
      <c r="K42" t="n">
        <v>0.095</v>
      </c>
      <c r="L42" s="6" t="inlineStr">
        <is>
          <t>Taxonomic containment of the Table S2 named members determines the candidate group(s). Fixed composition weights are used when multiple documented groups occur.</t>
        </is>
      </c>
    </row>
    <row r="43">
      <c r="A43" t="inlineStr">
        <is>
          <t>Sardina pilchardus</t>
        </is>
      </c>
      <c r="B43" t="inlineStr">
        <is>
          <t>European pilchard</t>
        </is>
      </c>
      <c r="C43" t="inlineStr">
        <is>
          <t>Small pelagics (&lt;30 cm)</t>
        </is>
      </c>
      <c r="D43" t="inlineStr">
        <is>
          <t>Herring-likes</t>
        </is>
      </c>
      <c r="E43" s="7" t="inlineStr">
        <is>
          <t>Small pelagics</t>
        </is>
      </c>
      <c r="F43" t="inlineStr"/>
      <c r="G43" t="inlineStr"/>
      <c r="H43" t="inlineStr">
        <is>
          <t>low</t>
        </is>
      </c>
      <c r="I43" t="inlineStr">
        <is>
          <t>habitat_size_guild</t>
        </is>
      </c>
      <c r="J43" t="n">
        <v>184767.296</v>
      </c>
      <c r="K43" t="n">
        <v>0.0887</v>
      </c>
      <c r="L43" s="6" t="inlineStr">
        <is>
          <t>Analyst inference from SAU pelagic size/habitat class to the Table S2 pelagic pools; this species is not listed and the model lacks its own dedicated compartment.</t>
        </is>
      </c>
    </row>
    <row r="44">
      <c r="A44" t="inlineStr">
        <is>
          <t>Pecten maximus</t>
        </is>
      </c>
      <c r="B44" t="inlineStr">
        <is>
          <t>Great Atlantic scallop</t>
        </is>
      </c>
      <c r="C44" t="inlineStr">
        <is>
          <t>Other demersal invertebrates</t>
        </is>
      </c>
      <c r="D44" t="inlineStr">
        <is>
          <t>Molluscs</t>
        </is>
      </c>
      <c r="E44" s="5" t="inlineStr">
        <is>
          <t>Epifauna</t>
        </is>
      </c>
      <c r="F44" t="inlineStr"/>
      <c r="G44" t="inlineStr"/>
      <c r="H44" t="inlineStr">
        <is>
          <t>high</t>
        </is>
      </c>
      <c r="I44" t="inlineStr">
        <is>
          <t>explicit_member</t>
        </is>
      </c>
      <c r="J44" t="n">
        <v>183614.328</v>
      </c>
      <c r="K44" t="n">
        <v>0.0881</v>
      </c>
      <c r="L44" s="6" t="inlineStr">
        <is>
          <t>Table S2 explicitly lists Pecten maximus in this model group; source membership overrides the SAU habitat-size class.</t>
        </is>
      </c>
    </row>
    <row r="45">
      <c r="A45" t="inlineStr">
        <is>
          <t>Pollachius pollachius</t>
        </is>
      </c>
      <c r="B45" t="inlineStr">
        <is>
          <t>Pollack</t>
        </is>
      </c>
      <c r="C45" t="inlineStr">
        <is>
          <t>Large benthopelagics (&gt;=90 cm)</t>
        </is>
      </c>
      <c r="D45" t="inlineStr">
        <is>
          <t>Cod-likes</t>
        </is>
      </c>
      <c r="E45" s="5" t="inlineStr">
        <is>
          <t>Large Dem. fish</t>
        </is>
      </c>
      <c r="F45" t="inlineStr"/>
      <c r="G45" t="inlineStr"/>
      <c r="H45" t="inlineStr">
        <is>
          <t>high</t>
        </is>
      </c>
      <c r="I45" t="inlineStr">
        <is>
          <t>explicit_member</t>
        </is>
      </c>
      <c r="J45" t="n">
        <v>175904.563</v>
      </c>
      <c r="K45" t="n">
        <v>0.0844</v>
      </c>
      <c r="L45" s="6" t="inlineStr">
        <is>
          <t>Table S2 explicitly lists Pollachius pollachius in this model group; source membership overrides the SAU habitat-size class.</t>
        </is>
      </c>
    </row>
    <row r="46">
      <c r="A46" t="inlineStr">
        <is>
          <t>Asterozoa</t>
        </is>
      </c>
      <c r="B46" t="inlineStr">
        <is>
          <t>Starfishes and brittlestars</t>
        </is>
      </c>
      <c r="C46" t="inlineStr">
        <is>
          <t>Other demersal invertebrates</t>
        </is>
      </c>
      <c r="D46" t="inlineStr">
        <is>
          <t>Other fishes &amp; inverts</t>
        </is>
      </c>
      <c r="E46" s="7" t="inlineStr">
        <is>
          <t>Epifauna</t>
        </is>
      </c>
      <c r="F46" t="inlineStr"/>
      <c r="G46" t="inlineStr"/>
      <c r="H46" t="inlineStr">
        <is>
          <t>low</t>
        </is>
      </c>
      <c r="I46" t="inlineStr">
        <is>
          <t>habitat_size_guild</t>
        </is>
      </c>
      <c r="J46" t="n">
        <v>152072.263</v>
      </c>
      <c r="K46" t="n">
        <v>0.073</v>
      </c>
      <c r="L46" s="6" t="inlineStr">
        <is>
          <t>Analyst inference: benthic epifaunal catch is represented by the Epifauna compartment name; Table S2 does not list this organism, so its detailed trophic placement remains weakly supported.</t>
        </is>
      </c>
    </row>
    <row r="47">
      <c r="A47" t="inlineStr">
        <is>
          <t>Elasmobranchii</t>
        </is>
      </c>
      <c r="B47" t="inlineStr">
        <is>
          <t>Sharks, rays, skates</t>
        </is>
      </c>
      <c r="C47" t="inlineStr">
        <is>
          <t>Large sharks (&gt;=90 cm)</t>
        </is>
      </c>
      <c r="D47" t="inlineStr">
        <is>
          <t>Sharks &amp; rays</t>
        </is>
      </c>
      <c r="E47" s="8" t="inlineStr">
        <is>
          <t>Sharks &amp; rays</t>
        </is>
      </c>
      <c r="F47" t="inlineStr"/>
      <c r="G47" t="inlineStr"/>
      <c r="H47" t="inlineStr">
        <is>
          <t>medium</t>
        </is>
      </c>
      <c r="I47" t="inlineStr">
        <is>
          <t>taxonomic_containment</t>
        </is>
      </c>
      <c r="J47" t="n">
        <v>151586.783</v>
      </c>
      <c r="K47" t="n">
        <v>0.0728</v>
      </c>
      <c r="L47" s="6" t="inlineStr">
        <is>
          <t>SAU identifies shark or ray catch and Table S2 has a pooled Sharks &amp; rays group; extension beyond the listed species is explicit analyst inference.</t>
        </is>
      </c>
    </row>
    <row r="48">
      <c r="A48" t="inlineStr">
        <is>
          <t>Miscellaneous aquatic invertebrates</t>
        </is>
      </c>
      <c r="B48" t="inlineStr">
        <is>
          <t>Aquatic invertebrates</t>
        </is>
      </c>
      <c r="C48" t="inlineStr">
        <is>
          <t>Other demersal invertebrates</t>
        </is>
      </c>
      <c r="D48" t="inlineStr">
        <is>
          <t>Other fishes &amp; inverts</t>
        </is>
      </c>
      <c r="E48" s="8" t="inlineStr">
        <is>
          <t>Infauna | Epifauna</t>
        </is>
      </c>
      <c r="F48" t="inlineStr">
        <is>
          <t>0.012 | 0.988</t>
        </is>
      </c>
      <c r="G48" t="inlineStr">
        <is>
          <t>catch_composition</t>
        </is>
      </c>
      <c r="H48" t="inlineStr">
        <is>
          <t>medium</t>
        </is>
      </c>
      <c r="I48" t="inlineStr">
        <is>
          <t>composite_split</t>
        </is>
      </c>
      <c r="J48" t="n">
        <v>141504.13</v>
      </c>
      <c r="K48" t="n">
        <v>0.0679</v>
      </c>
      <c r="L48" s="6" t="inlineStr">
        <is>
          <t>The SAU demersal-invertebrate category spans burrowing and surface benthos represented by Table S2 Infauna and Epifauna; fixed weights derive from identified benthic catch.</t>
        </is>
      </c>
    </row>
    <row r="49">
      <c r="A49" t="inlineStr">
        <is>
          <t>Anguilla anguilla</t>
        </is>
      </c>
      <c r="B49" t="inlineStr">
        <is>
          <t>European eel</t>
        </is>
      </c>
      <c r="C49" t="inlineStr">
        <is>
          <t>Large demersals (&gt;=90 cm)</t>
        </is>
      </c>
      <c r="D49" t="inlineStr">
        <is>
          <t>Other fishes &amp; inverts</t>
        </is>
      </c>
      <c r="E49" s="9" t="inlineStr">
        <is>
          <t>Unresolved</t>
        </is>
      </c>
      <c r="F49" t="inlineStr"/>
      <c r="G49" t="inlineStr"/>
      <c r="H49" t="inlineStr">
        <is>
          <t>unresolved</t>
        </is>
      </c>
      <c r="I49" t="inlineStr">
        <is>
          <t>none</t>
        </is>
      </c>
      <c r="J49" t="n">
        <v>139444.643</v>
      </c>
      <c r="K49" t="n">
        <v>0.0669</v>
      </c>
      <c r="L49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50">
      <c r="A50" t="inlineStr">
        <is>
          <t>Squalidae</t>
        </is>
      </c>
      <c r="B50" t="inlineStr">
        <is>
          <t>Dogfish sharks</t>
        </is>
      </c>
      <c r="C50" t="inlineStr">
        <is>
          <t>Large sharks (&gt;=90 cm)</t>
        </is>
      </c>
      <c r="D50" t="inlineStr">
        <is>
          <t>Sharks &amp; rays</t>
        </is>
      </c>
      <c r="E50" s="8" t="inlineStr">
        <is>
          <t>Sharks &amp; rays</t>
        </is>
      </c>
      <c r="F50" t="inlineStr"/>
      <c r="G50" t="inlineStr"/>
      <c r="H50" t="inlineStr">
        <is>
          <t>medium</t>
        </is>
      </c>
      <c r="I50" t="inlineStr">
        <is>
          <t>taxonomic_containment</t>
        </is>
      </c>
      <c r="J50" t="n">
        <v>130684.422</v>
      </c>
      <c r="K50" t="n">
        <v>0.06270000000000001</v>
      </c>
      <c r="L50" s="6" t="inlineStr">
        <is>
          <t>SAU identifies shark or ray catch and Table S2 has a pooled Sharks &amp; rays group; extension beyond the listed species is explicit analyst inference.</t>
        </is>
      </c>
    </row>
    <row r="51">
      <c r="A51" t="inlineStr">
        <is>
          <t>Cyclopterus lumpus</t>
        </is>
      </c>
      <c r="B51" t="inlineStr">
        <is>
          <t>Lumpfish</t>
        </is>
      </c>
      <c r="C51" t="inlineStr">
        <is>
          <t>Medium benthopelagics (30 - 89 cm)</t>
        </is>
      </c>
      <c r="D51" t="inlineStr">
        <is>
          <t>Scorpionfishes</t>
        </is>
      </c>
      <c r="E51" s="5" t="inlineStr">
        <is>
          <t>Large Dem. fish</t>
        </is>
      </c>
      <c r="F51" t="inlineStr"/>
      <c r="G51" t="inlineStr"/>
      <c r="H51" t="inlineStr">
        <is>
          <t>high</t>
        </is>
      </c>
      <c r="I51" t="inlineStr">
        <is>
          <t>explicit_member</t>
        </is>
      </c>
      <c r="J51" t="n">
        <v>126957.072</v>
      </c>
      <c r="K51" t="n">
        <v>0.0609</v>
      </c>
      <c r="L51" s="6" t="inlineStr">
        <is>
          <t>Table S2 explicitly lists Cyclopterus lumpus in this model group; source membership overrides the SAU habitat-size class.</t>
        </is>
      </c>
    </row>
    <row r="52">
      <c r="A52" t="inlineStr">
        <is>
          <t>Thunnus thynnus</t>
        </is>
      </c>
      <c r="B52" t="inlineStr">
        <is>
          <t>Atlantic bluefin tuna</t>
        </is>
      </c>
      <c r="C52" t="inlineStr">
        <is>
          <t>Large pelagics (&gt;=90 cm)</t>
        </is>
      </c>
      <c r="D52" t="inlineStr">
        <is>
          <t>Tuna &amp; billfishes</t>
        </is>
      </c>
      <c r="E52" s="9" t="inlineStr">
        <is>
          <t>Unresolved</t>
        </is>
      </c>
      <c r="F52" t="inlineStr"/>
      <c r="G52" t="inlineStr"/>
      <c r="H52" t="inlineStr">
        <is>
          <t>unresolved</t>
        </is>
      </c>
      <c r="I52" t="inlineStr">
        <is>
          <t>none</t>
        </is>
      </c>
      <c r="J52" t="n">
        <v>122929.934</v>
      </c>
      <c r="K52" t="n">
        <v>0.059</v>
      </c>
      <c r="L52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53">
      <c r="A53" t="inlineStr">
        <is>
          <t>Marine pelagic fishes not identified</t>
        </is>
      </c>
      <c r="B53" t="inlineStr">
        <is>
          <t>Pelagic fishes</t>
        </is>
      </c>
      <c r="C53" t="inlineStr">
        <is>
          <t>Medium pelagics (30 - 89 cm)</t>
        </is>
      </c>
      <c r="D53" t="inlineStr">
        <is>
          <t>Other fishes &amp; inverts</t>
        </is>
      </c>
      <c r="E53" s="8" t="inlineStr">
        <is>
          <t>Small pelagics | Large Pelagics</t>
        </is>
      </c>
      <c r="F53" t="inlineStr">
        <is>
          <t>0.534 | 0.466</t>
        </is>
      </c>
      <c r="G53" t="inlineStr">
        <is>
          <t>catch_composition</t>
        </is>
      </c>
      <c r="H53" t="inlineStr">
        <is>
          <t>medium</t>
        </is>
      </c>
      <c r="I53" t="inlineStr">
        <is>
          <t>composite_split</t>
        </is>
      </c>
      <c r="J53" t="n">
        <v>121432.966</v>
      </c>
      <c r="K53" t="n">
        <v>0.0583</v>
      </c>
      <c r="L53" s="6" t="inlineStr">
        <is>
          <t>SAU medium pelagic unidentified catch spans the two multi-species pelagic pools in Table S2; the named single-stock Herring group is excluded. Fixed weights use identified catch.</t>
        </is>
      </c>
    </row>
    <row r="54">
      <c r="A54" t="inlineStr">
        <is>
          <t>Carcinus maenas</t>
        </is>
      </c>
      <c r="B54" t="inlineStr">
        <is>
          <t>Green crab</t>
        </is>
      </c>
      <c r="C54" t="inlineStr">
        <is>
          <t>Lobsters, crabs</t>
        </is>
      </c>
      <c r="D54" t="inlineStr">
        <is>
          <t>Crustaceans</t>
        </is>
      </c>
      <c r="E54" s="5" t="inlineStr">
        <is>
          <t>Crustacea</t>
        </is>
      </c>
      <c r="F54" t="inlineStr"/>
      <c r="G54" t="inlineStr"/>
      <c r="H54" t="inlineStr">
        <is>
          <t>high</t>
        </is>
      </c>
      <c r="I54" t="inlineStr">
        <is>
          <t>taxonomic_containment</t>
        </is>
      </c>
      <c r="J54" t="n">
        <v>116310.118</v>
      </c>
      <c r="K54" t="n">
        <v>0.0558</v>
      </c>
      <c r="L54" s="6" t="inlineStr">
        <is>
          <t>SAU identifies shrimp or lobster/crab catch; Table S2 Crustacea includes shrimp, lobster and crab taxa without a finer model split.</t>
        </is>
      </c>
    </row>
    <row r="55">
      <c r="A55" t="inlineStr">
        <is>
          <t>Rajiformes</t>
        </is>
      </c>
      <c r="B55" t="inlineStr">
        <is>
          <t>Skates and rays</t>
        </is>
      </c>
      <c r="C55" t="inlineStr">
        <is>
          <t>Large rays (&gt;=90 cm)</t>
        </is>
      </c>
      <c r="D55" t="inlineStr">
        <is>
          <t>Sharks &amp; rays</t>
        </is>
      </c>
      <c r="E55" s="8" t="inlineStr">
        <is>
          <t>Sharks &amp; rays</t>
        </is>
      </c>
      <c r="F55" t="inlineStr"/>
      <c r="G55" t="inlineStr"/>
      <c r="H55" t="inlineStr">
        <is>
          <t>medium</t>
        </is>
      </c>
      <c r="I55" t="inlineStr">
        <is>
          <t>taxonomic_containment</t>
        </is>
      </c>
      <c r="J55" t="n">
        <v>116266.364</v>
      </c>
      <c r="K55" t="n">
        <v>0.0558</v>
      </c>
      <c r="L55" s="6" t="inlineStr">
        <is>
          <t>SAU identifies shark or ray catch and Table S2 has a pooled Sharks &amp; rays group; extension beyond the listed species is explicit analyst inference.</t>
        </is>
      </c>
    </row>
    <row r="56">
      <c r="A56" t="inlineStr">
        <is>
          <t>Buglossidium luteum</t>
        </is>
      </c>
      <c r="B56" t="inlineStr">
        <is>
          <t>Solenette</t>
        </is>
      </c>
      <c r="C56" t="inlineStr">
        <is>
          <t>Small to medium flatfishes (&lt;90 cm)</t>
        </is>
      </c>
      <c r="D56" t="inlineStr">
        <is>
          <t>Flatfishes</t>
        </is>
      </c>
      <c r="E56" s="5" t="inlineStr">
        <is>
          <t>Flatfishes</t>
        </is>
      </c>
      <c r="F56" t="inlineStr"/>
      <c r="G56" t="inlineStr"/>
      <c r="H56" t="inlineStr">
        <is>
          <t>high</t>
        </is>
      </c>
      <c r="I56" t="inlineStr">
        <is>
          <t>explicit_member</t>
        </is>
      </c>
      <c r="J56" t="n">
        <v>111745.888</v>
      </c>
      <c r="K56" t="n">
        <v>0.0536</v>
      </c>
      <c r="L56" s="6" t="inlineStr">
        <is>
          <t>Table S2 explicitly lists Buglossidium luteum in this model group; source membership overrides the SAU habitat-size class.</t>
        </is>
      </c>
    </row>
    <row r="57">
      <c r="A57" t="inlineStr">
        <is>
          <t>Trisopterus luscus</t>
        </is>
      </c>
      <c r="B57" t="inlineStr">
        <is>
          <t>Pouting</t>
        </is>
      </c>
      <c r="C57" t="inlineStr">
        <is>
          <t>Medium benthopelagics (30 - 89 cm)</t>
        </is>
      </c>
      <c r="D57" t="inlineStr">
        <is>
          <t>Cod-likes</t>
        </is>
      </c>
      <c r="E57" s="8" t="inlineStr">
        <is>
          <t>Small pelagics</t>
        </is>
      </c>
      <c r="F57" t="inlineStr"/>
      <c r="G57" t="inlineStr"/>
      <c r="H57" t="inlineStr">
        <is>
          <t>medium</t>
        </is>
      </c>
      <c r="I57" t="inlineStr">
        <is>
          <t>analogue</t>
        </is>
      </c>
      <c r="J57" t="n">
        <v>97535.06</v>
      </c>
      <c r="K57" t="n">
        <v>0.0468</v>
      </c>
      <c r="L57" s="6" t="inlineStr">
        <is>
          <t>Table S2 places congeneric Trisopterus species in these group(s). This unlisted species is an explicit congeneric extension, not source membership.</t>
        </is>
      </c>
    </row>
    <row r="58">
      <c r="A58" t="inlineStr">
        <is>
          <t>Miscellaneous marine crustaceans</t>
        </is>
      </c>
      <c r="B58" t="inlineStr">
        <is>
          <t>Marine crabs, shrimps, lobsters nei</t>
        </is>
      </c>
      <c r="C58" t="inlineStr">
        <is>
          <t>Shrimps</t>
        </is>
      </c>
      <c r="D58" t="inlineStr">
        <is>
          <t>Crustaceans</t>
        </is>
      </c>
      <c r="E58" s="5" t="inlineStr">
        <is>
          <t>Crustacea</t>
        </is>
      </c>
      <c r="F58" t="inlineStr"/>
      <c r="G58" t="inlineStr"/>
      <c r="H58" t="inlineStr">
        <is>
          <t>high</t>
        </is>
      </c>
      <c r="I58" t="inlineStr">
        <is>
          <t>taxonomic_containment</t>
        </is>
      </c>
      <c r="J58" t="n">
        <v>97443.28200000001</v>
      </c>
      <c r="K58" t="n">
        <v>0.0468</v>
      </c>
      <c r="L58" s="6" t="inlineStr">
        <is>
          <t>SAU identifies shrimp or lobster/crab catch; Table S2 Crustacea includes shrimp, lobster and crab taxa without a finer model split.</t>
        </is>
      </c>
    </row>
    <row r="59">
      <c r="A59" t="inlineStr">
        <is>
          <t>Chelidonichthys lucerna</t>
        </is>
      </c>
      <c r="B59" t="inlineStr">
        <is>
          <t>Tub gurnard</t>
        </is>
      </c>
      <c r="C59" t="inlineStr">
        <is>
          <t>Medium demersals (30 - 89 cm)</t>
        </is>
      </c>
      <c r="D59" t="inlineStr">
        <is>
          <t>Scorpionfishes</t>
        </is>
      </c>
      <c r="E59" s="8" t="inlineStr">
        <is>
          <t>Large Dem. fish</t>
        </is>
      </c>
      <c r="F59" t="inlineStr"/>
      <c r="G59" t="inlineStr"/>
      <c r="H59" t="inlineStr">
        <is>
          <t>medium</t>
        </is>
      </c>
      <c r="I59" t="inlineStr">
        <is>
          <t>analogue</t>
        </is>
      </c>
      <c r="J59" t="n">
        <v>90624.496</v>
      </c>
      <c r="K59" t="n">
        <v>0.0435</v>
      </c>
      <c r="L59" s="6" t="inlineStr">
        <is>
          <t>Table S2 places congeneric Chelidonichthys species in these group(s). This unlisted species is an explicit congeneric extension, not source membership.</t>
        </is>
      </c>
    </row>
    <row r="60">
      <c r="A60" t="inlineStr">
        <is>
          <t>Scophthalmus rhombus</t>
        </is>
      </c>
      <c r="B60" t="inlineStr">
        <is>
          <t>Brill</t>
        </is>
      </c>
      <c r="C60" t="inlineStr">
        <is>
          <t>Small to medium flatfishes (&lt;90 cm)</t>
        </is>
      </c>
      <c r="D60" t="inlineStr">
        <is>
          <t>Flatfishes</t>
        </is>
      </c>
      <c r="E60" s="5" t="inlineStr">
        <is>
          <t>Flatfishes</t>
        </is>
      </c>
      <c r="F60" t="inlineStr"/>
      <c r="G60" t="inlineStr"/>
      <c r="H60" t="inlineStr">
        <is>
          <t>high</t>
        </is>
      </c>
      <c r="I60" t="inlineStr">
        <is>
          <t>explicit_member</t>
        </is>
      </c>
      <c r="J60" t="n">
        <v>88201.36500000001</v>
      </c>
      <c r="K60" t="n">
        <v>0.0423</v>
      </c>
      <c r="L60" s="6" t="inlineStr">
        <is>
          <t>Table S2 explicitly lists Scophthalmus rhombus in this model group; source membership overrides the SAU habitat-size class.</t>
        </is>
      </c>
    </row>
    <row r="61">
      <c r="A61" t="inlineStr">
        <is>
          <t>Gadidae</t>
        </is>
      </c>
      <c r="B61" t="inlineStr">
        <is>
          <t>Cods, haddocks</t>
        </is>
      </c>
      <c r="C61" t="inlineStr">
        <is>
          <t>Medium demersals (30 - 89 cm)</t>
        </is>
      </c>
      <c r="D61" t="inlineStr">
        <is>
          <t>Cod-likes</t>
        </is>
      </c>
      <c r="E61" s="8" t="inlineStr">
        <is>
          <t>Cod | Haddock | Whiting | Saithe | Large Dem. fish | Small pelagics | Large Pelagics</t>
        </is>
      </c>
      <c r="F61" t="inlineStr">
        <is>
          <t>0.143 | 0.115 | 0.089 | 0.091 | 0.022 | 0.289 | 0.251</t>
        </is>
      </c>
      <c r="G61" t="inlineStr">
        <is>
          <t>catch_composition</t>
        </is>
      </c>
      <c r="H61" t="inlineStr">
        <is>
          <t>medium</t>
        </is>
      </c>
      <c r="I61" t="inlineStr">
        <is>
          <t>composite_split</t>
        </is>
      </c>
      <c r="J61" t="n">
        <v>87070.905</v>
      </c>
      <c r="K61" t="n">
        <v>0.0418</v>
      </c>
      <c r="L61" s="6" t="inlineStr">
        <is>
          <t>Taxonomic containment of the Table S2 named members determines the candidate group(s). Fixed composition weights are used when multiple documented groups occur.</t>
        </is>
      </c>
    </row>
    <row r="62">
      <c r="A62" t="inlineStr">
        <is>
          <t>Lophiidae</t>
        </is>
      </c>
      <c r="B62" t="inlineStr">
        <is>
          <t>Goosefishes</t>
        </is>
      </c>
      <c r="C62" t="inlineStr">
        <is>
          <t>Medium bathydemersals (30 - 89 cm)</t>
        </is>
      </c>
      <c r="D62" t="inlineStr">
        <is>
          <t>Other fishes &amp; inverts</t>
        </is>
      </c>
      <c r="E62" s="5" t="inlineStr">
        <is>
          <t>Monkfish</t>
        </is>
      </c>
      <c r="F62" t="inlineStr"/>
      <c r="G62" t="inlineStr"/>
      <c r="H62" t="inlineStr">
        <is>
          <t>high</t>
        </is>
      </c>
      <c r="I62" t="inlineStr">
        <is>
          <t>taxonomic_containment</t>
        </is>
      </c>
      <c r="J62" t="n">
        <v>86422.825</v>
      </c>
      <c r="K62" t="n">
        <v>0.0415</v>
      </c>
      <c r="L62" s="6" t="inlineStr">
        <is>
          <t>Taxonomic containment of the Table S2 named members determines the candidate group(s). Fixed composition weights are used when multiple documented groups occur.</t>
        </is>
      </c>
    </row>
    <row r="63">
      <c r="A63" t="inlineStr">
        <is>
          <t>Portunidae</t>
        </is>
      </c>
      <c r="B63" t="inlineStr">
        <is>
          <t>Swimming crabs</t>
        </is>
      </c>
      <c r="C63" t="inlineStr">
        <is>
          <t>Lobsters, crabs</t>
        </is>
      </c>
      <c r="D63" t="inlineStr">
        <is>
          <t>Crustaceans</t>
        </is>
      </c>
      <c r="E63" s="5" t="inlineStr">
        <is>
          <t>Crustacea</t>
        </is>
      </c>
      <c r="F63" t="inlineStr"/>
      <c r="G63" t="inlineStr"/>
      <c r="H63" t="inlineStr">
        <is>
          <t>high</t>
        </is>
      </c>
      <c r="I63" t="inlineStr">
        <is>
          <t>taxonomic_containment</t>
        </is>
      </c>
      <c r="J63" t="n">
        <v>85805.393</v>
      </c>
      <c r="K63" t="n">
        <v>0.0412</v>
      </c>
      <c r="L63" s="6" t="inlineStr">
        <is>
          <t>SAU identifies shrimp or lobster/crab catch; Table S2 Crustacea includes shrimp, lobster and crab taxa without a finer model split.</t>
        </is>
      </c>
    </row>
    <row r="64">
      <c r="A64" t="inlineStr">
        <is>
          <t>Callionymus lyra</t>
        </is>
      </c>
      <c r="B64" t="inlineStr">
        <is>
          <t>Dragonet</t>
        </is>
      </c>
      <c r="C64" t="inlineStr">
        <is>
          <t>Large reef assoc. fish (&gt;=90 cm)</t>
        </is>
      </c>
      <c r="D64" t="inlineStr">
        <is>
          <t>Perch-likes</t>
        </is>
      </c>
      <c r="E64" s="7" t="inlineStr">
        <is>
          <t>Large Dem. fish</t>
        </is>
      </c>
      <c r="F64" t="inlineStr"/>
      <c r="G64" t="inlineStr"/>
      <c r="H64" t="inlineStr">
        <is>
          <t>low</t>
        </is>
      </c>
      <c r="I64" t="inlineStr">
        <is>
          <t>habitat_size_guild</t>
        </is>
      </c>
      <c r="J64" t="n">
        <v>80915.62</v>
      </c>
      <c r="K64" t="n">
        <v>0.0388</v>
      </c>
      <c r="L64" s="6" t="inlineStr">
        <is>
          <t>Analyst inference from SAU benthic fish habitat to the residual demersal pool containing gurnards, wolffish, sculpins and rocklings (Table S2); unlisted species and smaller fish make this a weak extension.</t>
        </is>
      </c>
    </row>
    <row r="65">
      <c r="A65" t="inlineStr">
        <is>
          <t>Lepidorhombus whiffiagonis</t>
        </is>
      </c>
      <c r="B65" t="inlineStr">
        <is>
          <t>Megrim</t>
        </is>
      </c>
      <c r="C65" t="inlineStr">
        <is>
          <t>Small to medium flatfishes (&lt;90 cm)</t>
        </is>
      </c>
      <c r="D65" t="inlineStr">
        <is>
          <t>Flatfishes</t>
        </is>
      </c>
      <c r="E65" s="5" t="inlineStr">
        <is>
          <t>Flatfishes</t>
        </is>
      </c>
      <c r="F65" t="inlineStr"/>
      <c r="G65" t="inlineStr"/>
      <c r="H65" t="inlineStr">
        <is>
          <t>high</t>
        </is>
      </c>
      <c r="I65" t="inlineStr">
        <is>
          <t>explicit_member</t>
        </is>
      </c>
      <c r="J65" t="n">
        <v>79061.159</v>
      </c>
      <c r="K65" t="n">
        <v>0.038</v>
      </c>
      <c r="L65" s="6" t="inlineStr">
        <is>
          <t>Table S2 explicitly lists Lepidorhombus whiffiagonis in this model group; source membership overrides the SAU habitat-size class.</t>
        </is>
      </c>
    </row>
    <row r="66">
      <c r="A66" t="inlineStr">
        <is>
          <t>Marine groundfishes not identified</t>
        </is>
      </c>
      <c r="B66" t="inlineStr">
        <is>
          <t>Groundfishes</t>
        </is>
      </c>
      <c r="C66" t="inlineStr">
        <is>
          <t>Medium demersals (30 - 89 cm)</t>
        </is>
      </c>
      <c r="D66" t="inlineStr">
        <is>
          <t>Other fishes &amp; inverts</t>
        </is>
      </c>
      <c r="E66" s="7" t="inlineStr">
        <is>
          <t>Flatfishes | Monkfish | Large Dem. fish</t>
        </is>
      </c>
      <c r="F66" t="inlineStr">
        <is>
          <t>0.878 | 0.027 | 0.095</t>
        </is>
      </c>
      <c r="G66" t="inlineStr">
        <is>
          <t>catch_composition</t>
        </is>
      </c>
      <c r="H66" t="inlineStr">
        <is>
          <t>low</t>
        </is>
      </c>
      <c r="I66" t="inlineStr">
        <is>
          <t>composite_split</t>
        </is>
      </c>
      <c r="J66" t="n">
        <v>75471.658</v>
      </c>
      <c r="K66" t="n">
        <v>0.0362</v>
      </c>
      <c r="L66" s="6" t="inlineStr">
        <is>
          <t>Analyst inference: SAU medium demersal unidentified catch spans the model's multi-species demersal pools (Table S2). Species-specific commercial stocks are excluded under the coarse-taxon workflow. This broad, unobserved composition is a major uncertainty; fixed weights use identified catch in these pools.</t>
        </is>
      </c>
    </row>
    <row r="67">
      <c r="A67" t="inlineStr">
        <is>
          <t>Scombridae</t>
        </is>
      </c>
      <c r="B67" t="inlineStr">
        <is>
          <t>Mackerels, tunas, bonitos</t>
        </is>
      </c>
      <c r="C67" t="inlineStr">
        <is>
          <t>Medium pelagics (30 - 89 cm)</t>
        </is>
      </c>
      <c r="D67" t="inlineStr">
        <is>
          <t>Perch-likes</t>
        </is>
      </c>
      <c r="E67" s="8" t="inlineStr">
        <is>
          <t>Large Pelagics</t>
        </is>
      </c>
      <c r="F67" t="inlineStr"/>
      <c r="G67" t="inlineStr"/>
      <c r="H67" t="inlineStr">
        <is>
          <t>medium</t>
        </is>
      </c>
      <c r="I67" t="inlineStr">
        <is>
          <t>taxonomic_containment</t>
        </is>
      </c>
      <c r="J67" t="n">
        <v>74925.87300000001</v>
      </c>
      <c r="K67" t="n">
        <v>0.036</v>
      </c>
      <c r="L67" s="6" t="inlineStr">
        <is>
          <t>Taxonomic containment of the Table S2 named members determines the candidate group(s). This Scombridae assignment represents the local mackerel component; separately identified tuna catch remains unresolved.</t>
        </is>
      </c>
    </row>
    <row r="68">
      <c r="A68" t="inlineStr">
        <is>
          <t>Crangon</t>
        </is>
      </c>
      <c r="B68" t="inlineStr">
        <is>
          <t>Snapping shrimps</t>
        </is>
      </c>
      <c r="C68" t="inlineStr">
        <is>
          <t>Shrimps</t>
        </is>
      </c>
      <c r="D68" t="inlineStr">
        <is>
          <t>Crustaceans</t>
        </is>
      </c>
      <c r="E68" s="8" t="inlineStr">
        <is>
          <t>Crustacea</t>
        </is>
      </c>
      <c r="F68" t="inlineStr"/>
      <c r="G68" t="inlineStr"/>
      <c r="H68" t="inlineStr">
        <is>
          <t>medium</t>
        </is>
      </c>
      <c r="I68" t="inlineStr">
        <is>
          <t>taxonomic_containment</t>
        </is>
      </c>
      <c r="J68" t="n">
        <v>71320.231</v>
      </c>
      <c r="K68" t="n">
        <v>0.0342</v>
      </c>
      <c r="L68" s="6" t="inlineStr">
        <is>
          <t>Table S2 lists members of genus Crangon in these group(s); genus-level catch is assigned to their documented group union.</t>
        </is>
      </c>
    </row>
    <row r="69">
      <c r="A69" t="inlineStr">
        <is>
          <t>Squaliformes</t>
        </is>
      </c>
      <c r="B69" t="inlineStr">
        <is>
          <t>Bramble, sleeper, dogfish sharks</t>
        </is>
      </c>
      <c r="C69" t="inlineStr">
        <is>
          <t>Large sharks (&gt;=90 cm)</t>
        </is>
      </c>
      <c r="D69" t="inlineStr">
        <is>
          <t>Sharks &amp; rays</t>
        </is>
      </c>
      <c r="E69" s="8" t="inlineStr">
        <is>
          <t>Sharks &amp; rays</t>
        </is>
      </c>
      <c r="F69" t="inlineStr"/>
      <c r="G69" t="inlineStr"/>
      <c r="H69" t="inlineStr">
        <is>
          <t>medium</t>
        </is>
      </c>
      <c r="I69" t="inlineStr">
        <is>
          <t>taxonomic_containment</t>
        </is>
      </c>
      <c r="J69" t="n">
        <v>68165.908</v>
      </c>
      <c r="K69" t="n">
        <v>0.0327</v>
      </c>
      <c r="L69" s="6" t="inlineStr">
        <is>
          <t>SAU identifies shark or ray catch and Table S2 has a pooled Sharks &amp; rays group; extension beyond the listed species is explicit analyst inference.</t>
        </is>
      </c>
    </row>
    <row r="70">
      <c r="A70" t="inlineStr">
        <is>
          <t>Dicentrarchus labrax</t>
        </is>
      </c>
      <c r="B70" t="inlineStr">
        <is>
          <t>European seabass</t>
        </is>
      </c>
      <c r="C70" t="inlineStr">
        <is>
          <t>Large demersals (&gt;=90 cm)</t>
        </is>
      </c>
      <c r="D70" t="inlineStr">
        <is>
          <t>Perch-likes</t>
        </is>
      </c>
      <c r="E70" s="7" t="inlineStr">
        <is>
          <t>Large Dem. fish</t>
        </is>
      </c>
      <c r="F70" t="inlineStr"/>
      <c r="G70" t="inlineStr"/>
      <c r="H70" t="inlineStr">
        <is>
          <t>low</t>
        </is>
      </c>
      <c r="I70" t="inlineStr">
        <is>
          <t>habitat_size_guild</t>
        </is>
      </c>
      <c r="J70" t="n">
        <v>66497.71799999999</v>
      </c>
      <c r="K70" t="n">
        <v>0.0319</v>
      </c>
      <c r="L70" s="6" t="inlineStr">
        <is>
          <t>Analyst inference from SAU benthic fish habitat to the residual demersal pool containing gurnards, wolffish, sculpins and rocklings (Table S2); unlisted species and smaller fish make this a weak extension.</t>
        </is>
      </c>
    </row>
    <row r="71">
      <c r="A71" t="inlineStr">
        <is>
          <t>Homarus gammarus</t>
        </is>
      </c>
      <c r="B71" t="inlineStr">
        <is>
          <t>European lobster</t>
        </is>
      </c>
      <c r="C71" t="inlineStr">
        <is>
          <t>Lobsters, crabs</t>
        </is>
      </c>
      <c r="D71" t="inlineStr">
        <is>
          <t>Crustaceans</t>
        </is>
      </c>
      <c r="E71" s="5" t="inlineStr">
        <is>
          <t>Crustacea</t>
        </is>
      </c>
      <c r="F71" t="inlineStr"/>
      <c r="G71" t="inlineStr"/>
      <c r="H71" t="inlineStr">
        <is>
          <t>high</t>
        </is>
      </c>
      <c r="I71" t="inlineStr">
        <is>
          <t>taxonomic_containment</t>
        </is>
      </c>
      <c r="J71" t="n">
        <v>65777.005</v>
      </c>
      <c r="K71" t="n">
        <v>0.0316</v>
      </c>
      <c r="L71" s="6" t="inlineStr">
        <is>
          <t>SAU identifies shrimp or lobster/crab catch; Table S2 Crustacea includes shrimp, lobster and crab taxa without a finer model split.</t>
        </is>
      </c>
    </row>
    <row r="72">
      <c r="A72" t="inlineStr">
        <is>
          <t>Pleuronectidae</t>
        </is>
      </c>
      <c r="B72" t="inlineStr">
        <is>
          <t>Righteye flounders</t>
        </is>
      </c>
      <c r="C72" t="inlineStr">
        <is>
          <t>Small to medium flatfishes (&lt;90 cm)</t>
        </is>
      </c>
      <c r="D72" t="inlineStr">
        <is>
          <t>Flatfishes</t>
        </is>
      </c>
      <c r="E72" s="5" t="inlineStr">
        <is>
          <t>Flatfishes</t>
        </is>
      </c>
      <c r="F72" t="inlineStr"/>
      <c r="G72" t="inlineStr"/>
      <c r="H72" t="inlineStr">
        <is>
          <t>high</t>
        </is>
      </c>
      <c r="I72" t="inlineStr">
        <is>
          <t>taxonomic_containment</t>
        </is>
      </c>
      <c r="J72" t="n">
        <v>63854.082</v>
      </c>
      <c r="K72" t="n">
        <v>0.0307</v>
      </c>
      <c r="L72" s="6" t="inlineStr">
        <is>
          <t>Taxonomic containment of the Table S2 named members determines the candidate group(s). Fixed composition weights are used when multiple documented groups occur.</t>
        </is>
      </c>
    </row>
    <row r="73">
      <c r="A73" t="inlineStr">
        <is>
          <t>Ostrea edulis</t>
        </is>
      </c>
      <c r="B73" t="inlineStr">
        <is>
          <t>European flat oyster</t>
        </is>
      </c>
      <c r="C73" t="inlineStr">
        <is>
          <t>Other demersal invertebrates</t>
        </is>
      </c>
      <c r="D73" t="inlineStr">
        <is>
          <t>Molluscs</t>
        </is>
      </c>
      <c r="E73" s="8" t="inlineStr">
        <is>
          <t>Epifauna</t>
        </is>
      </c>
      <c r="F73" t="inlineStr"/>
      <c r="G73" t="inlineStr"/>
      <c r="H73" t="inlineStr">
        <is>
          <t>medium</t>
        </is>
      </c>
      <c r="I73" t="inlineStr">
        <is>
          <t>taxonomic_containment</t>
        </is>
      </c>
      <c r="J73" t="n">
        <v>63426.516</v>
      </c>
      <c r="K73" t="n">
        <v>0.0304</v>
      </c>
      <c r="L73" s="6" t="inlineStr">
        <is>
          <t>Table S2 Epifauna explicitly includes mussels, oysters, scallops, cockles, periwinkles and whelks; this catch label belongs to those source-defined categories.</t>
        </is>
      </c>
    </row>
    <row r="74">
      <c r="A74" t="inlineStr">
        <is>
          <t>Argentina</t>
        </is>
      </c>
      <c r="B74" t="inlineStr">
        <is>
          <t>Argentines</t>
        </is>
      </c>
      <c r="C74" t="inlineStr">
        <is>
          <t>Medium bathydemersals (30 - 89 cm)</t>
        </is>
      </c>
      <c r="D74" t="inlineStr">
        <is>
          <t>Salmon, smelts, etc</t>
        </is>
      </c>
      <c r="E74" s="8" t="inlineStr">
        <is>
          <t>Small pelagics</t>
        </is>
      </c>
      <c r="F74" t="inlineStr"/>
      <c r="G74" t="inlineStr"/>
      <c r="H74" t="inlineStr">
        <is>
          <t>medium</t>
        </is>
      </c>
      <c r="I74" t="inlineStr">
        <is>
          <t>taxonomic_containment</t>
        </is>
      </c>
      <c r="J74" t="n">
        <v>59099.79</v>
      </c>
      <c r="K74" t="n">
        <v>0.0284</v>
      </c>
      <c r="L74" s="6" t="inlineStr">
        <is>
          <t>Table S2 lists members of genus Argentina in these group(s); genus-level catch is assigned to their documented group union.</t>
        </is>
      </c>
    </row>
    <row r="75">
      <c r="A75" t="inlineStr">
        <is>
          <t>Pleuronectiformes</t>
        </is>
      </c>
      <c r="B75" t="inlineStr">
        <is>
          <t>Flatfishes</t>
        </is>
      </c>
      <c r="C75" t="inlineStr">
        <is>
          <t>Small to medium flatfishes (&lt;90 cm)</t>
        </is>
      </c>
      <c r="D75" t="inlineStr">
        <is>
          <t>Flatfishes</t>
        </is>
      </c>
      <c r="E75" s="8" t="inlineStr">
        <is>
          <t>Flatfishes | Turbot</t>
        </is>
      </c>
      <c r="F75" t="inlineStr">
        <is>
          <t>0.983 | 0.017</t>
        </is>
      </c>
      <c r="G75" t="inlineStr">
        <is>
          <t>catch_composition</t>
        </is>
      </c>
      <c r="H75" t="inlineStr">
        <is>
          <t>medium</t>
        </is>
      </c>
      <c r="I75" t="inlineStr">
        <is>
          <t>composite_split</t>
        </is>
      </c>
      <c r="J75" t="n">
        <v>59087.077</v>
      </c>
      <c r="K75" t="n">
        <v>0.0284</v>
      </c>
      <c r="L75" s="6" t="inlineStr">
        <is>
          <t>Taxonomic containment of the Table S2 named members determines the candidate group(s). Fixed composition weights are used when multiple documented groups occur.</t>
        </is>
      </c>
    </row>
    <row r="76">
      <c r="A76" t="inlineStr">
        <is>
          <t>Anarhichas lupus</t>
        </is>
      </c>
      <c r="B76" t="inlineStr">
        <is>
          <t>Atlantic wolffish</t>
        </is>
      </c>
      <c r="C76" t="inlineStr">
        <is>
          <t>Large demersals (&gt;=90 cm)</t>
        </is>
      </c>
      <c r="D76" t="inlineStr">
        <is>
          <t>Perch-likes</t>
        </is>
      </c>
      <c r="E76" s="5" t="inlineStr">
        <is>
          <t>Large Dem. fish</t>
        </is>
      </c>
      <c r="F76" t="inlineStr"/>
      <c r="G76" t="inlineStr"/>
      <c r="H76" t="inlineStr">
        <is>
          <t>high</t>
        </is>
      </c>
      <c r="I76" t="inlineStr">
        <is>
          <t>explicit_member</t>
        </is>
      </c>
      <c r="J76" t="n">
        <v>58900.833</v>
      </c>
      <c r="K76" t="n">
        <v>0.0283</v>
      </c>
      <c r="L76" s="6" t="inlineStr">
        <is>
          <t>Table S2 explicitly lists Anarhichas lupus in this model group; source membership overrides the SAU habitat-size class.</t>
        </is>
      </c>
    </row>
    <row r="77">
      <c r="A77" t="inlineStr">
        <is>
          <t>Merlucciidae</t>
        </is>
      </c>
      <c r="B77" t="inlineStr">
        <is>
          <t>Merluccid hakes</t>
        </is>
      </c>
      <c r="C77" t="inlineStr">
        <is>
          <t>Large bathydemersals (&gt;=90 cm)</t>
        </is>
      </c>
      <c r="D77" t="inlineStr">
        <is>
          <t>Cod-likes</t>
        </is>
      </c>
      <c r="E77" s="5" t="inlineStr">
        <is>
          <t>Hake</t>
        </is>
      </c>
      <c r="F77" t="inlineStr"/>
      <c r="G77" t="inlineStr"/>
      <c r="H77" t="inlineStr">
        <is>
          <t>high</t>
        </is>
      </c>
      <c r="I77" t="inlineStr">
        <is>
          <t>taxonomic_containment</t>
        </is>
      </c>
      <c r="J77" t="n">
        <v>55942.832</v>
      </c>
      <c r="K77" t="n">
        <v>0.0269</v>
      </c>
      <c r="L77" s="6" t="inlineStr">
        <is>
          <t>Taxonomic containment of the Table S2 named members determines the candidate group(s). Fixed composition weights are used when multiple documented groups occur.</t>
        </is>
      </c>
    </row>
    <row r="78">
      <c r="A78" t="inlineStr">
        <is>
          <t>Clupeidae</t>
        </is>
      </c>
      <c r="B78" t="inlineStr">
        <is>
          <t>Herrings, sardines, menhadens</t>
        </is>
      </c>
      <c r="C78" t="inlineStr">
        <is>
          <t>Small pelagics (&lt;30 cm)</t>
        </is>
      </c>
      <c r="D78" t="inlineStr">
        <is>
          <t>Herring-likes</t>
        </is>
      </c>
      <c r="E78" s="8" t="inlineStr">
        <is>
          <t>Herring | Small pelagics</t>
        </is>
      </c>
      <c r="F78" t="inlineStr">
        <is>
          <t>0.623 | 0.377</t>
        </is>
      </c>
      <c r="G78" t="inlineStr">
        <is>
          <t>catch_composition</t>
        </is>
      </c>
      <c r="H78" t="inlineStr">
        <is>
          <t>medium</t>
        </is>
      </c>
      <c r="I78" t="inlineStr">
        <is>
          <t>composite_split</t>
        </is>
      </c>
      <c r="J78" t="n">
        <v>55471.579</v>
      </c>
      <c r="K78" t="n">
        <v>0.0266</v>
      </c>
      <c r="L78" s="6" t="inlineStr">
        <is>
          <t>Taxonomic containment of the Table S2 named members determines the candidate group(s). Fixed composition weights are used when multiple documented groups occur.</t>
        </is>
      </c>
    </row>
    <row r="79">
      <c r="A79" t="inlineStr">
        <is>
          <t>Molva</t>
        </is>
      </c>
      <c r="B79" t="inlineStr">
        <is>
          <t>Lings</t>
        </is>
      </c>
      <c r="C79" t="inlineStr">
        <is>
          <t>Large demersals (&gt;=90 cm)</t>
        </is>
      </c>
      <c r="D79" t="inlineStr">
        <is>
          <t>Cod-likes</t>
        </is>
      </c>
      <c r="E79" s="8" t="inlineStr">
        <is>
          <t>Ling</t>
        </is>
      </c>
      <c r="F79" t="inlineStr"/>
      <c r="G79" t="inlineStr"/>
      <c r="H79" t="inlineStr">
        <is>
          <t>medium</t>
        </is>
      </c>
      <c r="I79" t="inlineStr">
        <is>
          <t>taxonomic_containment</t>
        </is>
      </c>
      <c r="J79" t="n">
        <v>54413.275</v>
      </c>
      <c r="K79" t="n">
        <v>0.0261</v>
      </c>
      <c r="L79" s="6" t="inlineStr">
        <is>
          <t>Table S2 lists members of genus Molva in these group(s); genus-level catch is assigned to their documented group union.</t>
        </is>
      </c>
    </row>
    <row r="80">
      <c r="A80" t="inlineStr">
        <is>
          <t>Cetorhinus maximus</t>
        </is>
      </c>
      <c r="B80" t="inlineStr">
        <is>
          <t>Basking shark</t>
        </is>
      </c>
      <c r="C80" t="inlineStr">
        <is>
          <t>Large sharks (&gt;=90 cm)</t>
        </is>
      </c>
      <c r="D80" t="inlineStr">
        <is>
          <t>Sharks &amp; rays</t>
        </is>
      </c>
      <c r="E80" s="8" t="inlineStr">
        <is>
          <t>Sharks &amp; rays</t>
        </is>
      </c>
      <c r="F80" t="inlineStr"/>
      <c r="G80" t="inlineStr"/>
      <c r="H80" t="inlineStr">
        <is>
          <t>medium</t>
        </is>
      </c>
      <c r="I80" t="inlineStr">
        <is>
          <t>taxonomic_containment</t>
        </is>
      </c>
      <c r="J80" t="n">
        <v>50893.66</v>
      </c>
      <c r="K80" t="n">
        <v>0.0244</v>
      </c>
      <c r="L80" s="6" t="inlineStr">
        <is>
          <t>SAU identifies shark or ray catch and Table S2 has a pooled Sharks &amp; rays group; extension beyond the listed species is explicit analyst inference.</t>
        </is>
      </c>
    </row>
    <row r="81">
      <c r="A81" t="inlineStr">
        <is>
          <t>Trachinus draco</t>
        </is>
      </c>
      <c r="B81" t="inlineStr">
        <is>
          <t>Greater weever</t>
        </is>
      </c>
      <c r="C81" t="inlineStr">
        <is>
          <t>Medium demersals (30 - 89 cm)</t>
        </is>
      </c>
      <c r="D81" t="inlineStr">
        <is>
          <t>Perch-likes</t>
        </is>
      </c>
      <c r="E81" s="7" t="inlineStr">
        <is>
          <t>Large Dem. fish</t>
        </is>
      </c>
      <c r="F81" t="inlineStr"/>
      <c r="G81" t="inlineStr"/>
      <c r="H81" t="inlineStr">
        <is>
          <t>low</t>
        </is>
      </c>
      <c r="I81" t="inlineStr">
        <is>
          <t>habitat_size_guild</t>
        </is>
      </c>
      <c r="J81" t="n">
        <v>50679.12</v>
      </c>
      <c r="K81" t="n">
        <v>0.0243</v>
      </c>
      <c r="L81" s="6" t="inlineStr">
        <is>
          <t>Analyst inference from SAU benthic fish habitat to the residual demersal pool containing gurnards, wolffish, sculpins and rocklings (Table S2); unlisted species and smaller fish make this a weak extension.</t>
        </is>
      </c>
    </row>
    <row r="82">
      <c r="A82" t="inlineStr">
        <is>
          <t>Belone belone</t>
        </is>
      </c>
      <c r="B82" t="inlineStr">
        <is>
          <t>Garfish</t>
        </is>
      </c>
      <c r="C82" t="inlineStr">
        <is>
          <t>Medium pelagics (30 - 89 cm)</t>
        </is>
      </c>
      <c r="D82" t="inlineStr">
        <is>
          <t>Other fishes &amp; inverts</t>
        </is>
      </c>
      <c r="E82" s="7" t="inlineStr">
        <is>
          <t>Large Pelagics</t>
        </is>
      </c>
      <c r="F82" t="inlineStr"/>
      <c r="G82" t="inlineStr"/>
      <c r="H82" t="inlineStr">
        <is>
          <t>low</t>
        </is>
      </c>
      <c r="I82" t="inlineStr">
        <is>
          <t>habitat_size_guild</t>
        </is>
      </c>
      <c r="J82" t="n">
        <v>49163.321</v>
      </c>
      <c r="K82" t="n">
        <v>0.0236</v>
      </c>
      <c r="L82" s="6" t="inlineStr">
        <is>
          <t>Analyst inference from SAU pelagic size/habitat class to the Table S2 pelagic pools; this species is not listed and the model lacks its own dedicated compartment.</t>
        </is>
      </c>
    </row>
    <row r="83">
      <c r="A83" t="inlineStr">
        <is>
          <t>Lamna nasus</t>
        </is>
      </c>
      <c r="B83" t="inlineStr">
        <is>
          <t>Porbeagle</t>
        </is>
      </c>
      <c r="C83" t="inlineStr">
        <is>
          <t>Large sharks (&gt;=90 cm)</t>
        </is>
      </c>
      <c r="D83" t="inlineStr">
        <is>
          <t>Sharks &amp; rays</t>
        </is>
      </c>
      <c r="E83" s="5" t="inlineStr">
        <is>
          <t>Sharks &amp; rays</t>
        </is>
      </c>
      <c r="F83" t="inlineStr"/>
      <c r="G83" t="inlineStr"/>
      <c r="H83" t="inlineStr">
        <is>
          <t>high</t>
        </is>
      </c>
      <c r="I83" t="inlineStr">
        <is>
          <t>explicit_member</t>
        </is>
      </c>
      <c r="J83" t="n">
        <v>46214.036</v>
      </c>
      <c r="K83" t="n">
        <v>0.0222</v>
      </c>
      <c r="L83" s="6" t="inlineStr">
        <is>
          <t>Table S2 explicitly lists Lamna nasus in this model group; source membership overrides the SAU habitat-size class.</t>
        </is>
      </c>
    </row>
    <row r="84">
      <c r="A84" t="inlineStr">
        <is>
          <t>Crangonidae</t>
        </is>
      </c>
      <c r="B84" t="inlineStr">
        <is>
          <t>Brown shrimps</t>
        </is>
      </c>
      <c r="C84" t="inlineStr">
        <is>
          <t>Shrimps</t>
        </is>
      </c>
      <c r="D84" t="inlineStr">
        <is>
          <t>Crustaceans</t>
        </is>
      </c>
      <c r="E84" s="5" t="inlineStr">
        <is>
          <t>Crustacea</t>
        </is>
      </c>
      <c r="F84" t="inlineStr"/>
      <c r="G84" t="inlineStr"/>
      <c r="H84" t="inlineStr">
        <is>
          <t>high</t>
        </is>
      </c>
      <c r="I84" t="inlineStr">
        <is>
          <t>taxonomic_containment</t>
        </is>
      </c>
      <c r="J84" t="n">
        <v>46184.499</v>
      </c>
      <c r="K84" t="n">
        <v>0.0222</v>
      </c>
      <c r="L84" s="6" t="inlineStr">
        <is>
          <t>SAU identifies shrimp or lobster/crab catch; Table S2 Crustacea includes shrimp, lobster and crab taxa without a finer model split.</t>
        </is>
      </c>
    </row>
    <row r="85">
      <c r="A85" t="inlineStr">
        <is>
          <t>Soleidae</t>
        </is>
      </c>
      <c r="B85" t="inlineStr">
        <is>
          <t>Soles</t>
        </is>
      </c>
      <c r="C85" t="inlineStr">
        <is>
          <t>Small to medium flatfishes (&lt;90 cm)</t>
        </is>
      </c>
      <c r="D85" t="inlineStr">
        <is>
          <t>Flatfishes</t>
        </is>
      </c>
      <c r="E85" s="5" t="inlineStr">
        <is>
          <t>Flatfishes</t>
        </is>
      </c>
      <c r="F85" t="inlineStr"/>
      <c r="G85" t="inlineStr"/>
      <c r="H85" t="inlineStr">
        <is>
          <t>high</t>
        </is>
      </c>
      <c r="I85" t="inlineStr">
        <is>
          <t>taxonomic_containment</t>
        </is>
      </c>
      <c r="J85" t="n">
        <v>45827.959</v>
      </c>
      <c r="K85" t="n">
        <v>0.022</v>
      </c>
      <c r="L85" s="6" t="inlineStr">
        <is>
          <t>Taxonomic containment of the Table S2 named members determines the candidate group(s). Fixed composition weights are used when multiple documented groups occur.</t>
        </is>
      </c>
    </row>
    <row r="86">
      <c r="A86" t="inlineStr">
        <is>
          <t>Sebastidae</t>
        </is>
      </c>
      <c r="B86" t="inlineStr">
        <is>
          <t>Rockfishes, rockcods, thornyheads</t>
        </is>
      </c>
      <c r="C86" t="inlineStr">
        <is>
          <t>Medium demersals (30 - 89 cm)</t>
        </is>
      </c>
      <c r="D86" t="inlineStr">
        <is>
          <t>Scorpionfishes</t>
        </is>
      </c>
      <c r="E86" s="5" t="inlineStr">
        <is>
          <t>Large Dem. fish</t>
        </is>
      </c>
      <c r="F86" t="inlineStr"/>
      <c r="G86" t="inlineStr"/>
      <c r="H86" t="inlineStr">
        <is>
          <t>high</t>
        </is>
      </c>
      <c r="I86" t="inlineStr">
        <is>
          <t>taxonomic_containment</t>
        </is>
      </c>
      <c r="J86" t="n">
        <v>45665.481</v>
      </c>
      <c r="K86" t="n">
        <v>0.0219</v>
      </c>
      <c r="L86" s="6" t="inlineStr">
        <is>
          <t>Taxonomic containment of the Table S2 named members determines the candidate group(s). Fixed composition weights are used when multiple documented groups occur.</t>
        </is>
      </c>
    </row>
    <row r="87">
      <c r="A87" t="inlineStr">
        <is>
          <t>Loliginidae</t>
        </is>
      </c>
      <c r="B87" t="inlineStr">
        <is>
          <t>Common pencil squids</t>
        </is>
      </c>
      <c r="C87" t="inlineStr">
        <is>
          <t>Cephalopods</t>
        </is>
      </c>
      <c r="D87" t="inlineStr">
        <is>
          <t>Other fishes &amp; inverts</t>
        </is>
      </c>
      <c r="E87" s="5" t="inlineStr">
        <is>
          <t>Squid &amp; Octopus</t>
        </is>
      </c>
      <c r="F87" t="inlineStr"/>
      <c r="G87" t="inlineStr"/>
      <c r="H87" t="inlineStr">
        <is>
          <t>high</t>
        </is>
      </c>
      <c r="I87" t="inlineStr">
        <is>
          <t>taxonomic_containment</t>
        </is>
      </c>
      <c r="J87" t="n">
        <v>45066.802</v>
      </c>
      <c r="K87" t="n">
        <v>0.0216</v>
      </c>
      <c r="L87" s="6" t="inlineStr">
        <is>
          <t>SAU identifies this catch as cephalopods; Table S2 pools squid, octopus and cuttlefish in Squid &amp; Octopus.</t>
        </is>
      </c>
    </row>
    <row r="88">
      <c r="A88" t="inlineStr">
        <is>
          <t>Carangidae</t>
        </is>
      </c>
      <c r="B88" t="inlineStr">
        <is>
          <t>Jacks, pompanos</t>
        </is>
      </c>
      <c r="C88" t="inlineStr">
        <is>
          <t>Medium pelagics (30 - 89 cm)</t>
        </is>
      </c>
      <c r="D88" t="inlineStr">
        <is>
          <t>Perch-likes</t>
        </is>
      </c>
      <c r="E88" s="5" t="inlineStr">
        <is>
          <t>Large Pelagics</t>
        </is>
      </c>
      <c r="F88" t="inlineStr"/>
      <c r="G88" t="inlineStr"/>
      <c r="H88" t="inlineStr">
        <is>
          <t>high</t>
        </is>
      </c>
      <c r="I88" t="inlineStr">
        <is>
          <t>taxonomic_containment</t>
        </is>
      </c>
      <c r="J88" t="n">
        <v>42077.164</v>
      </c>
      <c r="K88" t="n">
        <v>0.0202</v>
      </c>
      <c r="L88" s="6" t="inlineStr">
        <is>
          <t>Taxonomic containment of the Table S2 named members determines the candidate group(s). Fixed composition weights are used when multiple documented groups occur.</t>
        </is>
      </c>
    </row>
    <row r="89">
      <c r="A89" t="inlineStr">
        <is>
          <t>Lophius</t>
        </is>
      </c>
      <c r="B89" t="inlineStr">
        <is>
          <t>Frogfishes</t>
        </is>
      </c>
      <c r="C89" t="inlineStr">
        <is>
          <t>Medium bathydemersals (30 - 89 cm)</t>
        </is>
      </c>
      <c r="D89" t="inlineStr">
        <is>
          <t>Other fishes &amp; inverts</t>
        </is>
      </c>
      <c r="E89" s="8" t="inlineStr">
        <is>
          <t>Monkfish</t>
        </is>
      </c>
      <c r="F89" t="inlineStr"/>
      <c r="G89" t="inlineStr"/>
      <c r="H89" t="inlineStr">
        <is>
          <t>medium</t>
        </is>
      </c>
      <c r="I89" t="inlineStr">
        <is>
          <t>taxonomic_containment</t>
        </is>
      </c>
      <c r="J89" t="n">
        <v>41552.964</v>
      </c>
      <c r="K89" t="n">
        <v>0.0199</v>
      </c>
      <c r="L89" s="6" t="inlineStr">
        <is>
          <t>Table S2 lists members of genus Lophius in these group(s); genus-level catch is assigned to their documented group union.</t>
        </is>
      </c>
    </row>
    <row r="90">
      <c r="A90" t="inlineStr">
        <is>
          <t>Brachyura</t>
        </is>
      </c>
      <c r="B90" t="inlineStr">
        <is>
          <t>Marine crabs</t>
        </is>
      </c>
      <c r="C90" t="inlineStr">
        <is>
          <t>Lobsters, crabs</t>
        </is>
      </c>
      <c r="D90" t="inlineStr">
        <is>
          <t>Crustaceans</t>
        </is>
      </c>
      <c r="E90" s="5" t="inlineStr">
        <is>
          <t>Crustacea</t>
        </is>
      </c>
      <c r="F90" t="inlineStr"/>
      <c r="G90" t="inlineStr"/>
      <c r="H90" t="inlineStr">
        <is>
          <t>high</t>
        </is>
      </c>
      <c r="I90" t="inlineStr">
        <is>
          <t>taxonomic_containment</t>
        </is>
      </c>
      <c r="J90" t="n">
        <v>41347.328</v>
      </c>
      <c r="K90" t="n">
        <v>0.0198</v>
      </c>
      <c r="L90" s="6" t="inlineStr">
        <is>
          <t>SAU identifies shrimp or lobster/crab catch; Table S2 Crustacea includes shrimp, lobster and crab taxa without a finer model split.</t>
        </is>
      </c>
    </row>
    <row r="91">
      <c r="A91" t="inlineStr">
        <is>
          <t>Hippoglossoides platessoides</t>
        </is>
      </c>
      <c r="B91" t="inlineStr">
        <is>
          <t>American plaice</t>
        </is>
      </c>
      <c r="C91" t="inlineStr">
        <is>
          <t>Small to medium flatfishes (&lt;90 cm)</t>
        </is>
      </c>
      <c r="D91" t="inlineStr">
        <is>
          <t>Flatfishes</t>
        </is>
      </c>
      <c r="E91" s="5" t="inlineStr">
        <is>
          <t>Flatfishes</t>
        </is>
      </c>
      <c r="F91" t="inlineStr"/>
      <c r="G91" t="inlineStr"/>
      <c r="H91" t="inlineStr">
        <is>
          <t>high</t>
        </is>
      </c>
      <c r="I91" t="inlineStr">
        <is>
          <t>explicit_member</t>
        </is>
      </c>
      <c r="J91" t="n">
        <v>39326.759</v>
      </c>
      <c r="K91" t="n">
        <v>0.0189</v>
      </c>
      <c r="L91" s="6" t="inlineStr">
        <is>
          <t>Table S2 explicitly lists Hippoglossoides platessoides in this model group; source membership overrides the SAU habitat-size class.</t>
        </is>
      </c>
    </row>
    <row r="92">
      <c r="A92" t="inlineStr">
        <is>
          <t>Ensis siliqua</t>
        </is>
      </c>
      <c r="B92" t="inlineStr">
        <is>
          <t>Sword razor shell</t>
        </is>
      </c>
      <c r="C92" t="inlineStr">
        <is>
          <t>Other demersal invertebrates</t>
        </is>
      </c>
      <c r="D92" t="inlineStr">
        <is>
          <t>Molluscs</t>
        </is>
      </c>
      <c r="E92" s="8" t="inlineStr">
        <is>
          <t>Infauna</t>
        </is>
      </c>
      <c r="F92" t="inlineStr"/>
      <c r="G92" t="inlineStr"/>
      <c r="H92" t="inlineStr">
        <is>
          <t>medium</t>
        </is>
      </c>
      <c r="I92" t="inlineStr">
        <is>
          <t>habitat_size_guild</t>
        </is>
      </c>
      <c r="J92" t="n">
        <v>39191.241</v>
      </c>
      <c r="K92" t="n">
        <v>0.0188</v>
      </c>
      <c r="L92" s="6" t="inlineStr">
        <is>
          <t>Analyst inference from burrowing bivalve or polychaete identity: Table S2 Infauna explicitly comprises these organisms. Some named clam categories also occur in Epifauna, so this inferred extension requires review.</t>
        </is>
      </c>
    </row>
    <row r="93">
      <c r="A93" t="inlineStr">
        <is>
          <t>Scophthalmidae</t>
        </is>
      </c>
      <c r="B93" t="inlineStr">
        <is>
          <t>Turbots</t>
        </is>
      </c>
      <c r="C93" t="inlineStr">
        <is>
          <t>Small to medium flatfishes (&lt;90 cm)</t>
        </is>
      </c>
      <c r="D93" t="inlineStr">
        <is>
          <t>Flatfishes</t>
        </is>
      </c>
      <c r="E93" s="8" t="inlineStr">
        <is>
          <t>Flatfishes | Turbot</t>
        </is>
      </c>
      <c r="F93" t="inlineStr">
        <is>
          <t>0.983 | 0.017</t>
        </is>
      </c>
      <c r="G93" t="inlineStr">
        <is>
          <t>catch_composition</t>
        </is>
      </c>
      <c r="H93" t="inlineStr">
        <is>
          <t>medium</t>
        </is>
      </c>
      <c r="I93" t="inlineStr">
        <is>
          <t>composite_split</t>
        </is>
      </c>
      <c r="J93" t="n">
        <v>37317.357</v>
      </c>
      <c r="K93" t="n">
        <v>0.0179</v>
      </c>
      <c r="L93" s="6" t="inlineStr">
        <is>
          <t>Taxonomic containment of the Table S2 named members determines the candidate group(s). Fixed composition weights are used when multiple documented groups occur.</t>
        </is>
      </c>
    </row>
    <row r="94">
      <c r="A94" t="inlineStr">
        <is>
          <t>Reinhardtius hippoglossoides</t>
        </is>
      </c>
      <c r="B94" t="inlineStr">
        <is>
          <t>Greenland halibut</t>
        </is>
      </c>
      <c r="C94" t="inlineStr">
        <is>
          <t>Small to medium flatfishes (&lt;90 cm)</t>
        </is>
      </c>
      <c r="D94" t="inlineStr">
        <is>
          <t>Flatfishes</t>
        </is>
      </c>
      <c r="E94" s="8" t="inlineStr">
        <is>
          <t>Flatfishes</t>
        </is>
      </c>
      <c r="F94" t="inlineStr"/>
      <c r="G94" t="inlineStr"/>
      <c r="H94" t="inlineStr">
        <is>
          <t>medium</t>
        </is>
      </c>
      <c r="I94" t="inlineStr">
        <is>
          <t>taxonomic_containment</t>
        </is>
      </c>
      <c r="J94" t="n">
        <v>36688.512</v>
      </c>
      <c r="K94" t="n">
        <v>0.0176</v>
      </c>
      <c r="L94" s="6" t="inlineStr">
        <is>
          <t>SAU identifies a flatfish taxon; the model has a broad Flatfishes pool, with separately reported turbot retained in Turbot. This taxon is not explicitly named in Table S2.</t>
        </is>
      </c>
    </row>
    <row r="95">
      <c r="A95" t="inlineStr">
        <is>
          <t>Engraulis encrasicolus</t>
        </is>
      </c>
      <c r="B95" t="inlineStr">
        <is>
          <t>European anchovy</t>
        </is>
      </c>
      <c r="C95" t="inlineStr">
        <is>
          <t>Small pelagics (&lt;30 cm)</t>
        </is>
      </c>
      <c r="D95" t="inlineStr">
        <is>
          <t>Anchovies</t>
        </is>
      </c>
      <c r="E95" s="5" t="inlineStr">
        <is>
          <t>Small pelagics</t>
        </is>
      </c>
      <c r="F95" t="inlineStr"/>
      <c r="G95" t="inlineStr"/>
      <c r="H95" t="inlineStr">
        <is>
          <t>high</t>
        </is>
      </c>
      <c r="I95" t="inlineStr">
        <is>
          <t>explicit_member</t>
        </is>
      </c>
      <c r="J95" t="n">
        <v>35009.068</v>
      </c>
      <c r="K95" t="n">
        <v>0.0168</v>
      </c>
      <c r="L95" s="6" t="inlineStr">
        <is>
          <t>Table S2 explicitly lists Engraulis encrasicolus in this model group; source membership overrides the SAU habitat-size class.</t>
        </is>
      </c>
    </row>
    <row r="96">
      <c r="A96" t="inlineStr">
        <is>
          <t>Salmo salar</t>
        </is>
      </c>
      <c r="B96" t="inlineStr">
        <is>
          <t>Atlantic salmon</t>
        </is>
      </c>
      <c r="C96" t="inlineStr">
        <is>
          <t>Large benthopelagics (&gt;=90 cm)</t>
        </is>
      </c>
      <c r="D96" t="inlineStr">
        <is>
          <t>Salmon, smelts, etc</t>
        </is>
      </c>
      <c r="E96" s="9" t="inlineStr">
        <is>
          <t>Unresolved</t>
        </is>
      </c>
      <c r="F96" t="inlineStr"/>
      <c r="G96" t="inlineStr"/>
      <c r="H96" t="inlineStr">
        <is>
          <t>unresolved</t>
        </is>
      </c>
      <c r="I96" t="inlineStr">
        <is>
          <t>none</t>
        </is>
      </c>
      <c r="J96" t="n">
        <v>34516.543</v>
      </c>
      <c r="K96" t="n">
        <v>0.0166</v>
      </c>
      <c r="L96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97">
      <c r="A97" t="inlineStr">
        <is>
          <t>Bivalvia</t>
        </is>
      </c>
      <c r="B97" t="inlineStr">
        <is>
          <t>Clams</t>
        </is>
      </c>
      <c r="C97" t="inlineStr">
        <is>
          <t>Other demersal invertebrates</t>
        </is>
      </c>
      <c r="D97" t="inlineStr">
        <is>
          <t>Molluscs</t>
        </is>
      </c>
      <c r="E97" s="8" t="inlineStr">
        <is>
          <t>Infauna | Epifauna</t>
        </is>
      </c>
      <c r="F97" t="inlineStr">
        <is>
          <t>0.012 | 0.988</t>
        </is>
      </c>
      <c r="G97" t="inlineStr">
        <is>
          <t>catch_composition</t>
        </is>
      </c>
      <c r="H97" t="inlineStr">
        <is>
          <t>medium</t>
        </is>
      </c>
      <c r="I97" t="inlineStr">
        <is>
          <t>composite_split</t>
        </is>
      </c>
      <c r="J97" t="n">
        <v>34182.488</v>
      </c>
      <c r="K97" t="n">
        <v>0.0164</v>
      </c>
      <c r="L97" s="6" t="inlineStr">
        <is>
          <t>The SAU demersal-invertebrate category spans burrowing and surface benthos represented by Table S2 Infauna and Epifauna; fixed weights derive from identified benthic catch.</t>
        </is>
      </c>
    </row>
    <row r="98">
      <c r="A98" t="inlineStr">
        <is>
          <t>Agonus cataphractus</t>
        </is>
      </c>
      <c r="B98" t="inlineStr">
        <is>
          <t>Hooknose</t>
        </is>
      </c>
      <c r="C98" t="inlineStr">
        <is>
          <t>Large reef assoc. fish (&gt;=90 cm)</t>
        </is>
      </c>
      <c r="D98" t="inlineStr">
        <is>
          <t>Scorpionfishes</t>
        </is>
      </c>
      <c r="E98" s="5" t="inlineStr">
        <is>
          <t>Large Dem. fish</t>
        </is>
      </c>
      <c r="F98" t="inlineStr"/>
      <c r="G98" t="inlineStr"/>
      <c r="H98" t="inlineStr">
        <is>
          <t>high</t>
        </is>
      </c>
      <c r="I98" t="inlineStr">
        <is>
          <t>explicit_member</t>
        </is>
      </c>
      <c r="J98" t="n">
        <v>33993.59</v>
      </c>
      <c r="K98" t="n">
        <v>0.0163</v>
      </c>
      <c r="L98" s="6" t="inlineStr">
        <is>
          <t>Table S2 explicitly lists Agonus cataphractus in this model group; source membership overrides the SAU habitat-size class.</t>
        </is>
      </c>
    </row>
    <row r="99">
      <c r="A99" t="inlineStr">
        <is>
          <t>Anarhichas</t>
        </is>
      </c>
      <c r="B99" t="inlineStr">
        <is>
          <t>Wolffishes</t>
        </is>
      </c>
      <c r="C99" t="inlineStr">
        <is>
          <t>Large demersals (&gt;=90 cm)</t>
        </is>
      </c>
      <c r="D99" t="inlineStr">
        <is>
          <t>Perch-likes</t>
        </is>
      </c>
      <c r="E99" s="8" t="inlineStr">
        <is>
          <t>Large Dem. fish</t>
        </is>
      </c>
      <c r="F99" t="inlineStr"/>
      <c r="G99" t="inlineStr"/>
      <c r="H99" t="inlineStr">
        <is>
          <t>medium</t>
        </is>
      </c>
      <c r="I99" t="inlineStr">
        <is>
          <t>taxonomic_containment</t>
        </is>
      </c>
      <c r="J99" t="n">
        <v>32950.569</v>
      </c>
      <c r="K99" t="n">
        <v>0.0158</v>
      </c>
      <c r="L99" s="6" t="inlineStr">
        <is>
          <t>Table S2 lists members of genus Anarhichas in these group(s); genus-level catch is assigned to their documented group union.</t>
        </is>
      </c>
    </row>
    <row r="100">
      <c r="A100" t="inlineStr">
        <is>
          <t>Asteroidea</t>
        </is>
      </c>
      <c r="B100" t="inlineStr">
        <is>
          <t>True sea stars</t>
        </is>
      </c>
      <c r="C100" t="inlineStr">
        <is>
          <t>Other demersal invertebrates</t>
        </is>
      </c>
      <c r="D100" t="inlineStr">
        <is>
          <t>Other fishes &amp; inverts</t>
        </is>
      </c>
      <c r="E100" s="7" t="inlineStr">
        <is>
          <t>Epifauna</t>
        </is>
      </c>
      <c r="F100" t="inlineStr"/>
      <c r="G100" t="inlineStr"/>
      <c r="H100" t="inlineStr">
        <is>
          <t>low</t>
        </is>
      </c>
      <c r="I100" t="inlineStr">
        <is>
          <t>habitat_size_guild</t>
        </is>
      </c>
      <c r="J100" t="n">
        <v>32824.634</v>
      </c>
      <c r="K100" t="n">
        <v>0.0158</v>
      </c>
      <c r="L100" s="6" t="inlineStr">
        <is>
          <t>Analyst inference: benthic epifaunal catch is represented by the Epifauna compartment name; Table S2 does not list this organism, so its detailed trophic placement remains weakly supported.</t>
        </is>
      </c>
    </row>
    <row r="101">
      <c r="A101" t="inlineStr">
        <is>
          <t>Anarhichadidae</t>
        </is>
      </c>
      <c r="B101" t="inlineStr">
        <is>
          <t>Wolffishes, wolfeels</t>
        </is>
      </c>
      <c r="C101" t="inlineStr">
        <is>
          <t>Large demersals (&gt;=90 cm)</t>
        </is>
      </c>
      <c r="D101" t="inlineStr">
        <is>
          <t>Perch-likes</t>
        </is>
      </c>
      <c r="E101" s="5" t="inlineStr">
        <is>
          <t>Large Dem. fish</t>
        </is>
      </c>
      <c r="F101" t="inlineStr"/>
      <c r="G101" t="inlineStr"/>
      <c r="H101" t="inlineStr">
        <is>
          <t>high</t>
        </is>
      </c>
      <c r="I101" t="inlineStr">
        <is>
          <t>taxonomic_containment</t>
        </is>
      </c>
      <c r="J101" t="n">
        <v>32456.258</v>
      </c>
      <c r="K101" t="n">
        <v>0.0156</v>
      </c>
      <c r="L101" s="6" t="inlineStr">
        <is>
          <t>Taxonomic containment of the Table S2 named members determines the candidate group(s). Fixed composition weights are used when multiple documented groups occur.</t>
        </is>
      </c>
    </row>
    <row r="102">
      <c r="A102" t="inlineStr">
        <is>
          <t>Amblyraja radiata</t>
        </is>
      </c>
      <c r="B102" t="inlineStr">
        <is>
          <t>Starry ray</t>
        </is>
      </c>
      <c r="C102" t="inlineStr">
        <is>
          <t>Large rays (&gt;=90 cm)</t>
        </is>
      </c>
      <c r="D102" t="inlineStr">
        <is>
          <t>Sharks &amp; rays</t>
        </is>
      </c>
      <c r="E102" s="5" t="inlineStr">
        <is>
          <t>Sharks &amp; rays</t>
        </is>
      </c>
      <c r="F102" t="inlineStr"/>
      <c r="G102" t="inlineStr"/>
      <c r="H102" t="inlineStr">
        <is>
          <t>high</t>
        </is>
      </c>
      <c r="I102" t="inlineStr">
        <is>
          <t>explicit_member</t>
        </is>
      </c>
      <c r="J102" t="n">
        <v>31591.647</v>
      </c>
      <c r="K102" t="n">
        <v>0.0152</v>
      </c>
      <c r="L102" s="6" t="inlineStr">
        <is>
          <t>Table S2 explicitly lists Amblyraja radiata in this model group; source membership overrides the SAU habitat-size class.</t>
        </is>
      </c>
    </row>
    <row r="103">
      <c r="A103" t="inlineStr">
        <is>
          <t>Osmerus eperlanus</t>
        </is>
      </c>
      <c r="B103" t="inlineStr">
        <is>
          <t>European smelt</t>
        </is>
      </c>
      <c r="C103" t="inlineStr">
        <is>
          <t>Medium pelagics (30 - 89 cm)</t>
        </is>
      </c>
      <c r="D103" t="inlineStr">
        <is>
          <t>Salmon, smelts, etc</t>
        </is>
      </c>
      <c r="E103" s="9" t="inlineStr">
        <is>
          <t>Unresolved</t>
        </is>
      </c>
      <c r="F103" t="inlineStr"/>
      <c r="G103" t="inlineStr"/>
      <c r="H103" t="inlineStr">
        <is>
          <t>unresolved</t>
        </is>
      </c>
      <c r="I103" t="inlineStr">
        <is>
          <t>none</t>
        </is>
      </c>
      <c r="J103" t="n">
        <v>31049.695</v>
      </c>
      <c r="K103" t="n">
        <v>0.0149</v>
      </c>
      <c r="L103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104">
      <c r="A104" t="inlineStr">
        <is>
          <t>Congridae</t>
        </is>
      </c>
      <c r="B104" t="inlineStr">
        <is>
          <t>Conger, garden eels</t>
        </is>
      </c>
      <c r="C104" t="inlineStr">
        <is>
          <t>Large demersals (&gt;=90 cm)</t>
        </is>
      </c>
      <c r="D104" t="inlineStr">
        <is>
          <t>Other fishes &amp; inverts</t>
        </is>
      </c>
      <c r="E104" s="7" t="inlineStr">
        <is>
          <t>Large Dem. fish</t>
        </is>
      </c>
      <c r="F104" t="inlineStr"/>
      <c r="G104" t="inlineStr"/>
      <c r="H104" t="inlineStr">
        <is>
          <t>low</t>
        </is>
      </c>
      <c r="I104" t="inlineStr">
        <is>
          <t>habitat_size_guild</t>
        </is>
      </c>
      <c r="J104" t="n">
        <v>28206.035</v>
      </c>
      <c r="K104" t="n">
        <v>0.0135</v>
      </c>
      <c r="L104" s="6" t="inlineStr">
        <is>
          <t>Analyst inference from SAU benthic fish habitat to the residual demersal pool containing gurnards, wolffish, sculpins and rocklings (Table S2); unlisted species and smaller fish make this a weak extension.</t>
        </is>
      </c>
    </row>
    <row r="105">
      <c r="A105" t="inlineStr">
        <is>
          <t>Sebastes norvegicus</t>
        </is>
      </c>
      <c r="B105" t="inlineStr">
        <is>
          <t>Golden redfish</t>
        </is>
      </c>
      <c r="C105" t="inlineStr">
        <is>
          <t>Medium benthopelagics (30 - 89 cm)</t>
        </is>
      </c>
      <c r="D105" t="inlineStr">
        <is>
          <t>Scorpionfishes</t>
        </is>
      </c>
      <c r="E105" s="5" t="inlineStr">
        <is>
          <t>Large Dem. fish</t>
        </is>
      </c>
      <c r="F105" t="inlineStr"/>
      <c r="G105" t="inlineStr"/>
      <c r="H105" t="inlineStr">
        <is>
          <t>high</t>
        </is>
      </c>
      <c r="I105" t="inlineStr">
        <is>
          <t>explicit_member</t>
        </is>
      </c>
      <c r="J105" t="n">
        <v>27982.994</v>
      </c>
      <c r="K105" t="n">
        <v>0.0134</v>
      </c>
      <c r="L105" s="6" t="inlineStr">
        <is>
          <t>Table S2 explicitly lists Sebastes norvegicus in this model group; source membership overrides the SAU habitat-size class.</t>
        </is>
      </c>
    </row>
    <row r="106">
      <c r="A106" t="inlineStr">
        <is>
          <t>Macrouridae</t>
        </is>
      </c>
      <c r="B106" t="inlineStr">
        <is>
          <t>Grenadiers, rattails</t>
        </is>
      </c>
      <c r="C106" t="inlineStr">
        <is>
          <t>Medium benthopelagics (30 - 89 cm)</t>
        </is>
      </c>
      <c r="D106" t="inlineStr">
        <is>
          <t>Cod-likes</t>
        </is>
      </c>
      <c r="E106" s="9" t="inlineStr">
        <is>
          <t>Unresolved</t>
        </is>
      </c>
      <c r="F106" t="inlineStr"/>
      <c r="G106" t="inlineStr"/>
      <c r="H106" t="inlineStr">
        <is>
          <t>unresolved</t>
        </is>
      </c>
      <c r="I106" t="inlineStr">
        <is>
          <t>none</t>
        </is>
      </c>
      <c r="J106" t="n">
        <v>27926.465</v>
      </c>
      <c r="K106" t="n">
        <v>0.0134</v>
      </c>
      <c r="L106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107">
      <c r="A107" t="inlineStr">
        <is>
          <t>Chelidonichthys cuculus</t>
        </is>
      </c>
      <c r="B107" t="inlineStr">
        <is>
          <t>Red gurnard</t>
        </is>
      </c>
      <c r="C107" t="inlineStr">
        <is>
          <t>Medium demersals (30 - 89 cm)</t>
        </is>
      </c>
      <c r="D107" t="inlineStr">
        <is>
          <t>Scorpionfishes</t>
        </is>
      </c>
      <c r="E107" s="5" t="inlineStr">
        <is>
          <t>Large Dem. fish</t>
        </is>
      </c>
      <c r="F107" t="inlineStr"/>
      <c r="G107" t="inlineStr"/>
      <c r="H107" t="inlineStr">
        <is>
          <t>high</t>
        </is>
      </c>
      <c r="I107" t="inlineStr">
        <is>
          <t>explicit_member</t>
        </is>
      </c>
      <c r="J107" t="n">
        <v>26970.937</v>
      </c>
      <c r="K107" t="n">
        <v>0.0129</v>
      </c>
      <c r="L107" s="6" t="inlineStr">
        <is>
          <t>Table S2 explicitly lists Chelidonichthys cuculus in this model group; source membership overrides the SAU habitat-size class.</t>
        </is>
      </c>
    </row>
    <row r="108">
      <c r="A108" t="inlineStr">
        <is>
          <t>Perciformes</t>
        </is>
      </c>
      <c r="B108" t="inlineStr">
        <is>
          <t>Perch-likes</t>
        </is>
      </c>
      <c r="C108" t="inlineStr">
        <is>
          <t>Medium demersals (30 - 89 cm)</t>
        </is>
      </c>
      <c r="D108" t="inlineStr">
        <is>
          <t>Perch-likes</t>
        </is>
      </c>
      <c r="E108" s="8" t="inlineStr">
        <is>
          <t>Large Dem. fish</t>
        </is>
      </c>
      <c r="F108" t="inlineStr"/>
      <c r="G108" t="inlineStr"/>
      <c r="H108" t="inlineStr">
        <is>
          <t>medium</t>
        </is>
      </c>
      <c r="I108" t="inlineStr">
        <is>
          <t>habitat_size_guild</t>
        </is>
      </c>
      <c r="J108" t="n">
        <v>26960.761</v>
      </c>
      <c r="K108" t="n">
        <v>0.0129</v>
      </c>
      <c r="L108" s="6" t="inlineStr">
        <is>
          <t>SAU medium demersal perch-like catch corresponds to the Table S2 residual pool containing wolffish, gurnards and red mullet; this is analyst inference, not a listed member.</t>
        </is>
      </c>
    </row>
    <row r="109">
      <c r="A109" t="inlineStr">
        <is>
          <t>Littorina</t>
        </is>
      </c>
      <c r="B109" t="inlineStr">
        <is>
          <t>Periwinkles</t>
        </is>
      </c>
      <c r="C109" t="inlineStr">
        <is>
          <t>Other demersal invertebrates</t>
        </is>
      </c>
      <c r="D109" t="inlineStr">
        <is>
          <t>Molluscs</t>
        </is>
      </c>
      <c r="E109" s="8" t="inlineStr">
        <is>
          <t>Epifauna</t>
        </is>
      </c>
      <c r="F109" t="inlineStr"/>
      <c r="G109" t="inlineStr"/>
      <c r="H109" t="inlineStr">
        <is>
          <t>medium</t>
        </is>
      </c>
      <c r="I109" t="inlineStr">
        <is>
          <t>taxonomic_containment</t>
        </is>
      </c>
      <c r="J109" t="n">
        <v>26895.501</v>
      </c>
      <c r="K109" t="n">
        <v>0.0129</v>
      </c>
      <c r="L109" s="6" t="inlineStr">
        <is>
          <t>Table S2 Epifauna explicitly includes mussels, oysters, scallops, cockles, periwinkles and whelks; this catch label belongs to those source-defined categories.</t>
        </is>
      </c>
    </row>
    <row r="110">
      <c r="A110" t="inlineStr">
        <is>
          <t>Hippoglossus hippoglossus</t>
        </is>
      </c>
      <c r="B110" t="inlineStr">
        <is>
          <t>Atlantic halibut</t>
        </is>
      </c>
      <c r="C110" t="inlineStr">
        <is>
          <t>Large flatfishes (&gt;=90 cm)</t>
        </is>
      </c>
      <c r="D110" t="inlineStr">
        <is>
          <t>Flatfishes</t>
        </is>
      </c>
      <c r="E110" s="5" t="inlineStr">
        <is>
          <t>Flatfishes</t>
        </is>
      </c>
      <c r="F110" t="inlineStr"/>
      <c r="G110" t="inlineStr"/>
      <c r="H110" t="inlineStr">
        <is>
          <t>high</t>
        </is>
      </c>
      <c r="I110" t="inlineStr">
        <is>
          <t>explicit_member</t>
        </is>
      </c>
      <c r="J110" t="n">
        <v>26374.216</v>
      </c>
      <c r="K110" t="n">
        <v>0.0127</v>
      </c>
      <c r="L110" s="6" t="inlineStr">
        <is>
          <t>Table S2 explicitly lists Hippoglossus hippoglossus in this model group; source membership overrides the SAU habitat-size class.</t>
        </is>
      </c>
    </row>
    <row r="111">
      <c r="A111" t="inlineStr">
        <is>
          <t>Raja clavata</t>
        </is>
      </c>
      <c r="B111" t="inlineStr">
        <is>
          <t>Thornback ray</t>
        </is>
      </c>
      <c r="C111" t="inlineStr">
        <is>
          <t>Large rays (&gt;=90 cm)</t>
        </is>
      </c>
      <c r="D111" t="inlineStr">
        <is>
          <t>Sharks &amp; rays</t>
        </is>
      </c>
      <c r="E111" s="5" t="inlineStr">
        <is>
          <t>Sharks &amp; rays</t>
        </is>
      </c>
      <c r="F111" t="inlineStr"/>
      <c r="G111" t="inlineStr"/>
      <c r="H111" t="inlineStr">
        <is>
          <t>high</t>
        </is>
      </c>
      <c r="I111" t="inlineStr">
        <is>
          <t>explicit_member</t>
        </is>
      </c>
      <c r="J111" t="n">
        <v>26324.068</v>
      </c>
      <c r="K111" t="n">
        <v>0.0126</v>
      </c>
      <c r="L111" s="6" t="inlineStr">
        <is>
          <t>Table S2 explicitly lists Raja clavata in this model group; source membership overrides the SAU habitat-size class.</t>
        </is>
      </c>
    </row>
    <row r="112">
      <c r="A112" t="inlineStr">
        <is>
          <t>Gadiformes</t>
        </is>
      </c>
      <c r="B112" t="inlineStr">
        <is>
          <t>Cods</t>
        </is>
      </c>
      <c r="C112" t="inlineStr">
        <is>
          <t>Medium benthopelagics (30 - 89 cm)</t>
        </is>
      </c>
      <c r="D112" t="inlineStr">
        <is>
          <t>Cod-likes</t>
        </is>
      </c>
      <c r="E112" s="8" t="inlineStr">
        <is>
          <t>Cod | Ling | Haddock | Whiting | Hake | Saithe | Large Dem. fish | Small pelagics | Large Pelagics</t>
        </is>
      </c>
      <c r="F112" t="inlineStr">
        <is>
          <t>0.141 | 0.009 | 0.114 | 0.088 | 0.004 | 0.089 | 0.022 | 0.285 | 0.248</t>
        </is>
      </c>
      <c r="G112" t="inlineStr">
        <is>
          <t>catch_composition</t>
        </is>
      </c>
      <c r="H112" t="inlineStr">
        <is>
          <t>medium</t>
        </is>
      </c>
      <c r="I112" t="inlineStr">
        <is>
          <t>composite_split</t>
        </is>
      </c>
      <c r="J112" t="n">
        <v>24379.576</v>
      </c>
      <c r="K112" t="n">
        <v>0.0117</v>
      </c>
      <c r="L112" s="6" t="inlineStr">
        <is>
          <t>Taxonomic containment of the Table S2 named members determines the candidate group(s). Fixed composition weights are used when multiple documented groups occur.</t>
        </is>
      </c>
    </row>
    <row r="113">
      <c r="A113" t="inlineStr">
        <is>
          <t>Molva dypterygia</t>
        </is>
      </c>
      <c r="B113" t="inlineStr">
        <is>
          <t>Blue ling</t>
        </is>
      </c>
      <c r="C113" t="inlineStr">
        <is>
          <t>Large demersals (&gt;=90 cm)</t>
        </is>
      </c>
      <c r="D113" t="inlineStr">
        <is>
          <t>Cod-likes</t>
        </is>
      </c>
      <c r="E113" s="8" t="inlineStr">
        <is>
          <t>Ling</t>
        </is>
      </c>
      <c r="F113" t="inlineStr"/>
      <c r="G113" t="inlineStr"/>
      <c r="H113" t="inlineStr">
        <is>
          <t>medium</t>
        </is>
      </c>
      <c r="I113" t="inlineStr">
        <is>
          <t>analogue</t>
        </is>
      </c>
      <c r="J113" t="n">
        <v>24142.232</v>
      </c>
      <c r="K113" t="n">
        <v>0.0116</v>
      </c>
      <c r="L113" s="6" t="inlineStr">
        <is>
          <t>Table S2 places congeneric Molva species in these group(s). This unlisted species is an explicit congeneric extension, not source membership.</t>
        </is>
      </c>
    </row>
    <row r="114">
      <c r="A114" t="inlineStr">
        <is>
          <t>Sciaenidae</t>
        </is>
      </c>
      <c r="B114" t="inlineStr">
        <is>
          <t>Drums, croakers</t>
        </is>
      </c>
      <c r="C114" t="inlineStr">
        <is>
          <t>Medium demersals (30 - 89 cm)</t>
        </is>
      </c>
      <c r="D114" t="inlineStr">
        <is>
          <t>Perch-likes</t>
        </is>
      </c>
      <c r="E114" s="7" t="inlineStr">
        <is>
          <t>Large Dem. fish</t>
        </is>
      </c>
      <c r="F114" t="inlineStr"/>
      <c r="G114" t="inlineStr"/>
      <c r="H114" t="inlineStr">
        <is>
          <t>low</t>
        </is>
      </c>
      <c r="I114" t="inlineStr">
        <is>
          <t>habitat_size_guild</t>
        </is>
      </c>
      <c r="J114" t="n">
        <v>23403.076</v>
      </c>
      <c r="K114" t="n">
        <v>0.0112</v>
      </c>
      <c r="L114" s="6" t="inlineStr">
        <is>
          <t>Analyst inference from SAU benthic fish habitat to the residual demersal pool containing gurnards, wolffish, sculpins and rocklings (Table S2); unlisted species and smaller fish make this a weak extension.</t>
        </is>
      </c>
    </row>
    <row r="115">
      <c r="A115" t="inlineStr">
        <is>
          <t>Callionymus maculatus</t>
        </is>
      </c>
      <c r="B115" t="inlineStr">
        <is>
          <t>Spotted dragonet</t>
        </is>
      </c>
      <c r="C115" t="inlineStr">
        <is>
          <t>Large reef assoc. fish (&gt;=90 cm)</t>
        </is>
      </c>
      <c r="D115" t="inlineStr">
        <is>
          <t>Perch-likes</t>
        </is>
      </c>
      <c r="E115" s="7" t="inlineStr">
        <is>
          <t>Large Dem. fish</t>
        </is>
      </c>
      <c r="F115" t="inlineStr"/>
      <c r="G115" t="inlineStr"/>
      <c r="H115" t="inlineStr">
        <is>
          <t>low</t>
        </is>
      </c>
      <c r="I115" t="inlineStr">
        <is>
          <t>habitat_size_guild</t>
        </is>
      </c>
      <c r="J115" t="n">
        <v>22369.755</v>
      </c>
      <c r="K115" t="n">
        <v>0.0107</v>
      </c>
      <c r="L115" s="6" t="inlineStr">
        <is>
          <t>Analyst inference from SAU benthic fish habitat to the residual demersal pool containing gurnards, wolffish, sculpins and rocklings (Table S2); unlisted species and smaller fish make this a weak extension.</t>
        </is>
      </c>
    </row>
    <row r="116">
      <c r="A116" t="inlineStr">
        <is>
          <t>Lepidorhombus</t>
        </is>
      </c>
      <c r="B116" t="inlineStr">
        <is>
          <t>Megrims</t>
        </is>
      </c>
      <c r="C116" t="inlineStr">
        <is>
          <t>Small to medium flatfishes (&lt;90 cm)</t>
        </is>
      </c>
      <c r="D116" t="inlineStr">
        <is>
          <t>Flatfishes</t>
        </is>
      </c>
      <c r="E116" s="8" t="inlineStr">
        <is>
          <t>Flatfishes</t>
        </is>
      </c>
      <c r="F116" t="inlineStr"/>
      <c r="G116" t="inlineStr"/>
      <c r="H116" t="inlineStr">
        <is>
          <t>medium</t>
        </is>
      </c>
      <c r="I116" t="inlineStr">
        <is>
          <t>taxonomic_containment</t>
        </is>
      </c>
      <c r="J116" t="n">
        <v>22167.704</v>
      </c>
      <c r="K116" t="n">
        <v>0.0106</v>
      </c>
      <c r="L116" s="6" t="inlineStr">
        <is>
          <t>Table S2 lists members of genus Lepidorhombus in these group(s); genus-level catch is assigned to their documented group union.</t>
        </is>
      </c>
    </row>
    <row r="117">
      <c r="A117" t="inlineStr">
        <is>
          <t>Solen</t>
        </is>
      </c>
      <c r="B117" t="inlineStr">
        <is>
          <t>Razor clams</t>
        </is>
      </c>
      <c r="C117" t="inlineStr">
        <is>
          <t>Other demersal invertebrates</t>
        </is>
      </c>
      <c r="D117" t="inlineStr">
        <is>
          <t>Molluscs</t>
        </is>
      </c>
      <c r="E117" s="8" t="inlineStr">
        <is>
          <t>Infauna</t>
        </is>
      </c>
      <c r="F117" t="inlineStr"/>
      <c r="G117" t="inlineStr"/>
      <c r="H117" t="inlineStr">
        <is>
          <t>medium</t>
        </is>
      </c>
      <c r="I117" t="inlineStr">
        <is>
          <t>habitat_size_guild</t>
        </is>
      </c>
      <c r="J117" t="n">
        <v>22150.155</v>
      </c>
      <c r="K117" t="n">
        <v>0.0106</v>
      </c>
      <c r="L117" s="6" t="inlineStr">
        <is>
          <t>Analyst inference from burrowing bivalve or polychaete identity: Table S2 Infauna explicitly comprises these organisms. Some named clam categories also occur in Epifauna, so this inferred extension requires review.</t>
        </is>
      </c>
    </row>
    <row r="118">
      <c r="A118" t="inlineStr">
        <is>
          <t>Scyliorhinus canicula</t>
        </is>
      </c>
      <c r="B118" t="inlineStr">
        <is>
          <t>Small-spotted catshark</t>
        </is>
      </c>
      <c r="C118" t="inlineStr">
        <is>
          <t>Small to medium sharks (&lt;90 cm)</t>
        </is>
      </c>
      <c r="D118" t="inlineStr">
        <is>
          <t>Sharks &amp; rays</t>
        </is>
      </c>
      <c r="E118" s="5" t="inlineStr">
        <is>
          <t>Sharks &amp; rays</t>
        </is>
      </c>
      <c r="F118" t="inlineStr"/>
      <c r="G118" t="inlineStr"/>
      <c r="H118" t="inlineStr">
        <is>
          <t>high</t>
        </is>
      </c>
      <c r="I118" t="inlineStr">
        <is>
          <t>explicit_member</t>
        </is>
      </c>
      <c r="J118" t="n">
        <v>21919.551</v>
      </c>
      <c r="K118" t="n">
        <v>0.0105</v>
      </c>
      <c r="L118" s="6" t="inlineStr">
        <is>
          <t>Table S2 explicitly lists Scyliorhinus canicula in this model group; source membership overrides the SAU habitat-size class.</t>
        </is>
      </c>
    </row>
    <row r="119">
      <c r="A119" t="inlineStr">
        <is>
          <t>Aequipecten opercularis</t>
        </is>
      </c>
      <c r="B119" t="inlineStr">
        <is>
          <t>Queen scallop</t>
        </is>
      </c>
      <c r="C119" t="inlineStr">
        <is>
          <t>Other demersal invertebrates</t>
        </is>
      </c>
      <c r="D119" t="inlineStr">
        <is>
          <t>Molluscs</t>
        </is>
      </c>
      <c r="E119" s="8" t="inlineStr">
        <is>
          <t>Epifauna</t>
        </is>
      </c>
      <c r="F119" t="inlineStr"/>
      <c r="G119" t="inlineStr"/>
      <c r="H119" t="inlineStr">
        <is>
          <t>medium</t>
        </is>
      </c>
      <c r="I119" t="inlineStr">
        <is>
          <t>taxonomic_containment</t>
        </is>
      </c>
      <c r="J119" t="n">
        <v>21224.669</v>
      </c>
      <c r="K119" t="n">
        <v>0.0102</v>
      </c>
      <c r="L119" s="6" t="inlineStr">
        <is>
          <t>Table S2 Epifauna explicitly includes mussels, oysters, scallops, cockles, periwinkles and whelks; this catch label belongs to those source-defined categories.</t>
        </is>
      </c>
    </row>
    <row r="120">
      <c r="A120" t="inlineStr">
        <is>
          <t>Gobiidae</t>
        </is>
      </c>
      <c r="B120" t="inlineStr">
        <is>
          <t>Gobies</t>
        </is>
      </c>
      <c r="C120" t="inlineStr">
        <is>
          <t>Small reef assoc. fish (&lt;30 cm)</t>
        </is>
      </c>
      <c r="D120" t="inlineStr">
        <is>
          <t>Perch-likes</t>
        </is>
      </c>
      <c r="E120" s="7" t="inlineStr">
        <is>
          <t>Large Dem. fish</t>
        </is>
      </c>
      <c r="F120" t="inlineStr"/>
      <c r="G120" t="inlineStr"/>
      <c r="H120" t="inlineStr">
        <is>
          <t>low</t>
        </is>
      </c>
      <c r="I120" t="inlineStr">
        <is>
          <t>habitat_size_guild</t>
        </is>
      </c>
      <c r="J120" t="n">
        <v>19986.697</v>
      </c>
      <c r="K120" t="n">
        <v>0.009599999999999999</v>
      </c>
      <c r="L120" s="6" t="inlineStr">
        <is>
          <t>Analyst inference from SAU benthic fish habitat to the residual demersal pool containing gurnards, wolffish, sculpins and rocklings (Table S2); unlisted species and smaller fish make this a weak extension.</t>
        </is>
      </c>
    </row>
    <row r="121">
      <c r="A121" t="inlineStr">
        <is>
          <t>Cephalopoda</t>
        </is>
      </c>
      <c r="B121" t="inlineStr">
        <is>
          <t>Squids, cuttlefishes, octopuses</t>
        </is>
      </c>
      <c r="C121" t="inlineStr">
        <is>
          <t>Cephalopods</t>
        </is>
      </c>
      <c r="D121" t="inlineStr">
        <is>
          <t>Other fishes &amp; inverts</t>
        </is>
      </c>
      <c r="E121" s="5" t="inlineStr">
        <is>
          <t>Squid &amp; Octopus</t>
        </is>
      </c>
      <c r="F121" t="inlineStr"/>
      <c r="G121" t="inlineStr"/>
      <c r="H121" t="inlineStr">
        <is>
          <t>high</t>
        </is>
      </c>
      <c r="I121" t="inlineStr">
        <is>
          <t>taxonomic_containment</t>
        </is>
      </c>
      <c r="J121" t="n">
        <v>18304.647</v>
      </c>
      <c r="K121" t="n">
        <v>0.008800000000000001</v>
      </c>
      <c r="L121" s="6" t="inlineStr">
        <is>
          <t>SAU identifies this catch as cephalopods; Table S2 pools squid, octopus and cuttlefish in Squid &amp; Octopus.</t>
        </is>
      </c>
    </row>
    <row r="122">
      <c r="A122" t="inlineStr">
        <is>
          <t>Mollusca</t>
        </is>
      </c>
      <c r="B122" t="inlineStr">
        <is>
          <t>Clams, seasnails, squids, octopuses</t>
        </is>
      </c>
      <c r="C122" t="inlineStr">
        <is>
          <t>Other demersal invertebrates</t>
        </is>
      </c>
      <c r="D122" t="inlineStr">
        <is>
          <t>Molluscs</t>
        </is>
      </c>
      <c r="E122" s="8" t="inlineStr">
        <is>
          <t>Infauna | Epifauna</t>
        </is>
      </c>
      <c r="F122" t="inlineStr">
        <is>
          <t>0.012 | 0.988</t>
        </is>
      </c>
      <c r="G122" t="inlineStr">
        <is>
          <t>catch_composition</t>
        </is>
      </c>
      <c r="H122" t="inlineStr">
        <is>
          <t>medium</t>
        </is>
      </c>
      <c r="I122" t="inlineStr">
        <is>
          <t>composite_split</t>
        </is>
      </c>
      <c r="J122" t="n">
        <v>17160.943</v>
      </c>
      <c r="K122" t="n">
        <v>0.008200000000000001</v>
      </c>
      <c r="L122" s="6" t="inlineStr">
        <is>
          <t>The SAU demersal-invertebrate category spans burrowing and surface benthos represented by Table S2 Infauna and Epifauna; fixed weights derive from identified benthic catch.</t>
        </is>
      </c>
    </row>
    <row r="123">
      <c r="A123" t="inlineStr">
        <is>
          <t>Gastropoda</t>
        </is>
      </c>
      <c r="B123" t="inlineStr">
        <is>
          <t>Sea snails</t>
        </is>
      </c>
      <c r="C123" t="inlineStr">
        <is>
          <t>Other demersal invertebrates</t>
        </is>
      </c>
      <c r="D123" t="inlineStr">
        <is>
          <t>Molluscs</t>
        </is>
      </c>
      <c r="E123" s="8" t="inlineStr">
        <is>
          <t>Epifauna</t>
        </is>
      </c>
      <c r="F123" t="inlineStr"/>
      <c r="G123" t="inlineStr"/>
      <c r="H123" t="inlineStr">
        <is>
          <t>medium</t>
        </is>
      </c>
      <c r="I123" t="inlineStr">
        <is>
          <t>taxonomic_containment</t>
        </is>
      </c>
      <c r="J123" t="n">
        <v>16921.442</v>
      </c>
      <c r="K123" t="n">
        <v>0.0081</v>
      </c>
      <c r="L123" s="6" t="inlineStr">
        <is>
          <t>Table S2 Epifauna explicitly includes mussels, oysters, scallops, cockles, periwinkles and whelks; this catch label belongs to those source-defined categories.</t>
        </is>
      </c>
    </row>
    <row r="124">
      <c r="A124" t="inlineStr">
        <is>
          <t>Necora puber</t>
        </is>
      </c>
      <c r="B124" t="inlineStr">
        <is>
          <t>Velvet swimcrab</t>
        </is>
      </c>
      <c r="C124" t="inlineStr">
        <is>
          <t>Lobsters, crabs</t>
        </is>
      </c>
      <c r="D124" t="inlineStr">
        <is>
          <t>Crustaceans</t>
        </is>
      </c>
      <c r="E124" s="5" t="inlineStr">
        <is>
          <t>Crustacea</t>
        </is>
      </c>
      <c r="F124" t="inlineStr"/>
      <c r="G124" t="inlineStr"/>
      <c r="H124" t="inlineStr">
        <is>
          <t>high</t>
        </is>
      </c>
      <c r="I124" t="inlineStr">
        <is>
          <t>explicit_member</t>
        </is>
      </c>
      <c r="J124" t="n">
        <v>16832.967</v>
      </c>
      <c r="K124" t="n">
        <v>0.0081</v>
      </c>
      <c r="L124" s="6" t="inlineStr">
        <is>
          <t>Table S2 explicitly lists Necora puber in this model group; source membership overrides the SAU habitat-size class.</t>
        </is>
      </c>
    </row>
    <row r="125">
      <c r="A125" t="inlineStr">
        <is>
          <t>Pectinidae</t>
        </is>
      </c>
      <c r="B125" t="inlineStr">
        <is>
          <t>Scallops</t>
        </is>
      </c>
      <c r="C125" t="inlineStr">
        <is>
          <t>Other demersal invertebrates</t>
        </is>
      </c>
      <c r="D125" t="inlineStr">
        <is>
          <t>Molluscs</t>
        </is>
      </c>
      <c r="E125" s="8" t="inlineStr">
        <is>
          <t>Epifauna</t>
        </is>
      </c>
      <c r="F125" t="inlineStr"/>
      <c r="G125" t="inlineStr"/>
      <c r="H125" t="inlineStr">
        <is>
          <t>medium</t>
        </is>
      </c>
      <c r="I125" t="inlineStr">
        <is>
          <t>taxonomic_containment</t>
        </is>
      </c>
      <c r="J125" t="n">
        <v>16720.621</v>
      </c>
      <c r="K125" t="n">
        <v>0.008</v>
      </c>
      <c r="L125" s="6" t="inlineStr">
        <is>
          <t>Table S2 Epifauna explicitly includes mussels, oysters, scallops, cockles, periwinkles and whelks; this catch label belongs to those source-defined categories.</t>
        </is>
      </c>
    </row>
    <row r="126">
      <c r="A126" t="inlineStr">
        <is>
          <t>Arnoglossus laterna</t>
        </is>
      </c>
      <c r="B126" t="inlineStr">
        <is>
          <t>Mediterranean scaldfish</t>
        </is>
      </c>
      <c r="C126" t="inlineStr">
        <is>
          <t>Small to medium flatfishes (&lt;90 cm)</t>
        </is>
      </c>
      <c r="D126" t="inlineStr">
        <is>
          <t>Flatfishes</t>
        </is>
      </c>
      <c r="E126" s="8" t="inlineStr">
        <is>
          <t>Flatfishes</t>
        </is>
      </c>
      <c r="F126" t="inlineStr"/>
      <c r="G126" t="inlineStr"/>
      <c r="H126" t="inlineStr">
        <is>
          <t>medium</t>
        </is>
      </c>
      <c r="I126" t="inlineStr">
        <is>
          <t>taxonomic_containment</t>
        </is>
      </c>
      <c r="J126" t="n">
        <v>16425.41</v>
      </c>
      <c r="K126" t="n">
        <v>0.007900000000000001</v>
      </c>
      <c r="L126" s="6" t="inlineStr">
        <is>
          <t>SAU identifies a flatfish taxon; the model has a broad Flatfishes pool, with separately reported turbot retained in Turbot. This taxon is not explicitly named in Table S2.</t>
        </is>
      </c>
    </row>
    <row r="127">
      <c r="A127" t="inlineStr">
        <is>
          <t>Salmo trutta</t>
        </is>
      </c>
      <c r="B127" t="inlineStr">
        <is>
          <t>Sea trout</t>
        </is>
      </c>
      <c r="C127" t="inlineStr">
        <is>
          <t>Large pelagics (&gt;=90 cm)</t>
        </is>
      </c>
      <c r="D127" t="inlineStr">
        <is>
          <t>Salmon, smelts, etc</t>
        </is>
      </c>
      <c r="E127" s="9" t="inlineStr">
        <is>
          <t>Unresolved</t>
        </is>
      </c>
      <c r="F127" t="inlineStr"/>
      <c r="G127" t="inlineStr"/>
      <c r="H127" t="inlineStr">
        <is>
          <t>unresolved</t>
        </is>
      </c>
      <c r="I127" t="inlineStr">
        <is>
          <t>none</t>
        </is>
      </c>
      <c r="J127" t="n">
        <v>15195.827</v>
      </c>
      <c r="K127" t="n">
        <v>0.0073</v>
      </c>
      <c r="L127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128">
      <c r="A128" t="inlineStr">
        <is>
          <t>Zoarces viviparus</t>
        </is>
      </c>
      <c r="B128" t="inlineStr">
        <is>
          <t>Eelpout</t>
        </is>
      </c>
      <c r="C128" t="inlineStr">
        <is>
          <t>Medium demersals (30 - 89 cm)</t>
        </is>
      </c>
      <c r="D128" t="inlineStr">
        <is>
          <t>Perch-likes</t>
        </is>
      </c>
      <c r="E128" s="7" t="inlineStr">
        <is>
          <t>Large Dem. fish</t>
        </is>
      </c>
      <c r="F128" t="inlineStr"/>
      <c r="G128" t="inlineStr"/>
      <c r="H128" t="inlineStr">
        <is>
          <t>low</t>
        </is>
      </c>
      <c r="I128" t="inlineStr">
        <is>
          <t>habitat_size_guild</t>
        </is>
      </c>
      <c r="J128" t="n">
        <v>13595.659</v>
      </c>
      <c r="K128" t="n">
        <v>0.0065</v>
      </c>
      <c r="L128" s="6" t="inlineStr">
        <is>
          <t>Analyst inference from SAU benthic fish habitat to the residual demersal pool containing gurnards, wolffish, sculpins and rocklings (Table S2); unlisted species and smaller fish make this a weak extension.</t>
        </is>
      </c>
    </row>
    <row r="129">
      <c r="A129" t="inlineStr">
        <is>
          <t>Centroscymnus coelolepis</t>
        </is>
      </c>
      <c r="B129" t="inlineStr">
        <is>
          <t>Portuguese dogfish</t>
        </is>
      </c>
      <c r="C129" t="inlineStr">
        <is>
          <t>Large sharks (&gt;=90 cm)</t>
        </is>
      </c>
      <c r="D129" t="inlineStr">
        <is>
          <t>Sharks &amp; rays</t>
        </is>
      </c>
      <c r="E129" s="8" t="inlineStr">
        <is>
          <t>Sharks &amp; rays</t>
        </is>
      </c>
      <c r="F129" t="inlineStr"/>
      <c r="G129" t="inlineStr"/>
      <c r="H129" t="inlineStr">
        <is>
          <t>medium</t>
        </is>
      </c>
      <c r="I129" t="inlineStr">
        <is>
          <t>taxonomic_containment</t>
        </is>
      </c>
      <c r="J129" t="n">
        <v>13588.573</v>
      </c>
      <c r="K129" t="n">
        <v>0.0065</v>
      </c>
      <c r="L129" s="6" t="inlineStr">
        <is>
          <t>SAU identifies shark or ray catch and Table S2 has a pooled Sharks &amp; rays group; extension beyond the listed species is explicit analyst inference.</t>
        </is>
      </c>
    </row>
    <row r="130">
      <c r="A130" t="inlineStr">
        <is>
          <t>Leucoraja naevus</t>
        </is>
      </c>
      <c r="B130" t="inlineStr">
        <is>
          <t>Cuckoo ray</t>
        </is>
      </c>
      <c r="C130" t="inlineStr">
        <is>
          <t>Small to medium rays (&lt;90 cm)</t>
        </is>
      </c>
      <c r="D130" t="inlineStr">
        <is>
          <t>Sharks &amp; rays</t>
        </is>
      </c>
      <c r="E130" s="5" t="inlineStr">
        <is>
          <t>Sharks &amp; rays</t>
        </is>
      </c>
      <c r="F130" t="inlineStr"/>
      <c r="G130" t="inlineStr"/>
      <c r="H130" t="inlineStr">
        <is>
          <t>high</t>
        </is>
      </c>
      <c r="I130" t="inlineStr">
        <is>
          <t>explicit_member</t>
        </is>
      </c>
      <c r="J130" t="n">
        <v>12812.949</v>
      </c>
      <c r="K130" t="n">
        <v>0.0062</v>
      </c>
      <c r="L130" s="6" t="inlineStr">
        <is>
          <t>Table S2 explicitly lists Leucoraja naevus in this model group; source membership overrides the SAU habitat-size class.</t>
        </is>
      </c>
    </row>
    <row r="131">
      <c r="A131" t="inlineStr">
        <is>
          <t>Trisopterus minutus</t>
        </is>
      </c>
      <c r="B131" t="inlineStr">
        <is>
          <t>Poor cod</t>
        </is>
      </c>
      <c r="C131" t="inlineStr">
        <is>
          <t>Medium benthopelagics (30 - 89 cm)</t>
        </is>
      </c>
      <c r="D131" t="inlineStr">
        <is>
          <t>Cod-likes</t>
        </is>
      </c>
      <c r="E131" s="8" t="inlineStr">
        <is>
          <t>Small pelagics</t>
        </is>
      </c>
      <c r="F131" t="inlineStr"/>
      <c r="G131" t="inlineStr"/>
      <c r="H131" t="inlineStr">
        <is>
          <t>medium</t>
        </is>
      </c>
      <c r="I131" t="inlineStr">
        <is>
          <t>analogue</t>
        </is>
      </c>
      <c r="J131" t="n">
        <v>12687.765</v>
      </c>
      <c r="K131" t="n">
        <v>0.0061</v>
      </c>
      <c r="L131" s="6" t="inlineStr">
        <is>
          <t>Table S2 places congeneric Trisopterus species in these group(s). This unlisted species is an explicit congeneric extension, not source membership.</t>
        </is>
      </c>
    </row>
    <row r="132">
      <c r="A132" t="inlineStr">
        <is>
          <t>Chondrichthyes</t>
        </is>
      </c>
      <c r="B132" t="inlineStr">
        <is>
          <t>Sharks, rays, chimaeras</t>
        </is>
      </c>
      <c r="C132" t="inlineStr">
        <is>
          <t>Large sharks (&gt;=90 cm)</t>
        </is>
      </c>
      <c r="D132" t="inlineStr">
        <is>
          <t>Sharks &amp; rays</t>
        </is>
      </c>
      <c r="E132" s="9" t="inlineStr">
        <is>
          <t>Unresolved</t>
        </is>
      </c>
      <c r="F132" t="inlineStr"/>
      <c r="G132" t="inlineStr"/>
      <c r="H132" t="inlineStr">
        <is>
          <t>unresolved</t>
        </is>
      </c>
      <c r="I132" t="inlineStr">
        <is>
          <t>none</t>
        </is>
      </c>
      <c r="J132" t="n">
        <v>12175.721</v>
      </c>
      <c r="K132" t="n">
        <v>0.0058</v>
      </c>
      <c r="L132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133">
      <c r="A133" t="inlineStr">
        <is>
          <t>Macrourus berglax</t>
        </is>
      </c>
      <c r="B133" t="inlineStr">
        <is>
          <t>Roughhead grenadier</t>
        </is>
      </c>
      <c r="C133" t="inlineStr">
        <is>
          <t>Large benthopelagics (&gt;=90 cm)</t>
        </is>
      </c>
      <c r="D133" t="inlineStr">
        <is>
          <t>Cod-likes</t>
        </is>
      </c>
      <c r="E133" s="9" t="inlineStr">
        <is>
          <t>Unresolved</t>
        </is>
      </c>
      <c r="F133" t="inlineStr"/>
      <c r="G133" t="inlineStr"/>
      <c r="H133" t="inlineStr">
        <is>
          <t>unresolved</t>
        </is>
      </c>
      <c r="I133" t="inlineStr">
        <is>
          <t>none</t>
        </is>
      </c>
      <c r="J133" t="n">
        <v>11597.756</v>
      </c>
      <c r="K133" t="n">
        <v>0.0056</v>
      </c>
      <c r="L133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134">
      <c r="A134" t="inlineStr">
        <is>
          <t>Malacostraca</t>
        </is>
      </c>
      <c r="B134" t="inlineStr">
        <is>
          <t>Lobsters, crabs, shrimps, krill</t>
        </is>
      </c>
      <c r="C134" t="inlineStr">
        <is>
          <t>Shrimps</t>
        </is>
      </c>
      <c r="D134" t="inlineStr">
        <is>
          <t>Crustaceans</t>
        </is>
      </c>
      <c r="E134" s="5" t="inlineStr">
        <is>
          <t>Crustacea</t>
        </is>
      </c>
      <c r="F134" t="inlineStr"/>
      <c r="G134" t="inlineStr"/>
      <c r="H134" t="inlineStr">
        <is>
          <t>high</t>
        </is>
      </c>
      <c r="I134" t="inlineStr">
        <is>
          <t>taxonomic_containment</t>
        </is>
      </c>
      <c r="J134" t="n">
        <v>11381.949</v>
      </c>
      <c r="K134" t="n">
        <v>0.0055</v>
      </c>
      <c r="L134" s="6" t="inlineStr">
        <is>
          <t>SAU identifies shrimp or lobster/crab catch; Table S2 Crustacea includes shrimp, lobster and crab taxa without a finer model split.</t>
        </is>
      </c>
    </row>
    <row r="135">
      <c r="A135" t="inlineStr">
        <is>
          <t>Raja brachyura</t>
        </is>
      </c>
      <c r="B135" t="inlineStr">
        <is>
          <t>Blonde ray</t>
        </is>
      </c>
      <c r="C135" t="inlineStr">
        <is>
          <t>Large rays (&gt;=90 cm)</t>
        </is>
      </c>
      <c r="D135" t="inlineStr">
        <is>
          <t>Sharks &amp; rays</t>
        </is>
      </c>
      <c r="E135" s="8" t="inlineStr">
        <is>
          <t>Sharks &amp; rays</t>
        </is>
      </c>
      <c r="F135" t="inlineStr"/>
      <c r="G135" t="inlineStr"/>
      <c r="H135" t="inlineStr">
        <is>
          <t>medium</t>
        </is>
      </c>
      <c r="I135" t="inlineStr">
        <is>
          <t>taxonomic_containment</t>
        </is>
      </c>
      <c r="J135" t="n">
        <v>11298.893</v>
      </c>
      <c r="K135" t="n">
        <v>0.0054</v>
      </c>
      <c r="L135" s="6" t="inlineStr">
        <is>
          <t>SAU identifies shark or ray catch and Table S2 has a pooled Sharks &amp; rays group; extension beyond the listed species is explicit analyst inference.</t>
        </is>
      </c>
    </row>
    <row r="136">
      <c r="A136" t="inlineStr">
        <is>
          <t>Spisula solida</t>
        </is>
      </c>
      <c r="B136" t="inlineStr">
        <is>
          <t>Surf clam</t>
        </is>
      </c>
      <c r="C136" t="inlineStr">
        <is>
          <t>Other demersal invertebrates</t>
        </is>
      </c>
      <c r="D136" t="inlineStr">
        <is>
          <t>Molluscs</t>
        </is>
      </c>
      <c r="E136" s="8" t="inlineStr">
        <is>
          <t>Infauna</t>
        </is>
      </c>
      <c r="F136" t="inlineStr"/>
      <c r="G136" t="inlineStr"/>
      <c r="H136" t="inlineStr">
        <is>
          <t>medium</t>
        </is>
      </c>
      <c r="I136" t="inlineStr">
        <is>
          <t>habitat_size_guild</t>
        </is>
      </c>
      <c r="J136" t="n">
        <v>11225.118</v>
      </c>
      <c r="K136" t="n">
        <v>0.0054</v>
      </c>
      <c r="L136" s="6" t="inlineStr">
        <is>
          <t>Analyst inference from burrowing bivalve or polychaete identity: Table S2 Infauna explicitly comprises these organisms. Some named clam categories also occur in Epifauna, so this inferred extension requires review.</t>
        </is>
      </c>
    </row>
    <row r="137">
      <c r="A137" t="inlineStr">
        <is>
          <t>Aphanopus carbo</t>
        </is>
      </c>
      <c r="B137" t="inlineStr">
        <is>
          <t>Black scabbardfish</t>
        </is>
      </c>
      <c r="C137" t="inlineStr">
        <is>
          <t>Large benthopelagics (&gt;=90 cm)</t>
        </is>
      </c>
      <c r="D137" t="inlineStr">
        <is>
          <t>Perch-likes</t>
        </is>
      </c>
      <c r="E137" s="9" t="inlineStr">
        <is>
          <t>Unresolved</t>
        </is>
      </c>
      <c r="F137" t="inlineStr"/>
      <c r="G137" t="inlineStr"/>
      <c r="H137" t="inlineStr">
        <is>
          <t>unresolved</t>
        </is>
      </c>
      <c r="I137" t="inlineStr">
        <is>
          <t>none</t>
        </is>
      </c>
      <c r="J137" t="n">
        <v>11100.28</v>
      </c>
      <c r="K137" t="n">
        <v>0.0053</v>
      </c>
      <c r="L137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138">
      <c r="A138" t="inlineStr">
        <is>
          <t>Sebastes</t>
        </is>
      </c>
      <c r="B138" t="inlineStr">
        <is>
          <t>Redfishes</t>
        </is>
      </c>
      <c r="C138" t="inlineStr">
        <is>
          <t>Large reef assoc. fish (&gt;=90 cm)</t>
        </is>
      </c>
      <c r="D138" t="inlineStr">
        <is>
          <t>Scorpionfishes</t>
        </is>
      </c>
      <c r="E138" s="8" t="inlineStr">
        <is>
          <t>Large Dem. fish</t>
        </is>
      </c>
      <c r="F138" t="inlineStr"/>
      <c r="G138" t="inlineStr"/>
      <c r="H138" t="inlineStr">
        <is>
          <t>medium</t>
        </is>
      </c>
      <c r="I138" t="inlineStr">
        <is>
          <t>taxonomic_containment</t>
        </is>
      </c>
      <c r="J138" t="n">
        <v>10864.65</v>
      </c>
      <c r="K138" t="n">
        <v>0.0052</v>
      </c>
      <c r="L138" s="6" t="inlineStr">
        <is>
          <t>Table S2 lists members of genus Sebastes in these group(s); genus-level catch is assigned to their documented group union.</t>
        </is>
      </c>
    </row>
    <row r="139">
      <c r="A139" t="inlineStr">
        <is>
          <t>Trigla</t>
        </is>
      </c>
      <c r="B139" t="inlineStr">
        <is>
          <t>Piper gurnards</t>
        </is>
      </c>
      <c r="C139" t="inlineStr">
        <is>
          <t>Medium bathydemersals (30 - 89 cm)</t>
        </is>
      </c>
      <c r="D139" t="inlineStr">
        <is>
          <t>Scorpionfishes</t>
        </is>
      </c>
      <c r="E139" s="7" t="inlineStr">
        <is>
          <t>Large Dem. fish</t>
        </is>
      </c>
      <c r="F139" t="inlineStr"/>
      <c r="G139" t="inlineStr"/>
      <c r="H139" t="inlineStr">
        <is>
          <t>low</t>
        </is>
      </c>
      <c r="I139" t="inlineStr">
        <is>
          <t>habitat_size_guild</t>
        </is>
      </c>
      <c r="J139" t="n">
        <v>10444.167</v>
      </c>
      <c r="K139" t="n">
        <v>0.005</v>
      </c>
      <c r="L139" s="6" t="inlineStr">
        <is>
          <t>Analyst inference from SAU benthic fish habitat to the residual demersal pool containing gurnards, wolffish, sculpins and rocklings (Table S2); unlisted species and smaller fish make this a weak extension.</t>
        </is>
      </c>
    </row>
    <row r="140">
      <c r="A140" t="inlineStr">
        <is>
          <t>Sparidae</t>
        </is>
      </c>
      <c r="B140" t="inlineStr">
        <is>
          <t>Porgies, seabreams</t>
        </is>
      </c>
      <c r="C140" t="inlineStr">
        <is>
          <t>Medium benthopelagics (30 - 89 cm)</t>
        </is>
      </c>
      <c r="D140" t="inlineStr">
        <is>
          <t>Perch-likes</t>
        </is>
      </c>
      <c r="E140" s="7" t="inlineStr">
        <is>
          <t>Large Dem. fish</t>
        </is>
      </c>
      <c r="F140" t="inlineStr"/>
      <c r="G140" t="inlineStr"/>
      <c r="H140" t="inlineStr">
        <is>
          <t>low</t>
        </is>
      </c>
      <c r="I140" t="inlineStr">
        <is>
          <t>habitat_size_guild</t>
        </is>
      </c>
      <c r="J140" t="n">
        <v>10101.63</v>
      </c>
      <c r="K140" t="n">
        <v>0.0048</v>
      </c>
      <c r="L140" s="6" t="inlineStr">
        <is>
          <t>Analyst inference from SAU benthic fish habitat to the residual demersal pool containing gurnards, wolffish, sculpins and rocklings (Table S2); unlisted species and smaller fish make this a weak extension.</t>
        </is>
      </c>
    </row>
    <row r="141">
      <c r="A141" t="inlineStr">
        <is>
          <t>Mullus barbatus</t>
        </is>
      </c>
      <c r="B141" t="inlineStr">
        <is>
          <t>Red mullet</t>
        </is>
      </c>
      <c r="C141" t="inlineStr">
        <is>
          <t>Medium demersals (30 - 89 cm)</t>
        </is>
      </c>
      <c r="D141" t="inlineStr">
        <is>
          <t>Perch-likes</t>
        </is>
      </c>
      <c r="E141" s="8" t="inlineStr">
        <is>
          <t>Large Dem. fish</t>
        </is>
      </c>
      <c r="F141" t="inlineStr"/>
      <c r="G141" t="inlineStr"/>
      <c r="H141" t="inlineStr">
        <is>
          <t>medium</t>
        </is>
      </c>
      <c r="I141" t="inlineStr">
        <is>
          <t>analogue</t>
        </is>
      </c>
      <c r="J141" t="n">
        <v>9040.527</v>
      </c>
      <c r="K141" t="n">
        <v>0.0043</v>
      </c>
      <c r="L141" s="6" t="inlineStr">
        <is>
          <t>Table S2 places congeneric Mullus species in these group(s). This unlisted species is an explicit congeneric extension, not source membership.</t>
        </is>
      </c>
    </row>
    <row r="142">
      <c r="A142" t="inlineStr">
        <is>
          <t>Teuthida</t>
        </is>
      </c>
      <c r="B142" t="inlineStr">
        <is>
          <t>Squids</t>
        </is>
      </c>
      <c r="C142" t="inlineStr">
        <is>
          <t>Cephalopods</t>
        </is>
      </c>
      <c r="D142" t="inlineStr">
        <is>
          <t>Other fishes &amp; inverts</t>
        </is>
      </c>
      <c r="E142" s="5" t="inlineStr">
        <is>
          <t>Squid &amp; Octopus</t>
        </is>
      </c>
      <c r="F142" t="inlineStr"/>
      <c r="G142" t="inlineStr"/>
      <c r="H142" t="inlineStr">
        <is>
          <t>high</t>
        </is>
      </c>
      <c r="I142" t="inlineStr">
        <is>
          <t>taxonomic_containment</t>
        </is>
      </c>
      <c r="J142" t="n">
        <v>8609.156999999999</v>
      </c>
      <c r="K142" t="n">
        <v>0.0041</v>
      </c>
      <c r="L142" s="6" t="inlineStr">
        <is>
          <t>SAU identifies this catch as cephalopods; Table S2 pools squid, octopus and cuttlefish in Squid &amp; Octopus.</t>
        </is>
      </c>
    </row>
    <row r="143">
      <c r="A143" t="inlineStr">
        <is>
          <t>Trachurus</t>
        </is>
      </c>
      <c r="B143" t="inlineStr">
        <is>
          <t>Jacks, horse mackerels</t>
        </is>
      </c>
      <c r="C143" t="inlineStr">
        <is>
          <t>Medium pelagics (30 - 89 cm)</t>
        </is>
      </c>
      <c r="D143" t="inlineStr">
        <is>
          <t>Perch-likes</t>
        </is>
      </c>
      <c r="E143" s="8" t="inlineStr">
        <is>
          <t>Large Pelagics</t>
        </is>
      </c>
      <c r="F143" t="inlineStr"/>
      <c r="G143" t="inlineStr"/>
      <c r="H143" t="inlineStr">
        <is>
          <t>medium</t>
        </is>
      </c>
      <c r="I143" t="inlineStr">
        <is>
          <t>taxonomic_containment</t>
        </is>
      </c>
      <c r="J143" t="n">
        <v>8377.929</v>
      </c>
      <c r="K143" t="n">
        <v>0.004</v>
      </c>
      <c r="L143" s="6" t="inlineStr">
        <is>
          <t>Table S2 lists members of genus Trachurus in these group(s); genus-level catch is assigned to their documented group union.</t>
        </is>
      </c>
    </row>
    <row r="144">
      <c r="A144" t="inlineStr">
        <is>
          <t>Argentina silus</t>
        </is>
      </c>
      <c r="B144" t="inlineStr">
        <is>
          <t>Greater argentine</t>
        </is>
      </c>
      <c r="C144" t="inlineStr">
        <is>
          <t>Medium bathydemersals (30 - 89 cm)</t>
        </is>
      </c>
      <c r="D144" t="inlineStr">
        <is>
          <t>Salmon, smelts, etc</t>
        </is>
      </c>
      <c r="E144" s="8" t="inlineStr">
        <is>
          <t>Small pelagics</t>
        </is>
      </c>
      <c r="F144" t="inlineStr"/>
      <c r="G144" t="inlineStr"/>
      <c r="H144" t="inlineStr">
        <is>
          <t>medium</t>
        </is>
      </c>
      <c r="I144" t="inlineStr">
        <is>
          <t>analogue</t>
        </is>
      </c>
      <c r="J144" t="n">
        <v>7284.688</v>
      </c>
      <c r="K144" t="n">
        <v>0.0035</v>
      </c>
      <c r="L144" s="6" t="inlineStr">
        <is>
          <t>Table S2 places congeneric Argentina species in these group(s). This unlisted species is an explicit congeneric extension, not source membership.</t>
        </is>
      </c>
    </row>
    <row r="145">
      <c r="A145" t="inlineStr">
        <is>
          <t>Raja montagui</t>
        </is>
      </c>
      <c r="B145" t="inlineStr">
        <is>
          <t>Spotted ray</t>
        </is>
      </c>
      <c r="C145" t="inlineStr">
        <is>
          <t>Small to medium rays (&lt;90 cm)</t>
        </is>
      </c>
      <c r="D145" t="inlineStr">
        <is>
          <t>Sharks &amp; rays</t>
        </is>
      </c>
      <c r="E145" s="8" t="inlineStr">
        <is>
          <t>Sharks &amp; rays</t>
        </is>
      </c>
      <c r="F145" t="inlineStr"/>
      <c r="G145" t="inlineStr"/>
      <c r="H145" t="inlineStr">
        <is>
          <t>medium</t>
        </is>
      </c>
      <c r="I145" t="inlineStr">
        <is>
          <t>taxonomic_containment</t>
        </is>
      </c>
      <c r="J145" t="n">
        <v>7217.415</v>
      </c>
      <c r="K145" t="n">
        <v>0.0035</v>
      </c>
      <c r="L145" s="6" t="inlineStr">
        <is>
          <t>SAU identifies shark or ray catch and Table S2 has a pooled Sharks &amp; rays group; extension beyond the listed species is explicit analyst inference.</t>
        </is>
      </c>
    </row>
    <row r="146">
      <c r="A146" t="inlineStr">
        <is>
          <t>Conger conger</t>
        </is>
      </c>
      <c r="B146" t="inlineStr">
        <is>
          <t>European conger</t>
        </is>
      </c>
      <c r="C146" t="inlineStr">
        <is>
          <t>Large demersals (&gt;=90 cm)</t>
        </is>
      </c>
      <c r="D146" t="inlineStr">
        <is>
          <t>Other fishes &amp; inverts</t>
        </is>
      </c>
      <c r="E146" s="7" t="inlineStr">
        <is>
          <t>Large Dem. fish</t>
        </is>
      </c>
      <c r="F146" t="inlineStr"/>
      <c r="G146" t="inlineStr"/>
      <c r="H146" t="inlineStr">
        <is>
          <t>low</t>
        </is>
      </c>
      <c r="I146" t="inlineStr">
        <is>
          <t>habitat_size_guild</t>
        </is>
      </c>
      <c r="J146" t="n">
        <v>6787.688</v>
      </c>
      <c r="K146" t="n">
        <v>0.0033</v>
      </c>
      <c r="L146" s="6" t="inlineStr">
        <is>
          <t>Analyst inference from SAU benthic fish habitat to the residual demersal pool containing gurnards, wolffish, sculpins and rocklings (Table S2); unlisted species and smaller fish make this a weak extension.</t>
        </is>
      </c>
    </row>
    <row r="147">
      <c r="A147" t="inlineStr">
        <is>
          <t>Sepia officinalis</t>
        </is>
      </c>
      <c r="B147" t="inlineStr">
        <is>
          <t>Common cuttlefish</t>
        </is>
      </c>
      <c r="C147" t="inlineStr">
        <is>
          <t>Cephalopods</t>
        </is>
      </c>
      <c r="D147" t="inlineStr">
        <is>
          <t>Other fishes &amp; inverts</t>
        </is>
      </c>
      <c r="E147" s="5" t="inlineStr">
        <is>
          <t>Squid &amp; Octopus</t>
        </is>
      </c>
      <c r="F147" t="inlineStr"/>
      <c r="G147" t="inlineStr"/>
      <c r="H147" t="inlineStr">
        <is>
          <t>high</t>
        </is>
      </c>
      <c r="I147" t="inlineStr">
        <is>
          <t>explicit_member</t>
        </is>
      </c>
      <c r="J147" t="n">
        <v>6563.847</v>
      </c>
      <c r="K147" t="n">
        <v>0.0032</v>
      </c>
      <c r="L147" s="6" t="inlineStr">
        <is>
          <t>Table S2 explicitly lists Sepia officinalis in this model group; source membership overrides the SAU habitat-size class.</t>
        </is>
      </c>
    </row>
    <row r="148">
      <c r="A148" t="inlineStr">
        <is>
          <t>Balistidae</t>
        </is>
      </c>
      <c r="B148" t="inlineStr">
        <is>
          <t>Triggerfishes</t>
        </is>
      </c>
      <c r="C148" t="inlineStr">
        <is>
          <t>Medium reef assoc. fish (30 - 89 cm)</t>
        </is>
      </c>
      <c r="D148" t="inlineStr">
        <is>
          <t>Other fishes &amp; inverts</t>
        </is>
      </c>
      <c r="E148" s="7" t="inlineStr">
        <is>
          <t>Large Dem. fish</t>
        </is>
      </c>
      <c r="F148" t="inlineStr"/>
      <c r="G148" t="inlineStr"/>
      <c r="H148" t="inlineStr">
        <is>
          <t>low</t>
        </is>
      </c>
      <c r="I148" t="inlineStr">
        <is>
          <t>habitat_size_guild</t>
        </is>
      </c>
      <c r="J148" t="n">
        <v>5932.414</v>
      </c>
      <c r="K148" t="n">
        <v>0.0028</v>
      </c>
      <c r="L148" s="6" t="inlineStr">
        <is>
          <t>Analyst inference from SAU benthic fish habitat to the residual demersal pool containing gurnards, wolffish, sculpins and rocklings (Table S2); unlisted species and smaller fish make this a weak extension.</t>
        </is>
      </c>
    </row>
    <row r="149">
      <c r="A149" t="inlineStr">
        <is>
          <t>Cardiidae</t>
        </is>
      </c>
      <c r="B149" t="inlineStr">
        <is>
          <t>Cockles</t>
        </is>
      </c>
      <c r="C149" t="inlineStr">
        <is>
          <t>Other demersal invertebrates</t>
        </is>
      </c>
      <c r="D149" t="inlineStr">
        <is>
          <t>Molluscs</t>
        </is>
      </c>
      <c r="E149" s="8" t="inlineStr">
        <is>
          <t>Epifauna</t>
        </is>
      </c>
      <c r="F149" t="inlineStr"/>
      <c r="G149" t="inlineStr"/>
      <c r="H149" t="inlineStr">
        <is>
          <t>medium</t>
        </is>
      </c>
      <c r="I149" t="inlineStr">
        <is>
          <t>taxonomic_containment</t>
        </is>
      </c>
      <c r="J149" t="n">
        <v>5816.137</v>
      </c>
      <c r="K149" t="n">
        <v>0.0028</v>
      </c>
      <c r="L149" s="6" t="inlineStr">
        <is>
          <t>Table S2 Epifauna explicitly includes mussels, oysters, scallops, cockles, periwinkles and whelks; this catch label belongs to those source-defined categories.</t>
        </is>
      </c>
    </row>
    <row r="150">
      <c r="A150" t="inlineStr">
        <is>
          <t>Sepiidae</t>
        </is>
      </c>
      <c r="B150" t="inlineStr">
        <is>
          <t>Cuttlefishes</t>
        </is>
      </c>
      <c r="C150" t="inlineStr">
        <is>
          <t>Cephalopods</t>
        </is>
      </c>
      <c r="D150" t="inlineStr">
        <is>
          <t>Other fishes &amp; inverts</t>
        </is>
      </c>
      <c r="E150" s="5" t="inlineStr">
        <is>
          <t>Squid &amp; Octopus</t>
        </is>
      </c>
      <c r="F150" t="inlineStr"/>
      <c r="G150" t="inlineStr"/>
      <c r="H150" t="inlineStr">
        <is>
          <t>high</t>
        </is>
      </c>
      <c r="I150" t="inlineStr">
        <is>
          <t>taxonomic_containment</t>
        </is>
      </c>
      <c r="J150" t="n">
        <v>5560.025</v>
      </c>
      <c r="K150" t="n">
        <v>0.0027</v>
      </c>
      <c r="L150" s="6" t="inlineStr">
        <is>
          <t>SAU identifies this catch as cephalopods; Table S2 pools squid, octopus and cuttlefish in Squid &amp; Octopus.</t>
        </is>
      </c>
    </row>
    <row r="151">
      <c r="A151" t="inlineStr">
        <is>
          <t>Palaemon serratus</t>
        </is>
      </c>
      <c r="B151" t="inlineStr">
        <is>
          <t>Common prawn</t>
        </is>
      </c>
      <c r="C151" t="inlineStr">
        <is>
          <t>Shrimps</t>
        </is>
      </c>
      <c r="D151" t="inlineStr">
        <is>
          <t>Crustaceans</t>
        </is>
      </c>
      <c r="E151" s="5" t="inlineStr">
        <is>
          <t>Crustacea</t>
        </is>
      </c>
      <c r="F151" t="inlineStr"/>
      <c r="G151" t="inlineStr"/>
      <c r="H151" t="inlineStr">
        <is>
          <t>high</t>
        </is>
      </c>
      <c r="I151" t="inlineStr">
        <is>
          <t>taxonomic_containment</t>
        </is>
      </c>
      <c r="J151" t="n">
        <v>5404.744</v>
      </c>
      <c r="K151" t="n">
        <v>0.0026</v>
      </c>
      <c r="L151" s="6" t="inlineStr">
        <is>
          <t>SAU identifies shrimp or lobster/crab catch; Table S2 Crustacea includes shrimp, lobster and crab taxa without a finer model split.</t>
        </is>
      </c>
    </row>
    <row r="152">
      <c r="A152" t="inlineStr">
        <is>
          <t>Mugilidae</t>
        </is>
      </c>
      <c r="B152" t="inlineStr">
        <is>
          <t>Mullets, grey mullets</t>
        </is>
      </c>
      <c r="C152" t="inlineStr">
        <is>
          <t>Medium reef assoc. fish (30 - 89 cm)</t>
        </is>
      </c>
      <c r="D152" t="inlineStr">
        <is>
          <t>Perch-likes</t>
        </is>
      </c>
      <c r="E152" s="7" t="inlineStr">
        <is>
          <t>Large Dem. fish</t>
        </is>
      </c>
      <c r="F152" t="inlineStr"/>
      <c r="G152" t="inlineStr"/>
      <c r="H152" t="inlineStr">
        <is>
          <t>low</t>
        </is>
      </c>
      <c r="I152" t="inlineStr">
        <is>
          <t>habitat_size_guild</t>
        </is>
      </c>
      <c r="J152" t="n">
        <v>5138.234</v>
      </c>
      <c r="K152" t="n">
        <v>0.0025</v>
      </c>
      <c r="L152" s="6" t="inlineStr">
        <is>
          <t>Analyst inference from SAU benthic fish habitat to the residual demersal pool containing gurnards, wolffish, sculpins and rocklings (Table S2); unlisted species and smaller fish make this a weak extension.</t>
        </is>
      </c>
    </row>
    <row r="153">
      <c r="A153" t="inlineStr">
        <is>
          <t>Mullus surmuletus</t>
        </is>
      </c>
      <c r="B153" t="inlineStr">
        <is>
          <t>Surmullet</t>
        </is>
      </c>
      <c r="C153" t="inlineStr">
        <is>
          <t>Medium demersals (30 - 89 cm)</t>
        </is>
      </c>
      <c r="D153" t="inlineStr">
        <is>
          <t>Perch-likes</t>
        </is>
      </c>
      <c r="E153" s="5" t="inlineStr">
        <is>
          <t>Large Dem. fish</t>
        </is>
      </c>
      <c r="F153" t="inlineStr"/>
      <c r="G153" t="inlineStr"/>
      <c r="H153" t="inlineStr">
        <is>
          <t>high</t>
        </is>
      </c>
      <c r="I153" t="inlineStr">
        <is>
          <t>explicit_member</t>
        </is>
      </c>
      <c r="J153" t="n">
        <v>4600.314</v>
      </c>
      <c r="K153" t="n">
        <v>0.0022</v>
      </c>
      <c r="L153" s="6" t="inlineStr">
        <is>
          <t>Table S2 explicitly lists Mullus surmuletus in this model group; source membership overrides the SAU habitat-size class.</t>
        </is>
      </c>
    </row>
    <row r="154">
      <c r="A154" t="inlineStr">
        <is>
          <t>Pandalus</t>
        </is>
      </c>
      <c r="B154" t="inlineStr">
        <is>
          <t>Seabed shrimps</t>
        </is>
      </c>
      <c r="C154" t="inlineStr">
        <is>
          <t>Shrimps</t>
        </is>
      </c>
      <c r="D154" t="inlineStr">
        <is>
          <t>Crustaceans</t>
        </is>
      </c>
      <c r="E154" s="8" t="inlineStr">
        <is>
          <t>Crustacea</t>
        </is>
      </c>
      <c r="F154" t="inlineStr"/>
      <c r="G154" t="inlineStr"/>
      <c r="H154" t="inlineStr">
        <is>
          <t>medium</t>
        </is>
      </c>
      <c r="I154" t="inlineStr">
        <is>
          <t>taxonomic_containment</t>
        </is>
      </c>
      <c r="J154" t="n">
        <v>3953.102</v>
      </c>
      <c r="K154" t="n">
        <v>0.0019</v>
      </c>
      <c r="L154" s="6" t="inlineStr">
        <is>
          <t>Table S2 lists members of genus Pandalus in these group(s); genus-level catch is assigned to their documented group union.</t>
        </is>
      </c>
    </row>
    <row r="155">
      <c r="A155" t="inlineStr">
        <is>
          <t>Gasterosteus aculeatus</t>
        </is>
      </c>
      <c r="B155" t="inlineStr">
        <is>
          <t>Three-spined stickleback</t>
        </is>
      </c>
      <c r="C155" t="inlineStr">
        <is>
          <t>Small benthopelagics (&lt;30 cm)</t>
        </is>
      </c>
      <c r="D155" t="inlineStr">
        <is>
          <t>Other fishes &amp; inverts</t>
        </is>
      </c>
      <c r="E155" s="7" t="inlineStr">
        <is>
          <t>Large Dem. fish</t>
        </is>
      </c>
      <c r="F155" t="inlineStr"/>
      <c r="G155" t="inlineStr"/>
      <c r="H155" t="inlineStr">
        <is>
          <t>low</t>
        </is>
      </c>
      <c r="I155" t="inlineStr">
        <is>
          <t>habitat_size_guild</t>
        </is>
      </c>
      <c r="J155" t="n">
        <v>3641.674</v>
      </c>
      <c r="K155" t="n">
        <v>0.0017</v>
      </c>
      <c r="L155" s="6" t="inlineStr">
        <is>
          <t>Analyst inference from SAU benthic fish habitat to the residual demersal pool containing gurnards, wolffish, sculpins and rocklings (Table S2); unlisted species and smaller fish make this a weak extension.</t>
        </is>
      </c>
    </row>
    <row r="156">
      <c r="A156" t="inlineStr">
        <is>
          <t>Buccinidae</t>
        </is>
      </c>
      <c r="B156" t="inlineStr">
        <is>
          <t>Buccinidae</t>
        </is>
      </c>
      <c r="C156" t="inlineStr">
        <is>
          <t>Other demersal invertebrates</t>
        </is>
      </c>
      <c r="D156" t="inlineStr">
        <is>
          <t>Molluscs</t>
        </is>
      </c>
      <c r="E156" s="8" t="inlineStr">
        <is>
          <t>Epifauna</t>
        </is>
      </c>
      <c r="F156" t="inlineStr"/>
      <c r="G156" t="inlineStr"/>
      <c r="H156" t="inlineStr">
        <is>
          <t>medium</t>
        </is>
      </c>
      <c r="I156" t="inlineStr">
        <is>
          <t>taxonomic_containment</t>
        </is>
      </c>
      <c r="J156" t="n">
        <v>3471.611</v>
      </c>
      <c r="K156" t="n">
        <v>0.0017</v>
      </c>
      <c r="L156" s="6" t="inlineStr">
        <is>
          <t>Table S2 Epifauna explicitly includes mussels, oysters, scallops, cockles, periwinkles and whelks; this catch label belongs to those source-defined categories.</t>
        </is>
      </c>
    </row>
    <row r="157">
      <c r="A157" t="inlineStr">
        <is>
          <t>Mullidae</t>
        </is>
      </c>
      <c r="B157" t="inlineStr">
        <is>
          <t>Goatfishes</t>
        </is>
      </c>
      <c r="C157" t="inlineStr">
        <is>
          <t>Medium reef assoc. fish (30 - 89 cm)</t>
        </is>
      </c>
      <c r="D157" t="inlineStr">
        <is>
          <t>Perch-likes</t>
        </is>
      </c>
      <c r="E157" s="5" t="inlineStr">
        <is>
          <t>Large Dem. fish</t>
        </is>
      </c>
      <c r="F157" t="inlineStr"/>
      <c r="G157" t="inlineStr"/>
      <c r="H157" t="inlineStr">
        <is>
          <t>high</t>
        </is>
      </c>
      <c r="I157" t="inlineStr">
        <is>
          <t>taxonomic_containment</t>
        </is>
      </c>
      <c r="J157" t="n">
        <v>3367.118</v>
      </c>
      <c r="K157" t="n">
        <v>0.0016</v>
      </c>
      <c r="L157" s="6" t="inlineStr">
        <is>
          <t>Taxonomic containment of the Table S2 named members determines the candidate group(s). Fixed composition weights are used when multiple documented groups occur.</t>
        </is>
      </c>
    </row>
    <row r="158">
      <c r="A158" t="inlineStr">
        <is>
          <t>Littorina littorea</t>
        </is>
      </c>
      <c r="B158" t="inlineStr">
        <is>
          <t>Common periwinkle</t>
        </is>
      </c>
      <c r="C158" t="inlineStr">
        <is>
          <t>Other demersal invertebrates</t>
        </is>
      </c>
      <c r="D158" t="inlineStr">
        <is>
          <t>Molluscs</t>
        </is>
      </c>
      <c r="E158" s="8" t="inlineStr">
        <is>
          <t>Epifauna</t>
        </is>
      </c>
      <c r="F158" t="inlineStr"/>
      <c r="G158" t="inlineStr"/>
      <c r="H158" t="inlineStr">
        <is>
          <t>medium</t>
        </is>
      </c>
      <c r="I158" t="inlineStr">
        <is>
          <t>taxonomic_containment</t>
        </is>
      </c>
      <c r="J158" t="n">
        <v>3217.359</v>
      </c>
      <c r="K158" t="n">
        <v>0.0015</v>
      </c>
      <c r="L158" s="6" t="inlineStr">
        <is>
          <t>Table S2 Epifauna explicitly includes mussels, oysters, scallops, cockles, periwinkles and whelks; this catch label belongs to those source-defined categories.</t>
        </is>
      </c>
    </row>
    <row r="159">
      <c r="A159" t="inlineStr">
        <is>
          <t>Spondyliosoma cantharus</t>
        </is>
      </c>
      <c r="B159" t="inlineStr">
        <is>
          <t>Black seabream</t>
        </is>
      </c>
      <c r="C159" t="inlineStr">
        <is>
          <t>Medium benthopelagics (30 - 89 cm)</t>
        </is>
      </c>
      <c r="D159" t="inlineStr">
        <is>
          <t>Perch-likes</t>
        </is>
      </c>
      <c r="E159" s="7" t="inlineStr">
        <is>
          <t>Large Dem. fish</t>
        </is>
      </c>
      <c r="F159" t="inlineStr"/>
      <c r="G159" t="inlineStr"/>
      <c r="H159" t="inlineStr">
        <is>
          <t>low</t>
        </is>
      </c>
      <c r="I159" t="inlineStr">
        <is>
          <t>habitat_size_guild</t>
        </is>
      </c>
      <c r="J159" t="n">
        <v>3108.485</v>
      </c>
      <c r="K159" t="n">
        <v>0.0015</v>
      </c>
      <c r="L159" s="6" t="inlineStr">
        <is>
          <t>Analyst inference from SAU benthic fish habitat to the residual demersal pool containing gurnards, wolffish, sculpins and rocklings (Table S2); unlisted species and smaller fish make this a weak extension.</t>
        </is>
      </c>
    </row>
    <row r="160">
      <c r="A160" t="inlineStr">
        <is>
          <t>Chamelea gallina</t>
        </is>
      </c>
      <c r="B160" t="inlineStr">
        <is>
          <t>Striped venus</t>
        </is>
      </c>
      <c r="C160" t="inlineStr">
        <is>
          <t>Other demersal invertebrates</t>
        </is>
      </c>
      <c r="D160" t="inlineStr">
        <is>
          <t>Molluscs</t>
        </is>
      </c>
      <c r="E160" s="8" t="inlineStr">
        <is>
          <t>Infauna</t>
        </is>
      </c>
      <c r="F160" t="inlineStr"/>
      <c r="G160" t="inlineStr"/>
      <c r="H160" t="inlineStr">
        <is>
          <t>medium</t>
        </is>
      </c>
      <c r="I160" t="inlineStr">
        <is>
          <t>habitat_size_guild</t>
        </is>
      </c>
      <c r="J160" t="n">
        <v>2691.869</v>
      </c>
      <c r="K160" t="n">
        <v>0.0013</v>
      </c>
      <c r="L160" s="6" t="inlineStr">
        <is>
          <t>Analyst inference from burrowing bivalve or polychaete identity: Table S2 Infauna explicitly comprises these organisms. Some named clam categories also occur in Epifauna, so this inferred extension requires review.</t>
        </is>
      </c>
    </row>
    <row r="161">
      <c r="A161" t="inlineStr">
        <is>
          <t>Loligo</t>
        </is>
      </c>
      <c r="B161" t="inlineStr">
        <is>
          <t>Common squids</t>
        </is>
      </c>
      <c r="C161" t="inlineStr">
        <is>
          <t>Cephalopods</t>
        </is>
      </c>
      <c r="D161" t="inlineStr">
        <is>
          <t>Other fishes &amp; inverts</t>
        </is>
      </c>
      <c r="E161" s="8" t="inlineStr">
        <is>
          <t>Squid &amp; Octopus</t>
        </is>
      </c>
      <c r="F161" t="inlineStr"/>
      <c r="G161" t="inlineStr"/>
      <c r="H161" t="inlineStr">
        <is>
          <t>medium</t>
        </is>
      </c>
      <c r="I161" t="inlineStr">
        <is>
          <t>taxonomic_containment</t>
        </is>
      </c>
      <c r="J161" t="n">
        <v>2632.478</v>
      </c>
      <c r="K161" t="n">
        <v>0.0013</v>
      </c>
      <c r="L161" s="6" t="inlineStr">
        <is>
          <t>Table S2 lists members of genus Loligo in these group(s); genus-level catch is assigned to their documented group union.</t>
        </is>
      </c>
    </row>
    <row r="162">
      <c r="A162" t="inlineStr">
        <is>
          <t>Rajidae</t>
        </is>
      </c>
      <c r="B162" t="inlineStr">
        <is>
          <t>Stingrays</t>
        </is>
      </c>
      <c r="C162" t="inlineStr">
        <is>
          <t>Large rays (&gt;=90 cm)</t>
        </is>
      </c>
      <c r="D162" t="inlineStr">
        <is>
          <t>Sharks &amp; rays</t>
        </is>
      </c>
      <c r="E162" s="8" t="inlineStr">
        <is>
          <t>Sharks &amp; rays</t>
        </is>
      </c>
      <c r="F162" t="inlineStr"/>
      <c r="G162" t="inlineStr"/>
      <c r="H162" t="inlineStr">
        <is>
          <t>medium</t>
        </is>
      </c>
      <c r="I162" t="inlineStr">
        <is>
          <t>taxonomic_containment</t>
        </is>
      </c>
      <c r="J162" t="n">
        <v>2421.859</v>
      </c>
      <c r="K162" t="n">
        <v>0.0012</v>
      </c>
      <c r="L162" s="6" t="inlineStr">
        <is>
          <t>SAU identifies shark or ray catch and Table S2 has a pooled Sharks &amp; rays group; extension beyond the listed species is explicit analyst inference.</t>
        </is>
      </c>
    </row>
    <row r="163">
      <c r="A163" t="inlineStr">
        <is>
          <t>Mustelus mustelus</t>
        </is>
      </c>
      <c r="B163" t="inlineStr">
        <is>
          <t>Smooth-hound</t>
        </is>
      </c>
      <c r="C163" t="inlineStr">
        <is>
          <t>Large sharks (&gt;=90 cm)</t>
        </is>
      </c>
      <c r="D163" t="inlineStr">
        <is>
          <t>Sharks &amp; rays</t>
        </is>
      </c>
      <c r="E163" s="5" t="inlineStr">
        <is>
          <t>Sharks &amp; rays</t>
        </is>
      </c>
      <c r="F163" t="inlineStr"/>
      <c r="G163" t="inlineStr"/>
      <c r="H163" t="inlineStr">
        <is>
          <t>high</t>
        </is>
      </c>
      <c r="I163" t="inlineStr">
        <is>
          <t>explicit_member</t>
        </is>
      </c>
      <c r="J163" t="n">
        <v>2414.42</v>
      </c>
      <c r="K163" t="n">
        <v>0.0012</v>
      </c>
      <c r="L163" s="6" t="inlineStr">
        <is>
          <t>Table S2 explicitly lists Mustelus mustelus in this model group; source membership overrides the SAU habitat-size class.</t>
        </is>
      </c>
    </row>
    <row r="164">
      <c r="A164" t="inlineStr">
        <is>
          <t>Raja microocellata</t>
        </is>
      </c>
      <c r="B164" t="inlineStr">
        <is>
          <t>Small-eyed ray</t>
        </is>
      </c>
      <c r="C164" t="inlineStr">
        <is>
          <t>Small to medium rays (&lt;90 cm)</t>
        </is>
      </c>
      <c r="D164" t="inlineStr">
        <is>
          <t>Sharks &amp; rays</t>
        </is>
      </c>
      <c r="E164" s="8" t="inlineStr">
        <is>
          <t>Sharks &amp; rays</t>
        </is>
      </c>
      <c r="F164" t="inlineStr"/>
      <c r="G164" t="inlineStr"/>
      <c r="H164" t="inlineStr">
        <is>
          <t>medium</t>
        </is>
      </c>
      <c r="I164" t="inlineStr">
        <is>
          <t>taxonomic_containment</t>
        </is>
      </c>
      <c r="J164" t="n">
        <v>2356.527</v>
      </c>
      <c r="K164" t="n">
        <v>0.0011</v>
      </c>
      <c r="L164" s="6" t="inlineStr">
        <is>
          <t>SAU identifies shark or ray catch and Table S2 has a pooled Sharks &amp; rays group; extension beyond the listed species is explicit analyst inference.</t>
        </is>
      </c>
    </row>
    <row r="165">
      <c r="A165" t="inlineStr">
        <is>
          <t>Clupeiformes</t>
        </is>
      </c>
      <c r="B165" t="inlineStr">
        <is>
          <t>Herrings, shads, anchovies</t>
        </is>
      </c>
      <c r="C165" t="inlineStr">
        <is>
          <t>Small pelagics (&lt;30 cm)</t>
        </is>
      </c>
      <c r="D165" t="inlineStr">
        <is>
          <t>Other fishes &amp; inverts</t>
        </is>
      </c>
      <c r="E165" s="8" t="inlineStr">
        <is>
          <t>Herring | Small pelagics</t>
        </is>
      </c>
      <c r="F165" t="inlineStr">
        <is>
          <t>0.623 | 0.377</t>
        </is>
      </c>
      <c r="G165" t="inlineStr">
        <is>
          <t>catch_composition</t>
        </is>
      </c>
      <c r="H165" t="inlineStr">
        <is>
          <t>medium</t>
        </is>
      </c>
      <c r="I165" t="inlineStr">
        <is>
          <t>composite_split</t>
        </is>
      </c>
      <c r="J165" t="n">
        <v>2159.353</v>
      </c>
      <c r="K165" t="n">
        <v>0.001</v>
      </c>
      <c r="L165" s="6" t="inlineStr">
        <is>
          <t>Taxonomic containment of the Table S2 named members determines the candidate group(s). Fixed composition weights are used when multiple documented groups occur.</t>
        </is>
      </c>
    </row>
    <row r="166">
      <c r="A166" t="inlineStr">
        <is>
          <t>Capros aper</t>
        </is>
      </c>
      <c r="B166" t="inlineStr">
        <is>
          <t>Boarfish</t>
        </is>
      </c>
      <c r="C166" t="inlineStr">
        <is>
          <t>Small demersals (&lt;30 cm)</t>
        </is>
      </c>
      <c r="D166" t="inlineStr">
        <is>
          <t>Perch-likes</t>
        </is>
      </c>
      <c r="E166" s="5" t="inlineStr">
        <is>
          <t>Large Dem. fish</t>
        </is>
      </c>
      <c r="F166" t="inlineStr"/>
      <c r="G166" t="inlineStr"/>
      <c r="H166" t="inlineStr">
        <is>
          <t>high</t>
        </is>
      </c>
      <c r="I166" t="inlineStr">
        <is>
          <t>explicit_member</t>
        </is>
      </c>
      <c r="J166" t="n">
        <v>1889.02</v>
      </c>
      <c r="K166" t="n">
        <v>0.0009</v>
      </c>
      <c r="L166" s="6" t="inlineStr">
        <is>
          <t>Table S2 explicitly lists Capros aper in this model group; source membership overrides the SAU habitat-size class.</t>
        </is>
      </c>
    </row>
    <row r="167">
      <c r="A167" t="inlineStr">
        <is>
          <t>Argentina sphyraena</t>
        </is>
      </c>
      <c r="B167" t="inlineStr">
        <is>
          <t>European argentine</t>
        </is>
      </c>
      <c r="C167" t="inlineStr">
        <is>
          <t>Medium pelagics (30 - 89 cm)</t>
        </is>
      </c>
      <c r="D167" t="inlineStr">
        <is>
          <t>Salmon, smelts, etc</t>
        </is>
      </c>
      <c r="E167" s="8" t="inlineStr">
        <is>
          <t>Small pelagics</t>
        </is>
      </c>
      <c r="F167" t="inlineStr"/>
      <c r="G167" t="inlineStr"/>
      <c r="H167" t="inlineStr">
        <is>
          <t>medium</t>
        </is>
      </c>
      <c r="I167" t="inlineStr">
        <is>
          <t>analogue</t>
        </is>
      </c>
      <c r="J167" t="n">
        <v>1792.932</v>
      </c>
      <c r="K167" t="n">
        <v>0.0009</v>
      </c>
      <c r="L167" s="6" t="inlineStr">
        <is>
          <t>Table S2 places congeneric Argentina species in these group(s). This unlisted species is an explicit congeneric extension, not source membership.</t>
        </is>
      </c>
    </row>
    <row r="168">
      <c r="A168" t="inlineStr">
        <is>
          <t>Coregonus</t>
        </is>
      </c>
      <c r="B168" t="inlineStr">
        <is>
          <t>Whitefishes</t>
        </is>
      </c>
      <c r="C168" t="inlineStr">
        <is>
          <t>Medium pelagics (30 - 89 cm)</t>
        </is>
      </c>
      <c r="D168" t="inlineStr">
        <is>
          <t>Salmon, smelts, etc</t>
        </is>
      </c>
      <c r="E168" s="9" t="inlineStr">
        <is>
          <t>Unresolved</t>
        </is>
      </c>
      <c r="F168" t="inlineStr"/>
      <c r="G168" t="inlineStr"/>
      <c r="H168" t="inlineStr">
        <is>
          <t>unresolved</t>
        </is>
      </c>
      <c r="I168" t="inlineStr">
        <is>
          <t>none</t>
        </is>
      </c>
      <c r="J168" t="n">
        <v>1777.053</v>
      </c>
      <c r="K168" t="n">
        <v>0.0009</v>
      </c>
      <c r="L168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169">
      <c r="A169" t="inlineStr">
        <is>
          <t>Brama brama</t>
        </is>
      </c>
      <c r="B169" t="inlineStr">
        <is>
          <t>Atlantic pomfret</t>
        </is>
      </c>
      <c r="C169" t="inlineStr">
        <is>
          <t>Medium bathypelagics (30 - 89 cm)</t>
        </is>
      </c>
      <c r="D169" t="inlineStr">
        <is>
          <t>Perch-likes</t>
        </is>
      </c>
      <c r="E169" s="9" t="inlineStr">
        <is>
          <t>Unresolved</t>
        </is>
      </c>
      <c r="F169" t="inlineStr"/>
      <c r="G169" t="inlineStr"/>
      <c r="H169" t="inlineStr">
        <is>
          <t>unresolved</t>
        </is>
      </c>
      <c r="I169" t="inlineStr">
        <is>
          <t>none</t>
        </is>
      </c>
      <c r="J169" t="n">
        <v>1673.387</v>
      </c>
      <c r="K169" t="n">
        <v>0.0008</v>
      </c>
      <c r="L169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170">
      <c r="A170" t="inlineStr">
        <is>
          <t>Leucoraja fullonica</t>
        </is>
      </c>
      <c r="B170" t="inlineStr">
        <is>
          <t>Shagreen ray</t>
        </is>
      </c>
      <c r="C170" t="inlineStr">
        <is>
          <t>Large rays (&gt;=90 cm)</t>
        </is>
      </c>
      <c r="D170" t="inlineStr">
        <is>
          <t>Sharks &amp; rays</t>
        </is>
      </c>
      <c r="E170" s="8" t="inlineStr">
        <is>
          <t>Sharks &amp; rays</t>
        </is>
      </c>
      <c r="F170" t="inlineStr"/>
      <c r="G170" t="inlineStr"/>
      <c r="H170" t="inlineStr">
        <is>
          <t>medium</t>
        </is>
      </c>
      <c r="I170" t="inlineStr">
        <is>
          <t>taxonomic_containment</t>
        </is>
      </c>
      <c r="J170" t="n">
        <v>1633.909</v>
      </c>
      <c r="K170" t="n">
        <v>0.0008</v>
      </c>
      <c r="L170" s="6" t="inlineStr">
        <is>
          <t>SAU identifies shark or ray catch and Table S2 has a pooled Sharks &amp; rays group; extension beyond the listed species is explicit analyst inference.</t>
        </is>
      </c>
    </row>
    <row r="171">
      <c r="A171" t="inlineStr">
        <is>
          <t>Magallana gigas</t>
        </is>
      </c>
      <c r="B171" t="inlineStr">
        <is>
          <t>Pacific cupped oyster</t>
        </is>
      </c>
      <c r="C171" t="inlineStr">
        <is>
          <t>Other demersal invertebrates</t>
        </is>
      </c>
      <c r="D171" t="inlineStr">
        <is>
          <t>Molluscs</t>
        </is>
      </c>
      <c r="E171" s="8" t="inlineStr">
        <is>
          <t>Epifauna</t>
        </is>
      </c>
      <c r="F171" t="inlineStr"/>
      <c r="G171" t="inlineStr"/>
      <c r="H171" t="inlineStr">
        <is>
          <t>medium</t>
        </is>
      </c>
      <c r="I171" t="inlineStr">
        <is>
          <t>taxonomic_containment</t>
        </is>
      </c>
      <c r="J171" t="n">
        <v>1347.463</v>
      </c>
      <c r="K171" t="n">
        <v>0.0005999999999999999</v>
      </c>
      <c r="L171" s="6" t="inlineStr">
        <is>
          <t>Table S2 Epifauna explicitly includes mussels, oysters, scallops, cockles, periwinkles and whelks; this catch label belongs to those source-defined categories.</t>
        </is>
      </c>
    </row>
    <row r="172">
      <c r="A172" t="inlineStr">
        <is>
          <t>Perca fluviatilis</t>
        </is>
      </c>
      <c r="B172" t="inlineStr">
        <is>
          <t>European perch</t>
        </is>
      </c>
      <c r="C172" t="inlineStr">
        <is>
          <t>Medium demersals (30 - 89 cm)</t>
        </is>
      </c>
      <c r="D172" t="inlineStr">
        <is>
          <t>Perch-likes</t>
        </is>
      </c>
      <c r="E172" s="9" t="inlineStr">
        <is>
          <t>Unresolved</t>
        </is>
      </c>
      <c r="F172" t="inlineStr"/>
      <c r="G172" t="inlineStr"/>
      <c r="H172" t="inlineStr">
        <is>
          <t>unresolved</t>
        </is>
      </c>
      <c r="I172" t="inlineStr">
        <is>
          <t>none</t>
        </is>
      </c>
      <c r="J172" t="n">
        <v>1295.77</v>
      </c>
      <c r="K172" t="n">
        <v>0.0005999999999999999</v>
      </c>
      <c r="L172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173">
      <c r="A173" t="inlineStr">
        <is>
          <t>Esox lucius</t>
        </is>
      </c>
      <c r="B173" t="inlineStr">
        <is>
          <t>Northern pike</t>
        </is>
      </c>
      <c r="C173" t="inlineStr">
        <is>
          <t>Large demersals (&gt;=90 cm)</t>
        </is>
      </c>
      <c r="D173" t="inlineStr">
        <is>
          <t>Salmon, smelts, etc</t>
        </is>
      </c>
      <c r="E173" s="9" t="inlineStr">
        <is>
          <t>Unresolved</t>
        </is>
      </c>
      <c r="F173" t="inlineStr"/>
      <c r="G173" t="inlineStr"/>
      <c r="H173" t="inlineStr">
        <is>
          <t>unresolved</t>
        </is>
      </c>
      <c r="I173" t="inlineStr">
        <is>
          <t>none</t>
        </is>
      </c>
      <c r="J173" t="n">
        <v>1274.687</v>
      </c>
      <c r="K173" t="n">
        <v>0.0005999999999999999</v>
      </c>
      <c r="L173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174">
      <c r="A174" t="inlineStr">
        <is>
          <t>Scyliorhinus</t>
        </is>
      </c>
      <c r="B174" t="inlineStr">
        <is>
          <t>Catsharks</t>
        </is>
      </c>
      <c r="C174" t="inlineStr">
        <is>
          <t>Small to medium sharks (&lt;90 cm)</t>
        </is>
      </c>
      <c r="D174" t="inlineStr">
        <is>
          <t>Sharks &amp; rays</t>
        </is>
      </c>
      <c r="E174" s="8" t="inlineStr">
        <is>
          <t>Sharks &amp; rays</t>
        </is>
      </c>
      <c r="F174" t="inlineStr"/>
      <c r="G174" t="inlineStr"/>
      <c r="H174" t="inlineStr">
        <is>
          <t>medium</t>
        </is>
      </c>
      <c r="I174" t="inlineStr">
        <is>
          <t>taxonomic_containment</t>
        </is>
      </c>
      <c r="J174" t="n">
        <v>1272.383</v>
      </c>
      <c r="K174" t="n">
        <v>0.0005999999999999999</v>
      </c>
      <c r="L174" s="6" t="inlineStr">
        <is>
          <t>Table S2 lists members of genus Scyliorhinus in these group(s); genus-level catch is assigned to their documented group union.</t>
        </is>
      </c>
    </row>
    <row r="175">
      <c r="A175" t="inlineStr">
        <is>
          <t>Sepiida</t>
        </is>
      </c>
      <c r="B175" t="inlineStr">
        <is>
          <t>Cuttlefishes, bobtail squids</t>
        </is>
      </c>
      <c r="C175" t="inlineStr">
        <is>
          <t>Cephalopods</t>
        </is>
      </c>
      <c r="D175" t="inlineStr">
        <is>
          <t>Other fishes &amp; inverts</t>
        </is>
      </c>
      <c r="E175" s="5" t="inlineStr">
        <is>
          <t>Squid &amp; Octopus</t>
        </is>
      </c>
      <c r="F175" t="inlineStr"/>
      <c r="G175" t="inlineStr"/>
      <c r="H175" t="inlineStr">
        <is>
          <t>high</t>
        </is>
      </c>
      <c r="I175" t="inlineStr">
        <is>
          <t>taxonomic_containment</t>
        </is>
      </c>
      <c r="J175" t="n">
        <v>1244.717</v>
      </c>
      <c r="K175" t="n">
        <v>0.0005999999999999999</v>
      </c>
      <c r="L175" s="6" t="inlineStr">
        <is>
          <t>SAU identifies this catch as cephalopods; Table S2 pools squid, octopus and cuttlefish in Squid &amp; Octopus.</t>
        </is>
      </c>
    </row>
    <row r="176">
      <c r="A176" t="inlineStr">
        <is>
          <t>Bothidae</t>
        </is>
      </c>
      <c r="B176" t="inlineStr">
        <is>
          <t>Lefteye flounders</t>
        </is>
      </c>
      <c r="C176" t="inlineStr">
        <is>
          <t>Small to medium flatfishes (&lt;90 cm)</t>
        </is>
      </c>
      <c r="D176" t="inlineStr">
        <is>
          <t>Flatfishes</t>
        </is>
      </c>
      <c r="E176" s="5" t="inlineStr">
        <is>
          <t>Flatfishes</t>
        </is>
      </c>
      <c r="F176" t="inlineStr"/>
      <c r="G176" t="inlineStr"/>
      <c r="H176" t="inlineStr">
        <is>
          <t>high</t>
        </is>
      </c>
      <c r="I176" t="inlineStr">
        <is>
          <t>taxonomic_containment</t>
        </is>
      </c>
      <c r="J176" t="n">
        <v>1160.232</v>
      </c>
      <c r="K176" t="n">
        <v>0.0005999999999999999</v>
      </c>
      <c r="L176" s="6" t="inlineStr">
        <is>
          <t>Taxonomic containment of the Table S2 named members determines the candidate group(s). Fixed composition weights are used when multiple documented groups occur.</t>
        </is>
      </c>
    </row>
    <row r="177">
      <c r="A177" t="inlineStr">
        <is>
          <t>Dicentrarchus</t>
        </is>
      </c>
      <c r="B177" t="inlineStr">
        <is>
          <t>Seabasses</t>
        </is>
      </c>
      <c r="C177" t="inlineStr">
        <is>
          <t>Large demersals (&gt;=90 cm)</t>
        </is>
      </c>
      <c r="D177" t="inlineStr">
        <is>
          <t>Perch-likes</t>
        </is>
      </c>
      <c r="E177" s="7" t="inlineStr">
        <is>
          <t>Large Dem. fish</t>
        </is>
      </c>
      <c r="F177" t="inlineStr"/>
      <c r="G177" t="inlineStr"/>
      <c r="H177" t="inlineStr">
        <is>
          <t>low</t>
        </is>
      </c>
      <c r="I177" t="inlineStr">
        <is>
          <t>habitat_size_guild</t>
        </is>
      </c>
      <c r="J177" t="n">
        <v>1129.841</v>
      </c>
      <c r="K177" t="n">
        <v>0.0005</v>
      </c>
      <c r="L177" s="6" t="inlineStr">
        <is>
          <t>Analyst inference from SAU benthic fish habitat to the residual demersal pool containing gurnards, wolffish, sculpins and rocklings (Table S2); unlisted species and smaller fish make this a weak extension.</t>
        </is>
      </c>
    </row>
    <row r="178">
      <c r="A178" t="inlineStr">
        <is>
          <t>Phycis blennoides</t>
        </is>
      </c>
      <c r="B178" t="inlineStr">
        <is>
          <t>Greater forkbeard</t>
        </is>
      </c>
      <c r="C178" t="inlineStr">
        <is>
          <t>Large benthopelagics (&gt;=90 cm)</t>
        </is>
      </c>
      <c r="D178" t="inlineStr">
        <is>
          <t>Cod-likes</t>
        </is>
      </c>
      <c r="E178" s="5" t="inlineStr">
        <is>
          <t>Large Dem. fish</t>
        </is>
      </c>
      <c r="F178" t="inlineStr"/>
      <c r="G178" t="inlineStr"/>
      <c r="H178" t="inlineStr">
        <is>
          <t>high</t>
        </is>
      </c>
      <c r="I178" t="inlineStr">
        <is>
          <t>explicit_member</t>
        </is>
      </c>
      <c r="J178" t="n">
        <v>1091.16</v>
      </c>
      <c r="K178" t="n">
        <v>0.0005</v>
      </c>
      <c r="L178" s="6" t="inlineStr">
        <is>
          <t>Table S2 explicitly lists Phycis blennoides in this model group; source membership overrides the SAU habitat-size class.</t>
        </is>
      </c>
    </row>
    <row r="179">
      <c r="A179" t="inlineStr">
        <is>
          <t>Dipturus batis</t>
        </is>
      </c>
      <c r="B179" t="inlineStr">
        <is>
          <t>Blue skate</t>
        </is>
      </c>
      <c r="C179" t="inlineStr">
        <is>
          <t>Large rays (&gt;=90 cm)</t>
        </is>
      </c>
      <c r="D179" t="inlineStr">
        <is>
          <t>Sharks &amp; rays</t>
        </is>
      </c>
      <c r="E179" s="5" t="inlineStr">
        <is>
          <t>Sharks &amp; rays</t>
        </is>
      </c>
      <c r="F179" t="inlineStr"/>
      <c r="G179" t="inlineStr"/>
      <c r="H179" t="inlineStr">
        <is>
          <t>high</t>
        </is>
      </c>
      <c r="I179" t="inlineStr">
        <is>
          <t>explicit_member</t>
        </is>
      </c>
      <c r="J179" t="n">
        <v>1054.107</v>
      </c>
      <c r="K179" t="n">
        <v>0.0005</v>
      </c>
      <c r="L179" s="6" t="inlineStr">
        <is>
          <t>Table S2 explicitly lists Dipturus batis in this model group; source membership overrides the SAU habitat-size class.</t>
        </is>
      </c>
    </row>
    <row r="180">
      <c r="A180" t="inlineStr">
        <is>
          <t>Moronidae</t>
        </is>
      </c>
      <c r="B180" t="inlineStr">
        <is>
          <t>Temperate basses</t>
        </is>
      </c>
      <c r="C180" t="inlineStr">
        <is>
          <t>Medium demersals (30 - 89 cm)</t>
        </is>
      </c>
      <c r="D180" t="inlineStr">
        <is>
          <t>Perch-likes</t>
        </is>
      </c>
      <c r="E180" s="7" t="inlineStr">
        <is>
          <t>Large Dem. fish</t>
        </is>
      </c>
      <c r="F180" t="inlineStr"/>
      <c r="G180" t="inlineStr"/>
      <c r="H180" t="inlineStr">
        <is>
          <t>low</t>
        </is>
      </c>
      <c r="I180" t="inlineStr">
        <is>
          <t>habitat_size_guild</t>
        </is>
      </c>
      <c r="J180" t="n">
        <v>970.425</v>
      </c>
      <c r="K180" t="n">
        <v>0.0005</v>
      </c>
      <c r="L180" s="6" t="inlineStr">
        <is>
          <t>Analyst inference from SAU benthic fish habitat to the residual demersal pool containing gurnards, wolffish, sculpins and rocklings (Table S2); unlisted species and smaller fish make this a weak extension.</t>
        </is>
      </c>
    </row>
    <row r="181">
      <c r="A181" t="inlineStr">
        <is>
          <t>Pandalus montagui</t>
        </is>
      </c>
      <c r="B181" t="inlineStr">
        <is>
          <t>Aesop shrimp</t>
        </is>
      </c>
      <c r="C181" t="inlineStr">
        <is>
          <t>Shrimps</t>
        </is>
      </c>
      <c r="D181" t="inlineStr">
        <is>
          <t>Crustaceans</t>
        </is>
      </c>
      <c r="E181" s="5" t="inlineStr">
        <is>
          <t>Crustacea</t>
        </is>
      </c>
      <c r="F181" t="inlineStr"/>
      <c r="G181" t="inlineStr"/>
      <c r="H181" t="inlineStr">
        <is>
          <t>high</t>
        </is>
      </c>
      <c r="I181" t="inlineStr">
        <is>
          <t>explicit_member</t>
        </is>
      </c>
      <c r="J181" t="n">
        <v>950.052</v>
      </c>
      <c r="K181" t="n">
        <v>0.0005</v>
      </c>
      <c r="L181" s="6" t="inlineStr">
        <is>
          <t>Table S2 explicitly lists Pandalus montagui in this model group; source membership overrides the SAU habitat-size class.</t>
        </is>
      </c>
    </row>
    <row r="182">
      <c r="A182" t="inlineStr">
        <is>
          <t>Zeus faber</t>
        </is>
      </c>
      <c r="B182" t="inlineStr">
        <is>
          <t>John dory</t>
        </is>
      </c>
      <c r="C182" t="inlineStr">
        <is>
          <t>Medium benthopelagics (30 - 89 cm)</t>
        </is>
      </c>
      <c r="D182" t="inlineStr">
        <is>
          <t>Other fishes &amp; inverts</t>
        </is>
      </c>
      <c r="E182" s="5" t="inlineStr">
        <is>
          <t>Large Dem. fish</t>
        </is>
      </c>
      <c r="F182" t="inlineStr"/>
      <c r="G182" t="inlineStr"/>
      <c r="H182" t="inlineStr">
        <is>
          <t>high</t>
        </is>
      </c>
      <c r="I182" t="inlineStr">
        <is>
          <t>explicit_member</t>
        </is>
      </c>
      <c r="J182" t="n">
        <v>943.5</v>
      </c>
      <c r="K182" t="n">
        <v>0.0005</v>
      </c>
      <c r="L182" s="6" t="inlineStr">
        <is>
          <t>Table S2 explicitly lists Zeus faber in this model group; source membership overrides the SAU habitat-size class.</t>
        </is>
      </c>
    </row>
    <row r="183">
      <c r="A183" t="inlineStr">
        <is>
          <t>Lumpenus lampretaeformis</t>
        </is>
      </c>
      <c r="B183" t="inlineStr">
        <is>
          <t>Snakeblenny</t>
        </is>
      </c>
      <c r="C183" t="inlineStr">
        <is>
          <t>Large reef assoc. fish (&gt;=90 cm)</t>
        </is>
      </c>
      <c r="D183" t="inlineStr">
        <is>
          <t>Perch-likes</t>
        </is>
      </c>
      <c r="E183" s="7" t="inlineStr">
        <is>
          <t>Large Dem. fish</t>
        </is>
      </c>
      <c r="F183" t="inlineStr"/>
      <c r="G183" t="inlineStr"/>
      <c r="H183" t="inlineStr">
        <is>
          <t>low</t>
        </is>
      </c>
      <c r="I183" t="inlineStr">
        <is>
          <t>habitat_size_guild</t>
        </is>
      </c>
      <c r="J183" t="n">
        <v>859.6660000000001</v>
      </c>
      <c r="K183" t="n">
        <v>0.0004</v>
      </c>
      <c r="L183" s="6" t="inlineStr">
        <is>
          <t>Analyst inference from SAU benthic fish habitat to the residual demersal pool containing gurnards, wolffish, sculpins and rocklings (Table S2); unlisted species and smaller fish make this a weak extension.</t>
        </is>
      </c>
    </row>
    <row r="184">
      <c r="A184" t="inlineStr">
        <is>
          <t>Auxis thazard</t>
        </is>
      </c>
      <c r="B184" t="inlineStr">
        <is>
          <t>Frigate tuna</t>
        </is>
      </c>
      <c r="C184" t="inlineStr">
        <is>
          <t>Medium pelagics (30 - 89 cm)</t>
        </is>
      </c>
      <c r="D184" t="inlineStr">
        <is>
          <t>Tuna &amp; billfishes</t>
        </is>
      </c>
      <c r="E184" s="9" t="inlineStr">
        <is>
          <t>Unresolved</t>
        </is>
      </c>
      <c r="F184" t="inlineStr"/>
      <c r="G184" t="inlineStr"/>
      <c r="H184" t="inlineStr">
        <is>
          <t>unresolved</t>
        </is>
      </c>
      <c r="I184" t="inlineStr">
        <is>
          <t>none</t>
        </is>
      </c>
      <c r="J184" t="n">
        <v>858.544</v>
      </c>
      <c r="K184" t="n">
        <v>0.0004</v>
      </c>
      <c r="L184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185">
      <c r="A185" t="inlineStr">
        <is>
          <t>Galeorhinus galeus</t>
        </is>
      </c>
      <c r="B185" t="inlineStr">
        <is>
          <t>Tope shark</t>
        </is>
      </c>
      <c r="C185" t="inlineStr">
        <is>
          <t>Large sharks (&gt;=90 cm)</t>
        </is>
      </c>
      <c r="D185" t="inlineStr">
        <is>
          <t>Sharks &amp; rays</t>
        </is>
      </c>
      <c r="E185" s="5" t="inlineStr">
        <is>
          <t>Sharks &amp; rays</t>
        </is>
      </c>
      <c r="F185" t="inlineStr"/>
      <c r="G185" t="inlineStr"/>
      <c r="H185" t="inlineStr">
        <is>
          <t>high</t>
        </is>
      </c>
      <c r="I185" t="inlineStr">
        <is>
          <t>explicit_member</t>
        </is>
      </c>
      <c r="J185" t="n">
        <v>751.779</v>
      </c>
      <c r="K185" t="n">
        <v>0.0004</v>
      </c>
      <c r="L185" s="6" t="inlineStr">
        <is>
          <t>Table S2 explicitly lists Galeorhinus galeus in this model group; source membership overrides the SAU habitat-size class.</t>
        </is>
      </c>
    </row>
    <row r="186">
      <c r="A186" t="inlineStr">
        <is>
          <t>Labridae</t>
        </is>
      </c>
      <c r="B186" t="inlineStr">
        <is>
          <t>Wrasses, gropers, tuskfishes</t>
        </is>
      </c>
      <c r="C186" t="inlineStr">
        <is>
          <t>Medium reef assoc. fish (30 - 89 cm)</t>
        </is>
      </c>
      <c r="D186" t="inlineStr">
        <is>
          <t>Perch-likes</t>
        </is>
      </c>
      <c r="E186" s="7" t="inlineStr">
        <is>
          <t>Large Dem. fish</t>
        </is>
      </c>
      <c r="F186" t="inlineStr"/>
      <c r="G186" t="inlineStr"/>
      <c r="H186" t="inlineStr">
        <is>
          <t>low</t>
        </is>
      </c>
      <c r="I186" t="inlineStr">
        <is>
          <t>habitat_size_guild</t>
        </is>
      </c>
      <c r="J186" t="n">
        <v>712.33</v>
      </c>
      <c r="K186" t="n">
        <v>0.0003</v>
      </c>
      <c r="L186" s="6" t="inlineStr">
        <is>
          <t>Analyst inference from SAU benthic fish habitat to the residual demersal pool containing gurnards, wolffish, sculpins and rocklings (Table S2); unlisted species and smaller fish make this a weak extension.</t>
        </is>
      </c>
    </row>
    <row r="187">
      <c r="A187" t="inlineStr">
        <is>
          <t>Rutilus rutilus</t>
        </is>
      </c>
      <c r="B187" t="inlineStr">
        <is>
          <t>Roach</t>
        </is>
      </c>
      <c r="C187" t="inlineStr">
        <is>
          <t>Medium benthopelagics (30 - 89 cm)</t>
        </is>
      </c>
      <c r="D187" t="inlineStr">
        <is>
          <t>Other fishes &amp; inverts</t>
        </is>
      </c>
      <c r="E187" s="9" t="inlineStr">
        <is>
          <t>Unresolved</t>
        </is>
      </c>
      <c r="F187" t="inlineStr"/>
      <c r="G187" t="inlineStr"/>
      <c r="H187" t="inlineStr">
        <is>
          <t>unresolved</t>
        </is>
      </c>
      <c r="I187" t="inlineStr">
        <is>
          <t>none</t>
        </is>
      </c>
      <c r="J187" t="n">
        <v>695.0940000000001</v>
      </c>
      <c r="K187" t="n">
        <v>0.0003</v>
      </c>
      <c r="L187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188">
      <c r="A188" t="inlineStr">
        <is>
          <t>Thunnus alalunga</t>
        </is>
      </c>
      <c r="B188" t="inlineStr">
        <is>
          <t>Albacore</t>
        </is>
      </c>
      <c r="C188" t="inlineStr">
        <is>
          <t>Large pelagics (&gt;=90 cm)</t>
        </is>
      </c>
      <c r="D188" t="inlineStr">
        <is>
          <t>Tuna &amp; billfishes</t>
        </is>
      </c>
      <c r="E188" s="9" t="inlineStr">
        <is>
          <t>Unresolved</t>
        </is>
      </c>
      <c r="F188" t="inlineStr"/>
      <c r="G188" t="inlineStr"/>
      <c r="H188" t="inlineStr">
        <is>
          <t>unresolved</t>
        </is>
      </c>
      <c r="I188" t="inlineStr">
        <is>
          <t>none</t>
        </is>
      </c>
      <c r="J188" t="n">
        <v>651.671</v>
      </c>
      <c r="K188" t="n">
        <v>0.0003</v>
      </c>
      <c r="L188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189">
      <c r="A189" t="inlineStr">
        <is>
          <t>Mallotus villosus</t>
        </is>
      </c>
      <c r="B189" t="inlineStr">
        <is>
          <t>Capelin</t>
        </is>
      </c>
      <c r="C189" t="inlineStr">
        <is>
          <t>Small pelagics (&lt;30 cm)</t>
        </is>
      </c>
      <c r="D189" t="inlineStr">
        <is>
          <t>Salmon, smelts, etc</t>
        </is>
      </c>
      <c r="E189" s="7" t="inlineStr">
        <is>
          <t>Small pelagics</t>
        </is>
      </c>
      <c r="F189" t="inlineStr"/>
      <c r="G189" t="inlineStr"/>
      <c r="H189" t="inlineStr">
        <is>
          <t>low</t>
        </is>
      </c>
      <c r="I189" t="inlineStr">
        <is>
          <t>habitat_size_guild</t>
        </is>
      </c>
      <c r="J189" t="n">
        <v>651.338</v>
      </c>
      <c r="K189" t="n">
        <v>0.0003</v>
      </c>
      <c r="L189" s="6" t="inlineStr">
        <is>
          <t>Analyst inference from SAU pelagic size/habitat class to the Table S2 pelagic pools; this species is not listed and the model lacks its own dedicated compartment.</t>
        </is>
      </c>
    </row>
    <row r="190">
      <c r="A190" t="inlineStr">
        <is>
          <t>Octopodidae</t>
        </is>
      </c>
      <c r="B190" t="inlineStr">
        <is>
          <t>Octopuses</t>
        </is>
      </c>
      <c r="C190" t="inlineStr">
        <is>
          <t>Cephalopods</t>
        </is>
      </c>
      <c r="D190" t="inlineStr">
        <is>
          <t>Other fishes &amp; inverts</t>
        </is>
      </c>
      <c r="E190" s="5" t="inlineStr">
        <is>
          <t>Squid &amp; Octopus</t>
        </is>
      </c>
      <c r="F190" t="inlineStr"/>
      <c r="G190" t="inlineStr"/>
      <c r="H190" t="inlineStr">
        <is>
          <t>high</t>
        </is>
      </c>
      <c r="I190" t="inlineStr">
        <is>
          <t>taxonomic_containment</t>
        </is>
      </c>
      <c r="J190" t="n">
        <v>637.191</v>
      </c>
      <c r="K190" t="n">
        <v>0.0003</v>
      </c>
      <c r="L190" s="6" t="inlineStr">
        <is>
          <t>SAU identifies this catch as cephalopods; Table S2 pools squid, octopus and cuttlefish in Squid &amp; Octopus.</t>
        </is>
      </c>
    </row>
    <row r="191">
      <c r="A191" t="inlineStr">
        <is>
          <t>Crassostrea</t>
        </is>
      </c>
      <c r="B191" t="inlineStr">
        <is>
          <t>Cupped oysters</t>
        </is>
      </c>
      <c r="C191" t="inlineStr">
        <is>
          <t>Other demersal invertebrates</t>
        </is>
      </c>
      <c r="D191" t="inlineStr">
        <is>
          <t>Molluscs</t>
        </is>
      </c>
      <c r="E191" s="8" t="inlineStr">
        <is>
          <t>Epifauna</t>
        </is>
      </c>
      <c r="F191" t="inlineStr"/>
      <c r="G191" t="inlineStr"/>
      <c r="H191" t="inlineStr">
        <is>
          <t>medium</t>
        </is>
      </c>
      <c r="I191" t="inlineStr">
        <is>
          <t>taxonomic_containment</t>
        </is>
      </c>
      <c r="J191" t="n">
        <v>600.042</v>
      </c>
      <c r="K191" t="n">
        <v>0.0003</v>
      </c>
      <c r="L191" s="6" t="inlineStr">
        <is>
          <t>Table S2 Epifauna explicitly includes mussels, oysters, scallops, cockles, periwinkles and whelks; this catch label belongs to those source-defined categories.</t>
        </is>
      </c>
    </row>
    <row r="192">
      <c r="A192" t="inlineStr">
        <is>
          <t>Sarda sarda</t>
        </is>
      </c>
      <c r="B192" t="inlineStr">
        <is>
          <t>Atlantic bonito</t>
        </is>
      </c>
      <c r="C192" t="inlineStr">
        <is>
          <t>Medium pelagics (30 - 89 cm)</t>
        </is>
      </c>
      <c r="D192" t="inlineStr">
        <is>
          <t>Tuna &amp; billfishes</t>
        </is>
      </c>
      <c r="E192" s="9" t="inlineStr">
        <is>
          <t>Unresolved</t>
        </is>
      </c>
      <c r="F192" t="inlineStr"/>
      <c r="G192" t="inlineStr"/>
      <c r="H192" t="inlineStr">
        <is>
          <t>unresolved</t>
        </is>
      </c>
      <c r="I192" t="inlineStr">
        <is>
          <t>none</t>
        </is>
      </c>
      <c r="J192" t="n">
        <v>554.612</v>
      </c>
      <c r="K192" t="n">
        <v>0.0003</v>
      </c>
      <c r="L192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193">
      <c r="A193" t="inlineStr">
        <is>
          <t>Chaceon affinis</t>
        </is>
      </c>
      <c r="B193" t="inlineStr">
        <is>
          <t>Deepsea red crab</t>
        </is>
      </c>
      <c r="C193" t="inlineStr">
        <is>
          <t>Lobsters, crabs</t>
        </is>
      </c>
      <c r="D193" t="inlineStr">
        <is>
          <t>Crustaceans</t>
        </is>
      </c>
      <c r="E193" s="5" t="inlineStr">
        <is>
          <t>Crustacea</t>
        </is>
      </c>
      <c r="F193" t="inlineStr"/>
      <c r="G193" t="inlineStr"/>
      <c r="H193" t="inlineStr">
        <is>
          <t>high</t>
        </is>
      </c>
      <c r="I193" t="inlineStr">
        <is>
          <t>taxonomic_containment</t>
        </is>
      </c>
      <c r="J193" t="n">
        <v>529.646</v>
      </c>
      <c r="K193" t="n">
        <v>0.0003</v>
      </c>
      <c r="L193" s="6" t="inlineStr">
        <is>
          <t>SAU identifies shrimp or lobster/crab catch; Table S2 Crustacea includes shrimp, lobster and crab taxa without a finer model split.</t>
        </is>
      </c>
    </row>
    <row r="194">
      <c r="A194" t="inlineStr">
        <is>
          <t>Illex</t>
        </is>
      </c>
      <c r="B194" t="inlineStr">
        <is>
          <t>Shortfin squid</t>
        </is>
      </c>
      <c r="C194" t="inlineStr">
        <is>
          <t>Cephalopods</t>
        </is>
      </c>
      <c r="D194" t="inlineStr">
        <is>
          <t>Other fishes &amp; inverts</t>
        </is>
      </c>
      <c r="E194" s="8" t="inlineStr">
        <is>
          <t>Squid &amp; Octopus</t>
        </is>
      </c>
      <c r="F194" t="inlineStr"/>
      <c r="G194" t="inlineStr"/>
      <c r="H194" t="inlineStr">
        <is>
          <t>medium</t>
        </is>
      </c>
      <c r="I194" t="inlineStr">
        <is>
          <t>taxonomic_containment</t>
        </is>
      </c>
      <c r="J194" t="n">
        <v>521.6420000000001</v>
      </c>
      <c r="K194" t="n">
        <v>0.0003</v>
      </c>
      <c r="L194" s="6" t="inlineStr">
        <is>
          <t>Table S2 lists members of genus Illex in these group(s); genus-level catch is assigned to their documented group union.</t>
        </is>
      </c>
    </row>
    <row r="195">
      <c r="A195" t="inlineStr">
        <is>
          <t>Helicolenus dactylopterus</t>
        </is>
      </c>
      <c r="B195" t="inlineStr">
        <is>
          <t>Blackbelly rosefish</t>
        </is>
      </c>
      <c r="C195" t="inlineStr">
        <is>
          <t>Medium bathydemersals (30 - 89 cm)</t>
        </is>
      </c>
      <c r="D195" t="inlineStr">
        <is>
          <t>Scorpionfishes</t>
        </is>
      </c>
      <c r="E195" s="5" t="inlineStr">
        <is>
          <t>Large Dem. fish</t>
        </is>
      </c>
      <c r="F195" t="inlineStr"/>
      <c r="G195" t="inlineStr"/>
      <c r="H195" t="inlineStr">
        <is>
          <t>high</t>
        </is>
      </c>
      <c r="I195" t="inlineStr">
        <is>
          <t>explicit_member</t>
        </is>
      </c>
      <c r="J195" t="n">
        <v>490.517</v>
      </c>
      <c r="K195" t="n">
        <v>0.0002</v>
      </c>
      <c r="L195" s="6" t="inlineStr">
        <is>
          <t>Table S2 explicitly lists Helicolenus dactylopterus in this model group; source membership overrides the SAU habitat-size class.</t>
        </is>
      </c>
    </row>
    <row r="196">
      <c r="A196" t="inlineStr">
        <is>
          <t>Prionace glauca</t>
        </is>
      </c>
      <c r="B196" t="inlineStr">
        <is>
          <t>Blue shark</t>
        </is>
      </c>
      <c r="C196" t="inlineStr">
        <is>
          <t>Large sharks (&gt;=90 cm)</t>
        </is>
      </c>
      <c r="D196" t="inlineStr">
        <is>
          <t>Sharks &amp; rays</t>
        </is>
      </c>
      <c r="E196" s="8" t="inlineStr">
        <is>
          <t>Sharks &amp; rays</t>
        </is>
      </c>
      <c r="F196" t="inlineStr"/>
      <c r="G196" t="inlineStr"/>
      <c r="H196" t="inlineStr">
        <is>
          <t>medium</t>
        </is>
      </c>
      <c r="I196" t="inlineStr">
        <is>
          <t>taxonomic_containment</t>
        </is>
      </c>
      <c r="J196" t="n">
        <v>485.187</v>
      </c>
      <c r="K196" t="n">
        <v>0.0002</v>
      </c>
      <c r="L196" s="6" t="inlineStr">
        <is>
          <t>SAU identifies shark or ray catch and Table S2 has a pooled Sharks &amp; rays group; extension beyond the listed species is explicit analyst inference.</t>
        </is>
      </c>
    </row>
    <row r="197">
      <c r="A197" t="inlineStr">
        <is>
          <t>Mugil</t>
        </is>
      </c>
      <c r="B197" t="inlineStr">
        <is>
          <t>Grey mullets</t>
        </is>
      </c>
      <c r="C197" t="inlineStr">
        <is>
          <t>Medium demersals (30 - 89 cm)</t>
        </is>
      </c>
      <c r="D197" t="inlineStr">
        <is>
          <t>Perch-likes</t>
        </is>
      </c>
      <c r="E197" s="7" t="inlineStr">
        <is>
          <t>Large Dem. fish</t>
        </is>
      </c>
      <c r="F197" t="inlineStr"/>
      <c r="G197" t="inlineStr"/>
      <c r="H197" t="inlineStr">
        <is>
          <t>low</t>
        </is>
      </c>
      <c r="I197" t="inlineStr">
        <is>
          <t>habitat_size_guild</t>
        </is>
      </c>
      <c r="J197" t="n">
        <v>480.88</v>
      </c>
      <c r="K197" t="n">
        <v>0.0002</v>
      </c>
      <c r="L197" s="6" t="inlineStr">
        <is>
          <t>Analyst inference from SAU benthic fish habitat to the residual demersal pool containing gurnards, wolffish, sculpins and rocklings (Table S2); unlisted species and smaller fish make this a weak extension.</t>
        </is>
      </c>
    </row>
    <row r="198">
      <c r="A198" t="inlineStr">
        <is>
          <t>Batoidea</t>
        </is>
      </c>
      <c r="B198" t="inlineStr">
        <is>
          <t>Batoids, skates, rays, sawfishes</t>
        </is>
      </c>
      <c r="C198" t="inlineStr">
        <is>
          <t>Large rays (&gt;=90 cm)</t>
        </is>
      </c>
      <c r="D198" t="inlineStr">
        <is>
          <t>Sharks &amp; rays</t>
        </is>
      </c>
      <c r="E198" s="8" t="inlineStr">
        <is>
          <t>Sharks &amp; rays</t>
        </is>
      </c>
      <c r="F198" t="inlineStr"/>
      <c r="G198" t="inlineStr"/>
      <c r="H198" t="inlineStr">
        <is>
          <t>medium</t>
        </is>
      </c>
      <c r="I198" t="inlineStr">
        <is>
          <t>taxonomic_containment</t>
        </is>
      </c>
      <c r="J198" t="n">
        <v>457.825</v>
      </c>
      <c r="K198" t="n">
        <v>0.0002</v>
      </c>
      <c r="L198" s="6" t="inlineStr">
        <is>
          <t>SAU identifies shark or ray catch and Table S2 has a pooled Sharks &amp; rays group; extension beyond the listed species is explicit analyst inference.</t>
        </is>
      </c>
    </row>
    <row r="199">
      <c r="A199" t="inlineStr">
        <is>
          <t>Mustelus</t>
        </is>
      </c>
      <c r="B199" t="inlineStr">
        <is>
          <t>Smoothhounds</t>
        </is>
      </c>
      <c r="C199" t="inlineStr">
        <is>
          <t>Large sharks (&gt;=90 cm)</t>
        </is>
      </c>
      <c r="D199" t="inlineStr">
        <is>
          <t>Sharks &amp; rays</t>
        </is>
      </c>
      <c r="E199" s="8" t="inlineStr">
        <is>
          <t>Sharks &amp; rays</t>
        </is>
      </c>
      <c r="F199" t="inlineStr"/>
      <c r="G199" t="inlineStr"/>
      <c r="H199" t="inlineStr">
        <is>
          <t>medium</t>
        </is>
      </c>
      <c r="I199" t="inlineStr">
        <is>
          <t>taxonomic_containment</t>
        </is>
      </c>
      <c r="J199" t="n">
        <v>453.08</v>
      </c>
      <c r="K199" t="n">
        <v>0.0002</v>
      </c>
      <c r="L199" s="6" t="inlineStr">
        <is>
          <t>Table S2 lists members of genus Mustelus in these group(s); genus-level catch is assigned to their documented group union.</t>
        </is>
      </c>
    </row>
    <row r="200">
      <c r="A200" t="inlineStr">
        <is>
          <t>Salmo</t>
        </is>
      </c>
      <c r="B200" t="inlineStr">
        <is>
          <t>Trouts</t>
        </is>
      </c>
      <c r="C200" t="inlineStr">
        <is>
          <t>Large benthopelagics (&gt;=90 cm)</t>
        </is>
      </c>
      <c r="D200" t="inlineStr">
        <is>
          <t>Salmon, smelts, etc</t>
        </is>
      </c>
      <c r="E200" s="9" t="inlineStr">
        <is>
          <t>Unresolved</t>
        </is>
      </c>
      <c r="F200" t="inlineStr"/>
      <c r="G200" t="inlineStr"/>
      <c r="H200" t="inlineStr">
        <is>
          <t>unresolved</t>
        </is>
      </c>
      <c r="I200" t="inlineStr">
        <is>
          <t>none</t>
        </is>
      </c>
      <c r="J200" t="n">
        <v>432.393</v>
      </c>
      <c r="K200" t="n">
        <v>0.0002</v>
      </c>
      <c r="L200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201">
      <c r="A201" t="inlineStr">
        <is>
          <t>Triakidae</t>
        </is>
      </c>
      <c r="B201" t="inlineStr">
        <is>
          <t>Houndsharks</t>
        </is>
      </c>
      <c r="C201" t="inlineStr">
        <is>
          <t>Large sharks (&gt;=90 cm)</t>
        </is>
      </c>
      <c r="D201" t="inlineStr">
        <is>
          <t>Sharks &amp; rays</t>
        </is>
      </c>
      <c r="E201" s="8" t="inlineStr">
        <is>
          <t>Sharks &amp; rays</t>
        </is>
      </c>
      <c r="F201" t="inlineStr"/>
      <c r="G201" t="inlineStr"/>
      <c r="H201" t="inlineStr">
        <is>
          <t>medium</t>
        </is>
      </c>
      <c r="I201" t="inlineStr">
        <is>
          <t>taxonomic_containment</t>
        </is>
      </c>
      <c r="J201" t="n">
        <v>407.054</v>
      </c>
      <c r="K201" t="n">
        <v>0.0002</v>
      </c>
      <c r="L201" s="6" t="inlineStr">
        <is>
          <t>SAU identifies shark or ray catch and Table S2 has a pooled Sharks &amp; rays group; extension beyond the listed species is explicit analyst inference.</t>
        </is>
      </c>
    </row>
    <row r="202">
      <c r="A202" t="inlineStr">
        <is>
          <t>Galeocerdo cuvier</t>
        </is>
      </c>
      <c r="B202" t="inlineStr">
        <is>
          <t>Tiger shark</t>
        </is>
      </c>
      <c r="C202" t="inlineStr">
        <is>
          <t>Large sharks (&gt;=90 cm)</t>
        </is>
      </c>
      <c r="D202" t="inlineStr">
        <is>
          <t>Sharks &amp; rays</t>
        </is>
      </c>
      <c r="E202" s="8" t="inlineStr">
        <is>
          <t>Sharks &amp; rays</t>
        </is>
      </c>
      <c r="F202" t="inlineStr"/>
      <c r="G202" t="inlineStr"/>
      <c r="H202" t="inlineStr">
        <is>
          <t>medium</t>
        </is>
      </c>
      <c r="I202" t="inlineStr">
        <is>
          <t>taxonomic_containment</t>
        </is>
      </c>
      <c r="J202" t="n">
        <v>377.972</v>
      </c>
      <c r="K202" t="n">
        <v>0.0002</v>
      </c>
      <c r="L202" s="6" t="inlineStr">
        <is>
          <t>SAU identifies shark or ray catch and Table S2 has a pooled Sharks &amp; rays group; extension beyond the listed species is explicit analyst inference.</t>
        </is>
      </c>
    </row>
    <row r="203">
      <c r="A203" t="inlineStr">
        <is>
          <t>Pagellus bogaraveo</t>
        </is>
      </c>
      <c r="B203" t="inlineStr">
        <is>
          <t>Blackspot seabream</t>
        </is>
      </c>
      <c r="C203" t="inlineStr">
        <is>
          <t>Medium benthopelagics (30 - 89 cm)</t>
        </is>
      </c>
      <c r="D203" t="inlineStr">
        <is>
          <t>Perch-likes</t>
        </is>
      </c>
      <c r="E203" s="7" t="inlineStr">
        <is>
          <t>Large Dem. fish</t>
        </is>
      </c>
      <c r="F203" t="inlineStr"/>
      <c r="G203" t="inlineStr"/>
      <c r="H203" t="inlineStr">
        <is>
          <t>low</t>
        </is>
      </c>
      <c r="I203" t="inlineStr">
        <is>
          <t>habitat_size_guild</t>
        </is>
      </c>
      <c r="J203" t="n">
        <v>364.766</v>
      </c>
      <c r="K203" t="n">
        <v>0.0002</v>
      </c>
      <c r="L203" s="6" t="inlineStr">
        <is>
          <t>Analyst inference from SAU benthic fish habitat to the residual demersal pool containing gurnards, wolffish, sculpins and rocklings (Table S2); unlisted species and smaller fish make this a weak extension.</t>
        </is>
      </c>
    </row>
    <row r="204">
      <c r="A204" t="inlineStr">
        <is>
          <t>Chimaera monstrosa</t>
        </is>
      </c>
      <c r="B204" t="inlineStr">
        <is>
          <t>Rabbit fish</t>
        </is>
      </c>
      <c r="C204" t="inlineStr">
        <is>
          <t>Large rays (&gt;=90 cm)</t>
        </is>
      </c>
      <c r="D204" t="inlineStr">
        <is>
          <t>Sharks &amp; rays</t>
        </is>
      </c>
      <c r="E204" s="9" t="inlineStr">
        <is>
          <t>Unresolved</t>
        </is>
      </c>
      <c r="F204" t="inlineStr"/>
      <c r="G204" t="inlineStr"/>
      <c r="H204" t="inlineStr">
        <is>
          <t>unresolved</t>
        </is>
      </c>
      <c r="I204" t="inlineStr">
        <is>
          <t>none</t>
        </is>
      </c>
      <c r="J204" t="n">
        <v>345.327</v>
      </c>
      <c r="K204" t="n">
        <v>0.0002</v>
      </c>
      <c r="L204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205">
      <c r="A205" t="inlineStr">
        <is>
          <t>Alepocephalus bairdii</t>
        </is>
      </c>
      <c r="B205" t="inlineStr">
        <is>
          <t>Baird's slickhead</t>
        </is>
      </c>
      <c r="C205" t="inlineStr">
        <is>
          <t>Large bathydemersals (&gt;=90 cm)</t>
        </is>
      </c>
      <c r="D205" t="inlineStr">
        <is>
          <t>Salmon, smelts, etc</t>
        </is>
      </c>
      <c r="E205" s="9" t="inlineStr">
        <is>
          <t>Unresolved</t>
        </is>
      </c>
      <c r="F205" t="inlineStr"/>
      <c r="G205" t="inlineStr"/>
      <c r="H205" t="inlineStr">
        <is>
          <t>unresolved</t>
        </is>
      </c>
      <c r="I205" t="inlineStr">
        <is>
          <t>none</t>
        </is>
      </c>
      <c r="J205" t="n">
        <v>327.536</v>
      </c>
      <c r="K205" t="n">
        <v>0.0002</v>
      </c>
      <c r="L205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206">
      <c r="A206" t="inlineStr">
        <is>
          <t>Leucoraja circularis</t>
        </is>
      </c>
      <c r="B206" t="inlineStr">
        <is>
          <t>Sandy ray</t>
        </is>
      </c>
      <c r="C206" t="inlineStr">
        <is>
          <t>Large rays (&gt;=90 cm)</t>
        </is>
      </c>
      <c r="D206" t="inlineStr">
        <is>
          <t>Sharks &amp; rays</t>
        </is>
      </c>
      <c r="E206" s="5" t="inlineStr">
        <is>
          <t>Sharks &amp; rays</t>
        </is>
      </c>
      <c r="F206" t="inlineStr"/>
      <c r="G206" t="inlineStr"/>
      <c r="H206" t="inlineStr">
        <is>
          <t>high</t>
        </is>
      </c>
      <c r="I206" t="inlineStr">
        <is>
          <t>explicit_member</t>
        </is>
      </c>
      <c r="J206" t="n">
        <v>309.352</v>
      </c>
      <c r="K206" t="n">
        <v>0.0001</v>
      </c>
      <c r="L206" s="6" t="inlineStr">
        <is>
          <t>Table S2 explicitly lists Leucoraja circularis in this model group; source membership overrides the SAU habitat-size class.</t>
        </is>
      </c>
    </row>
    <row r="207">
      <c r="A207" t="inlineStr">
        <is>
          <t>Meganyctiphanes norvegica</t>
        </is>
      </c>
      <c r="B207" t="inlineStr">
        <is>
          <t>Norwegian krill</t>
        </is>
      </c>
      <c r="C207" t="inlineStr">
        <is>
          <t>Krill</t>
        </is>
      </c>
      <c r="D207" t="inlineStr">
        <is>
          <t>Crustaceans</t>
        </is>
      </c>
      <c r="E207" s="8" t="inlineStr">
        <is>
          <t>Large zooplankton</t>
        </is>
      </c>
      <c r="F207" t="inlineStr"/>
      <c r="G207" t="inlineStr"/>
      <c r="H207" t="inlineStr">
        <is>
          <t>medium</t>
        </is>
      </c>
      <c r="I207" t="inlineStr">
        <is>
          <t>habitat_size_guild</t>
        </is>
      </c>
      <c r="J207" t="n">
        <v>289.858</v>
      </c>
      <c r="K207" t="n">
        <v>0.0001</v>
      </c>
      <c r="L207" s="6" t="inlineStr">
        <is>
          <t>SAU identifies krill; the source defines Large zooplankton as zooplankton over 2 mm. Assignment is a size/habitat inference.</t>
        </is>
      </c>
    </row>
    <row r="208">
      <c r="A208" t="inlineStr">
        <is>
          <t>Mya arenaria</t>
        </is>
      </c>
      <c r="B208" t="inlineStr">
        <is>
          <t>Sand gaper</t>
        </is>
      </c>
      <c r="C208" t="inlineStr">
        <is>
          <t>Other demersal invertebrates</t>
        </is>
      </c>
      <c r="D208" t="inlineStr">
        <is>
          <t>Molluscs</t>
        </is>
      </c>
      <c r="E208" s="8" t="inlineStr">
        <is>
          <t>Infauna</t>
        </is>
      </c>
      <c r="F208" t="inlineStr"/>
      <c r="G208" t="inlineStr"/>
      <c r="H208" t="inlineStr">
        <is>
          <t>medium</t>
        </is>
      </c>
      <c r="I208" t="inlineStr">
        <is>
          <t>habitat_size_guild</t>
        </is>
      </c>
      <c r="J208" t="n">
        <v>281.349</v>
      </c>
      <c r="K208" t="n">
        <v>0.0001</v>
      </c>
      <c r="L208" s="6" t="inlineStr">
        <is>
          <t>Analyst inference from burrowing bivalve or polychaete identity: Table S2 Infauna explicitly comprises these organisms. Some named clam categories also occur in Epifauna, so this inferred extension requires review.</t>
        </is>
      </c>
    </row>
    <row r="209">
      <c r="A209" t="inlineStr">
        <is>
          <t>Osteichthyes</t>
        </is>
      </c>
      <c r="B209" t="inlineStr">
        <is>
          <t>Bony fishes</t>
        </is>
      </c>
      <c r="C209" t="inlineStr">
        <is>
          <t>Medium demersals (30 - 89 cm)</t>
        </is>
      </c>
      <c r="D209" t="inlineStr">
        <is>
          <t>Other fishes &amp; inverts</t>
        </is>
      </c>
      <c r="E209" s="7" t="inlineStr">
        <is>
          <t>Flatfishes | Monkfish | Large Dem. fish</t>
        </is>
      </c>
      <c r="F209" t="inlineStr">
        <is>
          <t>0.878 | 0.027 | 0.095</t>
        </is>
      </c>
      <c r="G209" t="inlineStr">
        <is>
          <t>catch_composition</t>
        </is>
      </c>
      <c r="H209" t="inlineStr">
        <is>
          <t>low</t>
        </is>
      </c>
      <c r="I209" t="inlineStr">
        <is>
          <t>composite_split</t>
        </is>
      </c>
      <c r="J209" t="n">
        <v>273.077</v>
      </c>
      <c r="K209" t="n">
        <v>0.0001</v>
      </c>
      <c r="L209" s="6" t="inlineStr">
        <is>
          <t>Analyst inference: SAU medium demersal unidentified catch spans the model's multi-species demersal pools (Table S2). Species-specific commercial stocks are excluded under the coarse-taxon workflow. This broad, unobserved composition is a major uncertainty; fixed weights use identified catch in these pools.</t>
        </is>
      </c>
    </row>
    <row r="210">
      <c r="A210" t="inlineStr">
        <is>
          <t>Octopoda</t>
        </is>
      </c>
      <c r="B210" t="inlineStr">
        <is>
          <t>Octopuses, argonauts</t>
        </is>
      </c>
      <c r="C210" t="inlineStr">
        <is>
          <t>Cephalopods</t>
        </is>
      </c>
      <c r="D210" t="inlineStr">
        <is>
          <t>Other fishes &amp; inverts</t>
        </is>
      </c>
      <c r="E210" s="5" t="inlineStr">
        <is>
          <t>Squid &amp; Octopus</t>
        </is>
      </c>
      <c r="F210" t="inlineStr"/>
      <c r="G210" t="inlineStr"/>
      <c r="H210" t="inlineStr">
        <is>
          <t>high</t>
        </is>
      </c>
      <c r="I210" t="inlineStr">
        <is>
          <t>taxonomic_containment</t>
        </is>
      </c>
      <c r="J210" t="n">
        <v>249.089</v>
      </c>
      <c r="K210" t="n">
        <v>0.0001</v>
      </c>
      <c r="L210" s="6" t="inlineStr">
        <is>
          <t>SAU identifies this catch as cephalopods; Table S2 pools squid, octopus and cuttlefish in Squid &amp; Octopus.</t>
        </is>
      </c>
    </row>
    <row r="211">
      <c r="A211" t="inlineStr">
        <is>
          <t>Scorpaeniformes</t>
        </is>
      </c>
      <c r="B211" t="inlineStr">
        <is>
          <t>Scorpionfishes, flatheads</t>
        </is>
      </c>
      <c r="C211" t="inlineStr">
        <is>
          <t>Medium demersals (30 - 89 cm)</t>
        </is>
      </c>
      <c r="D211" t="inlineStr">
        <is>
          <t>Scorpionfishes</t>
        </is>
      </c>
      <c r="E211" s="5" t="inlineStr">
        <is>
          <t>Large Dem. fish</t>
        </is>
      </c>
      <c r="F211" t="inlineStr"/>
      <c r="G211" t="inlineStr"/>
      <c r="H211" t="inlineStr">
        <is>
          <t>high</t>
        </is>
      </c>
      <c r="I211" t="inlineStr">
        <is>
          <t>taxonomic_containment</t>
        </is>
      </c>
      <c r="J211" t="n">
        <v>241.619</v>
      </c>
      <c r="K211" t="n">
        <v>0.0001</v>
      </c>
      <c r="L211" s="6" t="inlineStr">
        <is>
          <t>Taxonomic containment of the Table S2 named members determines the candidate group(s). Fixed composition weights are used when multiple documented groups occur.</t>
        </is>
      </c>
    </row>
    <row r="212">
      <c r="A212" t="inlineStr">
        <is>
          <t>Sander lucioperca</t>
        </is>
      </c>
      <c r="B212" t="inlineStr">
        <is>
          <t>Pike-perch</t>
        </is>
      </c>
      <c r="C212" t="inlineStr">
        <is>
          <t>Large pelagics (&gt;=90 cm)</t>
        </is>
      </c>
      <c r="D212" t="inlineStr">
        <is>
          <t>Perch-likes</t>
        </is>
      </c>
      <c r="E212" s="9" t="inlineStr">
        <is>
          <t>Unresolved</t>
        </is>
      </c>
      <c r="F212" t="inlineStr"/>
      <c r="G212" t="inlineStr"/>
      <c r="H212" t="inlineStr">
        <is>
          <t>unresolved</t>
        </is>
      </c>
      <c r="I212" t="inlineStr">
        <is>
          <t>none</t>
        </is>
      </c>
      <c r="J212" t="n">
        <v>241.147</v>
      </c>
      <c r="K212" t="n">
        <v>0.0001</v>
      </c>
      <c r="L212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213">
      <c r="A213" t="inlineStr">
        <is>
          <t>Chelon ramada</t>
        </is>
      </c>
      <c r="B213" t="inlineStr">
        <is>
          <t>Thinlip grey mullet</t>
        </is>
      </c>
      <c r="C213" t="inlineStr">
        <is>
          <t>Medium pelagics (30 - 89 cm)</t>
        </is>
      </c>
      <c r="D213" t="inlineStr">
        <is>
          <t>Perch-likes</t>
        </is>
      </c>
      <c r="E213" s="7" t="inlineStr">
        <is>
          <t>Large Pelagics</t>
        </is>
      </c>
      <c r="F213" t="inlineStr"/>
      <c r="G213" t="inlineStr"/>
      <c r="H213" t="inlineStr">
        <is>
          <t>low</t>
        </is>
      </c>
      <c r="I213" t="inlineStr">
        <is>
          <t>habitat_size_guild</t>
        </is>
      </c>
      <c r="J213" t="n">
        <v>237.467</v>
      </c>
      <c r="K213" t="n">
        <v>0.0001</v>
      </c>
      <c r="L213" s="6" t="inlineStr">
        <is>
          <t>Analyst inference from SAU pelagic size/habitat class to the Table S2 pelagic pools; this species is not listed and the model lacks its own dedicated compartment.</t>
        </is>
      </c>
    </row>
    <row r="214">
      <c r="A214" t="inlineStr">
        <is>
          <t>Chimaeriformes</t>
        </is>
      </c>
      <c r="B214" t="inlineStr">
        <is>
          <t>Chimaeras</t>
        </is>
      </c>
      <c r="C214" t="inlineStr">
        <is>
          <t>Large rays (&gt;=90 cm)</t>
        </is>
      </c>
      <c r="D214" t="inlineStr">
        <is>
          <t>Sharks &amp; rays</t>
        </is>
      </c>
      <c r="E214" s="9" t="inlineStr">
        <is>
          <t>Unresolved</t>
        </is>
      </c>
      <c r="F214" t="inlineStr"/>
      <c r="G214" t="inlineStr"/>
      <c r="H214" t="inlineStr">
        <is>
          <t>unresolved</t>
        </is>
      </c>
      <c r="I214" t="inlineStr">
        <is>
          <t>none</t>
        </is>
      </c>
      <c r="J214" t="n">
        <v>211.876</v>
      </c>
      <c r="K214" t="n">
        <v>0.0001</v>
      </c>
      <c r="L214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215">
      <c r="A215" t="inlineStr">
        <is>
          <t>Mullus</t>
        </is>
      </c>
      <c r="B215" t="inlineStr">
        <is>
          <t>Atlantic goatfishes</t>
        </is>
      </c>
      <c r="C215" t="inlineStr">
        <is>
          <t>Medium demersals (30 - 89 cm)</t>
        </is>
      </c>
      <c r="D215" t="inlineStr">
        <is>
          <t>Perch-likes</t>
        </is>
      </c>
      <c r="E215" s="8" t="inlineStr">
        <is>
          <t>Large Dem. fish</t>
        </is>
      </c>
      <c r="F215" t="inlineStr"/>
      <c r="G215" t="inlineStr"/>
      <c r="H215" t="inlineStr">
        <is>
          <t>medium</t>
        </is>
      </c>
      <c r="I215" t="inlineStr">
        <is>
          <t>taxonomic_containment</t>
        </is>
      </c>
      <c r="J215" t="n">
        <v>183.676</v>
      </c>
      <c r="K215" t="n">
        <v>0.0001</v>
      </c>
      <c r="L215" s="6" t="inlineStr">
        <is>
          <t>Table S2 lists members of genus Mullus in these group(s); genus-level catch is assigned to their documented group union.</t>
        </is>
      </c>
    </row>
    <row r="216">
      <c r="A216" t="inlineStr">
        <is>
          <t>Octopus</t>
        </is>
      </c>
      <c r="B216" t="inlineStr">
        <is>
          <t>Octopuses, pikas</t>
        </is>
      </c>
      <c r="C216" t="inlineStr">
        <is>
          <t>Cephalopods</t>
        </is>
      </c>
      <c r="D216" t="inlineStr">
        <is>
          <t>Other fishes &amp; inverts</t>
        </is>
      </c>
      <c r="E216" s="8" t="inlineStr">
        <is>
          <t>Squid &amp; Octopus</t>
        </is>
      </c>
      <c r="F216" t="inlineStr"/>
      <c r="G216" t="inlineStr"/>
      <c r="H216" t="inlineStr">
        <is>
          <t>medium</t>
        </is>
      </c>
      <c r="I216" t="inlineStr">
        <is>
          <t>taxonomic_containment</t>
        </is>
      </c>
      <c r="J216" t="n">
        <v>160.142</v>
      </c>
      <c r="K216" t="n">
        <v>0.0001</v>
      </c>
      <c r="L216" s="6" t="inlineStr">
        <is>
          <t>Table S2 lists members of genus Octopus in these group(s); genus-level catch is assigned to their documented group union.</t>
        </is>
      </c>
    </row>
    <row r="217">
      <c r="A217" t="inlineStr">
        <is>
          <t>Notoscopelus</t>
        </is>
      </c>
      <c r="B217" t="inlineStr">
        <is>
          <t>Lampfish</t>
        </is>
      </c>
      <c r="C217" t="inlineStr">
        <is>
          <t>Small pelagics (&lt;30 cm)</t>
        </is>
      </c>
      <c r="D217" t="inlineStr">
        <is>
          <t>Other fishes &amp; inverts</t>
        </is>
      </c>
      <c r="E217" s="7" t="inlineStr">
        <is>
          <t>Small pelagics</t>
        </is>
      </c>
      <c r="F217" t="inlineStr"/>
      <c r="G217" t="inlineStr"/>
      <c r="H217" t="inlineStr">
        <is>
          <t>low</t>
        </is>
      </c>
      <c r="I217" t="inlineStr">
        <is>
          <t>habitat_size_guild</t>
        </is>
      </c>
      <c r="J217" t="n">
        <v>159.245</v>
      </c>
      <c r="K217" t="n">
        <v>0.0001</v>
      </c>
      <c r="L217" s="6" t="inlineStr">
        <is>
          <t>Analyst inference from SAU pelagic size/habitat class to the Table S2 pelagic pools; this species is not listed and the model lacks its own dedicated compartment.</t>
        </is>
      </c>
    </row>
    <row r="218">
      <c r="A218" t="inlineStr">
        <is>
          <t>Spisula</t>
        </is>
      </c>
      <c r="B218" t="inlineStr">
        <is>
          <t>Surf clams</t>
        </is>
      </c>
      <c r="C218" t="inlineStr">
        <is>
          <t>Other demersal invertebrates</t>
        </is>
      </c>
      <c r="D218" t="inlineStr">
        <is>
          <t>Molluscs</t>
        </is>
      </c>
      <c r="E218" s="8" t="inlineStr">
        <is>
          <t>Infauna</t>
        </is>
      </c>
      <c r="F218" t="inlineStr"/>
      <c r="G218" t="inlineStr"/>
      <c r="H218" t="inlineStr">
        <is>
          <t>medium</t>
        </is>
      </c>
      <c r="I218" t="inlineStr">
        <is>
          <t>habitat_size_guild</t>
        </is>
      </c>
      <c r="J218" t="n">
        <v>139.122</v>
      </c>
      <c r="K218" t="n">
        <v>0.0001</v>
      </c>
      <c r="L218" s="6" t="inlineStr">
        <is>
          <t>Analyst inference from burrowing bivalve or polychaete identity: Table S2 Infauna explicitly comprises these organisms. Some named clam categories also occur in Epifauna, so this inferred extension requires review.</t>
        </is>
      </c>
    </row>
    <row r="219">
      <c r="A219" t="inlineStr">
        <is>
          <t>Beryx</t>
        </is>
      </c>
      <c r="B219" t="inlineStr">
        <is>
          <t>Alfonsinos</t>
        </is>
      </c>
      <c r="C219" t="inlineStr">
        <is>
          <t>Medium benthopelagics (30 - 89 cm)</t>
        </is>
      </c>
      <c r="D219" t="inlineStr">
        <is>
          <t>Other fishes &amp; inverts</t>
        </is>
      </c>
      <c r="E219" s="9" t="inlineStr">
        <is>
          <t>Unresolved</t>
        </is>
      </c>
      <c r="F219" t="inlineStr"/>
      <c r="G219" t="inlineStr"/>
      <c r="H219" t="inlineStr">
        <is>
          <t>unresolved</t>
        </is>
      </c>
      <c r="I219" t="inlineStr">
        <is>
          <t>none</t>
        </is>
      </c>
      <c r="J219" t="n">
        <v>133.333</v>
      </c>
      <c r="K219" t="n">
        <v>0.0001</v>
      </c>
      <c r="L219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220">
      <c r="A220" t="inlineStr">
        <is>
          <t>Chelon labrosus</t>
        </is>
      </c>
      <c r="B220" t="inlineStr">
        <is>
          <t>Thicklip grey mullet</t>
        </is>
      </c>
      <c r="C220" t="inlineStr">
        <is>
          <t>Medium demersals (30 - 89 cm)</t>
        </is>
      </c>
      <c r="D220" t="inlineStr">
        <is>
          <t>Perch-likes</t>
        </is>
      </c>
      <c r="E220" s="7" t="inlineStr">
        <is>
          <t>Large Dem. fish</t>
        </is>
      </c>
      <c r="F220" t="inlineStr"/>
      <c r="G220" t="inlineStr"/>
      <c r="H220" t="inlineStr">
        <is>
          <t>low</t>
        </is>
      </c>
      <c r="I220" t="inlineStr">
        <is>
          <t>habitat_size_guild</t>
        </is>
      </c>
      <c r="J220" t="n">
        <v>127.132</v>
      </c>
      <c r="K220" t="n">
        <v>0.0001</v>
      </c>
      <c r="L220" s="6" t="inlineStr">
        <is>
          <t>Analyst inference from SAU benthic fish habitat to the residual demersal pool containing gurnards, wolffish, sculpins and rocklings (Table S2); unlisted species and smaller fish make this a weak extension.</t>
        </is>
      </c>
    </row>
    <row r="221">
      <c r="A221" t="inlineStr">
        <is>
          <t>Myxine glutinosa</t>
        </is>
      </c>
      <c r="B221" t="inlineStr">
        <is>
          <t>Hagfish</t>
        </is>
      </c>
      <c r="C221" t="inlineStr">
        <is>
          <t>Medium demersals (30 - 89 cm)</t>
        </is>
      </c>
      <c r="D221" t="inlineStr">
        <is>
          <t>Other fishes &amp; inverts</t>
        </is>
      </c>
      <c r="E221" s="7" t="inlineStr">
        <is>
          <t>Large Dem. fish</t>
        </is>
      </c>
      <c r="F221" t="inlineStr"/>
      <c r="G221" t="inlineStr"/>
      <c r="H221" t="inlineStr">
        <is>
          <t>low</t>
        </is>
      </c>
      <c r="I221" t="inlineStr">
        <is>
          <t>habitat_size_guild</t>
        </is>
      </c>
      <c r="J221" t="n">
        <v>111.615</v>
      </c>
      <c r="K221" t="n">
        <v>0.0001</v>
      </c>
      <c r="L221" s="6" t="inlineStr">
        <is>
          <t>Analyst inference from SAU benthic fish habitat to the residual demersal pool containing gurnards, wolffish, sculpins and rocklings (Table S2); unlisted species and smaller fish make this a weak extension.</t>
        </is>
      </c>
    </row>
    <row r="222">
      <c r="A222" t="inlineStr">
        <is>
          <t>Dipturus oxyrinchus</t>
        </is>
      </c>
      <c r="B222" t="inlineStr">
        <is>
          <t>Longnosed skate</t>
        </is>
      </c>
      <c r="C222" t="inlineStr">
        <is>
          <t>Large rays (&gt;=90 cm)</t>
        </is>
      </c>
      <c r="D222" t="inlineStr">
        <is>
          <t>Sharks &amp; rays</t>
        </is>
      </c>
      <c r="E222" s="8" t="inlineStr">
        <is>
          <t>Sharks &amp; rays</t>
        </is>
      </c>
      <c r="F222" t="inlineStr"/>
      <c r="G222" t="inlineStr"/>
      <c r="H222" t="inlineStr">
        <is>
          <t>medium</t>
        </is>
      </c>
      <c r="I222" t="inlineStr">
        <is>
          <t>taxonomic_containment</t>
        </is>
      </c>
      <c r="J222" t="n">
        <v>108.18</v>
      </c>
      <c r="K222" t="n">
        <v>0.0001</v>
      </c>
      <c r="L222" s="6" t="inlineStr">
        <is>
          <t>SAU identifies shark or ray catch and Table S2 has a pooled Sharks &amp; rays group; extension beyond the listed species is explicit analyst inference.</t>
        </is>
      </c>
    </row>
    <row r="223">
      <c r="A223" t="inlineStr">
        <is>
          <t>Centroselachus crepidater</t>
        </is>
      </c>
      <c r="B223" t="inlineStr">
        <is>
          <t>Longnose velvet dogfish</t>
        </is>
      </c>
      <c r="C223" t="inlineStr">
        <is>
          <t>Large sharks (&gt;=90 cm)</t>
        </is>
      </c>
      <c r="D223" t="inlineStr">
        <is>
          <t>Sharks &amp; rays</t>
        </is>
      </c>
      <c r="E223" s="8" t="inlineStr">
        <is>
          <t>Sharks &amp; rays</t>
        </is>
      </c>
      <c r="F223" t="inlineStr"/>
      <c r="G223" t="inlineStr"/>
      <c r="H223" t="inlineStr">
        <is>
          <t>medium</t>
        </is>
      </c>
      <c r="I223" t="inlineStr">
        <is>
          <t>taxonomic_containment</t>
        </is>
      </c>
      <c r="J223" t="n">
        <v>100.875</v>
      </c>
      <c r="K223" t="n">
        <v>0</v>
      </c>
      <c r="L223" s="6" t="inlineStr">
        <is>
          <t>SAU identifies shark or ray catch and Table S2 has a pooled Sharks &amp; rays group; extension beyond the listed species is explicit analyst inference.</t>
        </is>
      </c>
    </row>
    <row r="224">
      <c r="A224" t="inlineStr">
        <is>
          <t>Miscellaneous diadromous fishes</t>
        </is>
      </c>
      <c r="B224" t="inlineStr">
        <is>
          <t>Diadromous fishes nei</t>
        </is>
      </c>
      <c r="C224" t="inlineStr">
        <is>
          <t>Large demersals (&gt;=90 cm)</t>
        </is>
      </c>
      <c r="D224" t="inlineStr">
        <is>
          <t>Other fishes &amp; inverts</t>
        </is>
      </c>
      <c r="E224" s="9" t="inlineStr">
        <is>
          <t>Unresolved</t>
        </is>
      </c>
      <c r="F224" t="inlineStr"/>
      <c r="G224" t="inlineStr"/>
      <c r="H224" t="inlineStr">
        <is>
          <t>unresolved</t>
        </is>
      </c>
      <c r="I224" t="inlineStr">
        <is>
          <t>none</t>
        </is>
      </c>
      <c r="J224" t="n">
        <v>96.17700000000001</v>
      </c>
      <c r="K224" t="n">
        <v>0</v>
      </c>
      <c r="L224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225">
      <c r="A225" t="inlineStr">
        <is>
          <t>Dipturus nidarosiensis</t>
        </is>
      </c>
      <c r="B225" t="inlineStr">
        <is>
          <t>Norwegian skate</t>
        </is>
      </c>
      <c r="C225" t="inlineStr">
        <is>
          <t>Large rays (&gt;=90 cm)</t>
        </is>
      </c>
      <c r="D225" t="inlineStr">
        <is>
          <t>Sharks &amp; rays</t>
        </is>
      </c>
      <c r="E225" s="8" t="inlineStr">
        <is>
          <t>Sharks &amp; rays</t>
        </is>
      </c>
      <c r="F225" t="inlineStr"/>
      <c r="G225" t="inlineStr"/>
      <c r="H225" t="inlineStr">
        <is>
          <t>medium</t>
        </is>
      </c>
      <c r="I225" t="inlineStr">
        <is>
          <t>taxonomic_containment</t>
        </is>
      </c>
      <c r="J225" t="n">
        <v>95.05500000000001</v>
      </c>
      <c r="K225" t="n">
        <v>0</v>
      </c>
      <c r="L225" s="6" t="inlineStr">
        <is>
          <t>SAU identifies shark or ray catch and Table S2 has a pooled Sharks &amp; rays group; extension beyond the listed species is explicit analyst inference.</t>
        </is>
      </c>
    </row>
    <row r="226">
      <c r="A226" t="inlineStr">
        <is>
          <t>Scyliorhinidae</t>
        </is>
      </c>
      <c r="B226" t="inlineStr">
        <is>
          <t>Cat/swellsharks</t>
        </is>
      </c>
      <c r="C226" t="inlineStr">
        <is>
          <t>Large sharks (&gt;=90 cm)</t>
        </is>
      </c>
      <c r="D226" t="inlineStr">
        <is>
          <t>Sharks &amp; rays</t>
        </is>
      </c>
      <c r="E226" s="8" t="inlineStr">
        <is>
          <t>Sharks &amp; rays</t>
        </is>
      </c>
      <c r="F226" t="inlineStr"/>
      <c r="G226" t="inlineStr"/>
      <c r="H226" t="inlineStr">
        <is>
          <t>medium</t>
        </is>
      </c>
      <c r="I226" t="inlineStr">
        <is>
          <t>taxonomic_containment</t>
        </is>
      </c>
      <c r="J226" t="n">
        <v>87.39</v>
      </c>
      <c r="K226" t="n">
        <v>0</v>
      </c>
      <c r="L226" s="6" t="inlineStr">
        <is>
          <t>SAU identifies shark or ray catch and Table S2 has a pooled Sharks &amp; rays group; extension beyond the listed species is explicit analyst inference.</t>
        </is>
      </c>
    </row>
    <row r="227">
      <c r="A227" t="inlineStr">
        <is>
          <t>Salmonidae</t>
        </is>
      </c>
      <c r="B227" t="inlineStr">
        <is>
          <t>Salmonids</t>
        </is>
      </c>
      <c r="C227" t="inlineStr">
        <is>
          <t>Large benthopelagics (&gt;=90 cm)</t>
        </is>
      </c>
      <c r="D227" t="inlineStr">
        <is>
          <t>Salmon, smelts, etc</t>
        </is>
      </c>
      <c r="E227" s="9" t="inlineStr">
        <is>
          <t>Unresolved</t>
        </is>
      </c>
      <c r="F227" t="inlineStr"/>
      <c r="G227" t="inlineStr"/>
      <c r="H227" t="inlineStr">
        <is>
          <t>unresolved</t>
        </is>
      </c>
      <c r="I227" t="inlineStr">
        <is>
          <t>none</t>
        </is>
      </c>
      <c r="J227" t="n">
        <v>86.852</v>
      </c>
      <c r="K227" t="n">
        <v>0</v>
      </c>
      <c r="L227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228">
      <c r="A228" t="inlineStr">
        <is>
          <t>Scyliorhinus stellaris</t>
        </is>
      </c>
      <c r="B228" t="inlineStr">
        <is>
          <t>Nursehound</t>
        </is>
      </c>
      <c r="C228" t="inlineStr">
        <is>
          <t>Large sharks (&gt;=90 cm)</t>
        </is>
      </c>
      <c r="D228" t="inlineStr">
        <is>
          <t>Sharks &amp; rays</t>
        </is>
      </c>
      <c r="E228" s="8" t="inlineStr">
        <is>
          <t>Sharks &amp; rays</t>
        </is>
      </c>
      <c r="F228" t="inlineStr"/>
      <c r="G228" t="inlineStr"/>
      <c r="H228" t="inlineStr">
        <is>
          <t>medium</t>
        </is>
      </c>
      <c r="I228" t="inlineStr">
        <is>
          <t>taxonomic_containment</t>
        </is>
      </c>
      <c r="J228" t="n">
        <v>84.23699999999999</v>
      </c>
      <c r="K228" t="n">
        <v>0</v>
      </c>
      <c r="L228" s="6" t="inlineStr">
        <is>
          <t>SAU identifies shark or ray catch and Table S2 has a pooled Sharks &amp; rays group; extension beyond the listed species is explicit analyst inference.</t>
        </is>
      </c>
    </row>
    <row r="229">
      <c r="A229" t="inlineStr">
        <is>
          <t>Thunnus</t>
        </is>
      </c>
      <c r="B229" t="inlineStr">
        <is>
          <t>Tunas</t>
        </is>
      </c>
      <c r="C229" t="inlineStr">
        <is>
          <t>Large pelagics (&gt;=90 cm)</t>
        </is>
      </c>
      <c r="D229" t="inlineStr">
        <is>
          <t>Tuna &amp; billfishes</t>
        </is>
      </c>
      <c r="E229" s="9" t="inlineStr">
        <is>
          <t>Unresolved</t>
        </is>
      </c>
      <c r="F229" t="inlineStr"/>
      <c r="G229" t="inlineStr"/>
      <c r="H229" t="inlineStr">
        <is>
          <t>unresolved</t>
        </is>
      </c>
      <c r="I229" t="inlineStr">
        <is>
          <t>none</t>
        </is>
      </c>
      <c r="J229" t="n">
        <v>79.723</v>
      </c>
      <c r="K229" t="n">
        <v>0</v>
      </c>
      <c r="L229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230">
      <c r="A230" t="inlineStr">
        <is>
          <t>Isurus</t>
        </is>
      </c>
      <c r="B230" t="inlineStr">
        <is>
          <t>Mako sharks</t>
        </is>
      </c>
      <c r="C230" t="inlineStr">
        <is>
          <t>Large sharks (&gt;=90 cm)</t>
        </is>
      </c>
      <c r="D230" t="inlineStr">
        <is>
          <t>Sharks &amp; rays</t>
        </is>
      </c>
      <c r="E230" s="8" t="inlineStr">
        <is>
          <t>Sharks &amp; rays</t>
        </is>
      </c>
      <c r="F230" t="inlineStr"/>
      <c r="G230" t="inlineStr"/>
      <c r="H230" t="inlineStr">
        <is>
          <t>medium</t>
        </is>
      </c>
      <c r="I230" t="inlineStr">
        <is>
          <t>taxonomic_containment</t>
        </is>
      </c>
      <c r="J230" t="n">
        <v>77.199</v>
      </c>
      <c r="K230" t="n">
        <v>0</v>
      </c>
      <c r="L230" s="6" t="inlineStr">
        <is>
          <t>SAU identifies shark or ray catch and Table S2 has a pooled Sharks &amp; rays group; extension beyond the listed species is explicit analyst inference.</t>
        </is>
      </c>
    </row>
    <row r="231">
      <c r="A231" t="inlineStr">
        <is>
          <t>Cyprinidae</t>
        </is>
      </c>
      <c r="B231" t="inlineStr">
        <is>
          <t>Carps, barbels, other cyprinids</t>
        </is>
      </c>
      <c r="C231" t="inlineStr">
        <is>
          <t>Medium demersals (30 - 89 cm)</t>
        </is>
      </c>
      <c r="D231" t="inlineStr">
        <is>
          <t>Other fishes &amp; inverts</t>
        </is>
      </c>
      <c r="E231" s="9" t="inlineStr">
        <is>
          <t>Unresolved</t>
        </is>
      </c>
      <c r="F231" t="inlineStr"/>
      <c r="G231" t="inlineStr"/>
      <c r="H231" t="inlineStr">
        <is>
          <t>unresolved</t>
        </is>
      </c>
      <c r="I231" t="inlineStr">
        <is>
          <t>none</t>
        </is>
      </c>
      <c r="J231" t="n">
        <v>73.473</v>
      </c>
      <c r="K231" t="n">
        <v>0</v>
      </c>
      <c r="L231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232">
      <c r="A232" t="inlineStr">
        <is>
          <t>Euthynnus alletteratus</t>
        </is>
      </c>
      <c r="B232" t="inlineStr">
        <is>
          <t xml:space="preserve">Little tunny </t>
        </is>
      </c>
      <c r="C232" t="inlineStr">
        <is>
          <t>Large pelagics (&gt;=90 cm)</t>
        </is>
      </c>
      <c r="D232" t="inlineStr">
        <is>
          <t>Tuna &amp; billfishes</t>
        </is>
      </c>
      <c r="E232" s="9" t="inlineStr">
        <is>
          <t>Unresolved</t>
        </is>
      </c>
      <c r="F232" t="inlineStr"/>
      <c r="G232" t="inlineStr"/>
      <c r="H232" t="inlineStr">
        <is>
          <t>unresolved</t>
        </is>
      </c>
      <c r="I232" t="inlineStr">
        <is>
          <t>none</t>
        </is>
      </c>
      <c r="J232" t="n">
        <v>71.874</v>
      </c>
      <c r="K232" t="n">
        <v>0</v>
      </c>
      <c r="L232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233">
      <c r="A233" t="inlineStr">
        <is>
          <t>Caproidae</t>
        </is>
      </c>
      <c r="B233" t="inlineStr">
        <is>
          <t>Boarfishes</t>
        </is>
      </c>
      <c r="C233" t="inlineStr">
        <is>
          <t>Small bathydemersals (&lt;30 cm)</t>
        </is>
      </c>
      <c r="D233" t="inlineStr">
        <is>
          <t>Perch-likes</t>
        </is>
      </c>
      <c r="E233" s="5" t="inlineStr">
        <is>
          <t>Large Dem. fish</t>
        </is>
      </c>
      <c r="F233" t="inlineStr"/>
      <c r="G233" t="inlineStr"/>
      <c r="H233" t="inlineStr">
        <is>
          <t>high</t>
        </is>
      </c>
      <c r="I233" t="inlineStr">
        <is>
          <t>taxonomic_containment</t>
        </is>
      </c>
      <c r="J233" t="n">
        <v>63.632</v>
      </c>
      <c r="K233" t="n">
        <v>0</v>
      </c>
      <c r="L233" s="6" t="inlineStr">
        <is>
          <t>Taxonomic containment of the Table S2 named members determines the candidate group(s). Fixed composition weights are used when multiple documented groups occur.</t>
        </is>
      </c>
    </row>
    <row r="234">
      <c r="A234" t="inlineStr">
        <is>
          <t>Alosa</t>
        </is>
      </c>
      <c r="B234" t="inlineStr">
        <is>
          <t>Shads</t>
        </is>
      </c>
      <c r="C234" t="inlineStr">
        <is>
          <t>Medium pelagics (30 - 89 cm)</t>
        </is>
      </c>
      <c r="D234" t="inlineStr">
        <is>
          <t>Herring-likes</t>
        </is>
      </c>
      <c r="E234" s="7" t="inlineStr">
        <is>
          <t>Large Pelagics</t>
        </is>
      </c>
      <c r="F234" t="inlineStr"/>
      <c r="G234" t="inlineStr"/>
      <c r="H234" t="inlineStr">
        <is>
          <t>low</t>
        </is>
      </c>
      <c r="I234" t="inlineStr">
        <is>
          <t>habitat_size_guild</t>
        </is>
      </c>
      <c r="J234" t="n">
        <v>61.33</v>
      </c>
      <c r="K234" t="n">
        <v>0</v>
      </c>
      <c r="L234" s="6" t="inlineStr">
        <is>
          <t>Analyst inference from SAU pelagic size/habitat class to the Table S2 pelagic pools; this species is not listed and the model lacks its own dedicated compartment.</t>
        </is>
      </c>
    </row>
    <row r="235">
      <c r="A235" t="inlineStr">
        <is>
          <t>Mora moro</t>
        </is>
      </c>
      <c r="B235" t="inlineStr">
        <is>
          <t>Common mora</t>
        </is>
      </c>
      <c r="C235" t="inlineStr">
        <is>
          <t>Medium bathypelagics (30 - 89 cm)</t>
        </is>
      </c>
      <c r="D235" t="inlineStr">
        <is>
          <t>Cod-likes</t>
        </is>
      </c>
      <c r="E235" s="9" t="inlineStr">
        <is>
          <t>Unresolved</t>
        </is>
      </c>
      <c r="F235" t="inlineStr"/>
      <c r="G235" t="inlineStr"/>
      <c r="H235" t="inlineStr">
        <is>
          <t>unresolved</t>
        </is>
      </c>
      <c r="I235" t="inlineStr">
        <is>
          <t>none</t>
        </is>
      </c>
      <c r="J235" t="n">
        <v>61.02</v>
      </c>
      <c r="K235" t="n">
        <v>0</v>
      </c>
      <c r="L235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236">
      <c r="A236" t="inlineStr">
        <is>
          <t>Cepola macrophthalma</t>
        </is>
      </c>
      <c r="B236" t="inlineStr">
        <is>
          <t>Red bandfish</t>
        </is>
      </c>
      <c r="C236" t="inlineStr">
        <is>
          <t>Medium demersals (30 - 89 cm)</t>
        </is>
      </c>
      <c r="D236" t="inlineStr">
        <is>
          <t>Perch-likes</t>
        </is>
      </c>
      <c r="E236" s="7" t="inlineStr">
        <is>
          <t>Large Dem. fish</t>
        </is>
      </c>
      <c r="F236" t="inlineStr"/>
      <c r="G236" t="inlineStr"/>
      <c r="H236" t="inlineStr">
        <is>
          <t>low</t>
        </is>
      </c>
      <c r="I236" t="inlineStr">
        <is>
          <t>habitat_size_guild</t>
        </is>
      </c>
      <c r="J236" t="n">
        <v>60.437</v>
      </c>
      <c r="K236" t="n">
        <v>0</v>
      </c>
      <c r="L236" s="6" t="inlineStr">
        <is>
          <t>Analyst inference from SAU benthic fish habitat to the residual demersal pool containing gurnards, wolffish, sculpins and rocklings (Table S2); unlisted species and smaller fish make this a weak extension.</t>
        </is>
      </c>
    </row>
    <row r="237">
      <c r="A237" t="inlineStr">
        <is>
          <t>Serranidae</t>
        </is>
      </c>
      <c r="B237" t="inlineStr">
        <is>
          <t>Basses, groupers, hinds</t>
        </is>
      </c>
      <c r="C237" t="inlineStr">
        <is>
          <t>Medium reef assoc. fish (30 - 89 cm)</t>
        </is>
      </c>
      <c r="D237" t="inlineStr">
        <is>
          <t>Perch-likes</t>
        </is>
      </c>
      <c r="E237" s="7" t="inlineStr">
        <is>
          <t>Large Dem. fish</t>
        </is>
      </c>
      <c r="F237" t="inlineStr"/>
      <c r="G237" t="inlineStr"/>
      <c r="H237" t="inlineStr">
        <is>
          <t>low</t>
        </is>
      </c>
      <c r="I237" t="inlineStr">
        <is>
          <t>habitat_size_guild</t>
        </is>
      </c>
      <c r="J237" t="n">
        <v>58.94</v>
      </c>
      <c r="K237" t="n">
        <v>0</v>
      </c>
      <c r="L237" s="6" t="inlineStr">
        <is>
          <t>Analyst inference from SAU benthic fish habitat to the residual demersal pool containing gurnards, wolffish, sculpins and rocklings (Table S2); unlisted species and smaller fish make this a weak extension.</t>
        </is>
      </c>
    </row>
    <row r="238">
      <c r="A238" t="inlineStr">
        <is>
          <t>Scorpaenidae</t>
        </is>
      </c>
      <c r="B238" t="inlineStr">
        <is>
          <t>Scorpionfishes, rockfishes</t>
        </is>
      </c>
      <c r="C238" t="inlineStr">
        <is>
          <t>Large reef assoc. fish (&gt;=90 cm)</t>
        </is>
      </c>
      <c r="D238" t="inlineStr">
        <is>
          <t>Scorpionfishes</t>
        </is>
      </c>
      <c r="E238" s="5" t="inlineStr">
        <is>
          <t>Large Dem. fish</t>
        </is>
      </c>
      <c r="F238" t="inlineStr"/>
      <c r="G238" t="inlineStr"/>
      <c r="H238" t="inlineStr">
        <is>
          <t>high</t>
        </is>
      </c>
      <c r="I238" t="inlineStr">
        <is>
          <t>taxonomic_containment</t>
        </is>
      </c>
      <c r="J238" t="n">
        <v>56.017</v>
      </c>
      <c r="K238" t="n">
        <v>0</v>
      </c>
      <c r="L238" s="6" t="inlineStr">
        <is>
          <t>Taxonomic containment of the Table S2 named members determines the candidate group(s). Fixed composition weights are used when multiple documented groups occur.</t>
        </is>
      </c>
    </row>
    <row r="239">
      <c r="A239" t="inlineStr">
        <is>
          <t>Labrus bergylta</t>
        </is>
      </c>
      <c r="B239" t="inlineStr">
        <is>
          <t>Ballan wrasse</t>
        </is>
      </c>
      <c r="C239" t="inlineStr">
        <is>
          <t>Medium reef assoc. fish (30 - 89 cm)</t>
        </is>
      </c>
      <c r="D239" t="inlineStr">
        <is>
          <t>Perch-likes</t>
        </is>
      </c>
      <c r="E239" s="7" t="inlineStr">
        <is>
          <t>Large Dem. fish</t>
        </is>
      </c>
      <c r="F239" t="inlineStr"/>
      <c r="G239" t="inlineStr"/>
      <c r="H239" t="inlineStr">
        <is>
          <t>low</t>
        </is>
      </c>
      <c r="I239" t="inlineStr">
        <is>
          <t>habitat_size_guild</t>
        </is>
      </c>
      <c r="J239" t="n">
        <v>55.273</v>
      </c>
      <c r="K239" t="n">
        <v>0</v>
      </c>
      <c r="L239" s="6" t="inlineStr">
        <is>
          <t>Analyst inference from SAU benthic fish habitat to the residual demersal pool containing gurnards, wolffish, sculpins and rocklings (Table S2); unlisted species and smaller fish make this a weak extension.</t>
        </is>
      </c>
    </row>
    <row r="240">
      <c r="A240" t="inlineStr">
        <is>
          <t>Echinus esculentus</t>
        </is>
      </c>
      <c r="B240" t="inlineStr">
        <is>
          <t>European edible sea urchin</t>
        </is>
      </c>
      <c r="C240" t="inlineStr">
        <is>
          <t>Other demersal invertebrates</t>
        </is>
      </c>
      <c r="D240" t="inlineStr">
        <is>
          <t>Other fishes &amp; inverts</t>
        </is>
      </c>
      <c r="E240" s="7" t="inlineStr">
        <is>
          <t>Epifauna</t>
        </is>
      </c>
      <c r="F240" t="inlineStr"/>
      <c r="G240" t="inlineStr"/>
      <c r="H240" t="inlineStr">
        <is>
          <t>low</t>
        </is>
      </c>
      <c r="I240" t="inlineStr">
        <is>
          <t>habitat_size_guild</t>
        </is>
      </c>
      <c r="J240" t="n">
        <v>54.674</v>
      </c>
      <c r="K240" t="n">
        <v>0</v>
      </c>
      <c r="L240" s="6" t="inlineStr">
        <is>
          <t>Analyst inference: benthic epifaunal catch is represented by the Epifauna compartment name; Table S2 does not list this organism, so its detailed trophic placement remains weakly supported.</t>
        </is>
      </c>
    </row>
    <row r="241">
      <c r="A241" t="inlineStr">
        <is>
          <t>Epigonus telescopus</t>
        </is>
      </c>
      <c r="B241" t="inlineStr">
        <is>
          <t>Black cardinal fish</t>
        </is>
      </c>
      <c r="C241" t="inlineStr">
        <is>
          <t>Medium bathydemersals (30 - 89 cm)</t>
        </is>
      </c>
      <c r="D241" t="inlineStr">
        <is>
          <t>Perch-likes</t>
        </is>
      </c>
      <c r="E241" s="9" t="inlineStr">
        <is>
          <t>Unresolved</t>
        </is>
      </c>
      <c r="F241" t="inlineStr"/>
      <c r="G241" t="inlineStr"/>
      <c r="H241" t="inlineStr">
        <is>
          <t>unresolved</t>
        </is>
      </c>
      <c r="I241" t="inlineStr">
        <is>
          <t>none</t>
        </is>
      </c>
      <c r="J241" t="n">
        <v>53.368</v>
      </c>
      <c r="K241" t="n">
        <v>0</v>
      </c>
      <c r="L241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242">
      <c r="A242" t="inlineStr">
        <is>
          <t>Trachinus</t>
        </is>
      </c>
      <c r="B242" t="inlineStr">
        <is>
          <t>Weevers</t>
        </is>
      </c>
      <c r="C242" t="inlineStr">
        <is>
          <t>Medium demersals (30 - 89 cm)</t>
        </is>
      </c>
      <c r="D242" t="inlineStr">
        <is>
          <t>Perch-likes</t>
        </is>
      </c>
      <c r="E242" s="7" t="inlineStr">
        <is>
          <t>Large Dem. fish</t>
        </is>
      </c>
      <c r="F242" t="inlineStr"/>
      <c r="G242" t="inlineStr"/>
      <c r="H242" t="inlineStr">
        <is>
          <t>low</t>
        </is>
      </c>
      <c r="I242" t="inlineStr">
        <is>
          <t>habitat_size_guild</t>
        </is>
      </c>
      <c r="J242" t="n">
        <v>50.883</v>
      </c>
      <c r="K242" t="n">
        <v>0</v>
      </c>
      <c r="L242" s="6" t="inlineStr">
        <is>
          <t>Analyst inference from SAU benthic fish habitat to the residual demersal pool containing gurnards, wolffish, sculpins and rocklings (Table S2); unlisted species and smaller fish make this a weak extension.</t>
        </is>
      </c>
    </row>
    <row r="243">
      <c r="A243" t="inlineStr">
        <is>
          <t>Boops boops</t>
        </is>
      </c>
      <c r="B243" t="inlineStr">
        <is>
          <t>Bogue</t>
        </is>
      </c>
      <c r="C243" t="inlineStr">
        <is>
          <t>Medium demersals (30 - 89 cm)</t>
        </is>
      </c>
      <c r="D243" t="inlineStr">
        <is>
          <t>Perch-likes</t>
        </is>
      </c>
      <c r="E243" s="7" t="inlineStr">
        <is>
          <t>Large Dem. fish</t>
        </is>
      </c>
      <c r="F243" t="inlineStr"/>
      <c r="G243" t="inlineStr"/>
      <c r="H243" t="inlineStr">
        <is>
          <t>low</t>
        </is>
      </c>
      <c r="I243" t="inlineStr">
        <is>
          <t>habitat_size_guild</t>
        </is>
      </c>
      <c r="J243" t="n">
        <v>47.711</v>
      </c>
      <c r="K243" t="n">
        <v>0</v>
      </c>
      <c r="L243" s="6" t="inlineStr">
        <is>
          <t>Analyst inference from SAU benthic fish habitat to the residual demersal pool containing gurnards, wolffish, sculpins and rocklings (Table S2); unlisted species and smaller fish make this a weak extension.</t>
        </is>
      </c>
    </row>
    <row r="244">
      <c r="A244" t="inlineStr">
        <is>
          <t>Pandalidae</t>
        </is>
      </c>
      <c r="B244" t="inlineStr">
        <is>
          <t>Northern shrimps</t>
        </is>
      </c>
      <c r="C244" t="inlineStr">
        <is>
          <t>Shrimps</t>
        </is>
      </c>
      <c r="D244" t="inlineStr">
        <is>
          <t>Crustaceans</t>
        </is>
      </c>
      <c r="E244" s="5" t="inlineStr">
        <is>
          <t>Crustacea</t>
        </is>
      </c>
      <c r="F244" t="inlineStr"/>
      <c r="G244" t="inlineStr"/>
      <c r="H244" t="inlineStr">
        <is>
          <t>high</t>
        </is>
      </c>
      <c r="I244" t="inlineStr">
        <is>
          <t>taxonomic_containment</t>
        </is>
      </c>
      <c r="J244" t="n">
        <v>47.445</v>
      </c>
      <c r="K244" t="n">
        <v>0</v>
      </c>
      <c r="L244" s="6" t="inlineStr">
        <is>
          <t>SAU identifies shrimp or lobster/crab catch; Table S2 Crustacea includes shrimp, lobster and crab taxa without a finer model split.</t>
        </is>
      </c>
    </row>
    <row r="245">
      <c r="A245" t="inlineStr">
        <is>
          <t>Symphodus melops</t>
        </is>
      </c>
      <c r="B245" t="inlineStr">
        <is>
          <t>Corkwing wrasse</t>
        </is>
      </c>
      <c r="C245" t="inlineStr">
        <is>
          <t>Small reef assoc. fish (&lt;30 cm)</t>
        </is>
      </c>
      <c r="D245" t="inlineStr">
        <is>
          <t>Perch-likes</t>
        </is>
      </c>
      <c r="E245" s="7" t="inlineStr">
        <is>
          <t>Large Dem. fish</t>
        </is>
      </c>
      <c r="F245" t="inlineStr"/>
      <c r="G245" t="inlineStr"/>
      <c r="H245" t="inlineStr">
        <is>
          <t>low</t>
        </is>
      </c>
      <c r="I245" t="inlineStr">
        <is>
          <t>habitat_size_guild</t>
        </is>
      </c>
      <c r="J245" t="n">
        <v>46.955</v>
      </c>
      <c r="K245" t="n">
        <v>0</v>
      </c>
      <c r="L245" s="6" t="inlineStr">
        <is>
          <t>Analyst inference from SAU benthic fish habitat to the residual demersal pool containing gurnards, wolffish, sculpins and rocklings (Table S2); unlisted species and smaller fish make this a weak extension.</t>
        </is>
      </c>
    </row>
    <row r="246">
      <c r="A246" t="inlineStr">
        <is>
          <t>Solea</t>
        </is>
      </c>
      <c r="B246" t="inlineStr">
        <is>
          <t>Soles</t>
        </is>
      </c>
      <c r="C246" t="inlineStr">
        <is>
          <t>Small to medium flatfishes (&lt;90 cm)</t>
        </is>
      </c>
      <c r="D246" t="inlineStr">
        <is>
          <t>Flatfishes</t>
        </is>
      </c>
      <c r="E246" s="8" t="inlineStr">
        <is>
          <t>Flatfishes</t>
        </is>
      </c>
      <c r="F246" t="inlineStr"/>
      <c r="G246" t="inlineStr"/>
      <c r="H246" t="inlineStr">
        <is>
          <t>medium</t>
        </is>
      </c>
      <c r="I246" t="inlineStr">
        <is>
          <t>taxonomic_containment</t>
        </is>
      </c>
      <c r="J246" t="n">
        <v>46.786</v>
      </c>
      <c r="K246" t="n">
        <v>0</v>
      </c>
      <c r="L246" s="6" t="inlineStr">
        <is>
          <t>Table S2 lists members of genus Solea in these group(s); genus-level catch is assigned to their documented group union.</t>
        </is>
      </c>
    </row>
    <row r="247">
      <c r="A247" t="inlineStr">
        <is>
          <t>Mustelus asterias</t>
        </is>
      </c>
      <c r="B247" t="inlineStr">
        <is>
          <t>Starry smooth-hound</t>
        </is>
      </c>
      <c r="C247" t="inlineStr">
        <is>
          <t>Large sharks (&gt;=90 cm)</t>
        </is>
      </c>
      <c r="D247" t="inlineStr">
        <is>
          <t>Sharks &amp; rays</t>
        </is>
      </c>
      <c r="E247" s="5" t="inlineStr">
        <is>
          <t>Sharks &amp; rays</t>
        </is>
      </c>
      <c r="F247" t="inlineStr"/>
      <c r="G247" t="inlineStr"/>
      <c r="H247" t="inlineStr">
        <is>
          <t>high</t>
        </is>
      </c>
      <c r="I247" t="inlineStr">
        <is>
          <t>explicit_member</t>
        </is>
      </c>
      <c r="J247" t="n">
        <v>46.519</v>
      </c>
      <c r="K247" t="n">
        <v>0</v>
      </c>
      <c r="L247" s="6" t="inlineStr">
        <is>
          <t>Table S2 explicitly lists Mustelus asterias in this model group; source membership overrides the SAU habitat-size class.</t>
        </is>
      </c>
    </row>
    <row r="248">
      <c r="A248" t="inlineStr">
        <is>
          <t>Acipenseridae</t>
        </is>
      </c>
      <c r="B248" t="inlineStr">
        <is>
          <t>Sturgeons</t>
        </is>
      </c>
      <c r="C248" t="inlineStr">
        <is>
          <t>Large demersals (&gt;=90 cm)</t>
        </is>
      </c>
      <c r="D248" t="inlineStr">
        <is>
          <t>Other fishes &amp; inverts</t>
        </is>
      </c>
      <c r="E248" s="9" t="inlineStr">
        <is>
          <t>Unresolved</t>
        </is>
      </c>
      <c r="F248" t="inlineStr"/>
      <c r="G248" t="inlineStr"/>
      <c r="H248" t="inlineStr">
        <is>
          <t>unresolved</t>
        </is>
      </c>
      <c r="I248" t="inlineStr">
        <is>
          <t>none</t>
        </is>
      </c>
      <c r="J248" t="n">
        <v>46.504</v>
      </c>
      <c r="K248" t="n">
        <v>0</v>
      </c>
      <c r="L248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249">
      <c r="A249" t="inlineStr">
        <is>
          <t>Alosa fallax</t>
        </is>
      </c>
      <c r="B249" t="inlineStr">
        <is>
          <t>Twaite shad</t>
        </is>
      </c>
      <c r="C249" t="inlineStr">
        <is>
          <t>Medium pelagics (30 - 89 cm)</t>
        </is>
      </c>
      <c r="D249" t="inlineStr">
        <is>
          <t>Herring-likes</t>
        </is>
      </c>
      <c r="E249" s="7" t="inlineStr">
        <is>
          <t>Large Pelagics</t>
        </is>
      </c>
      <c r="F249" t="inlineStr"/>
      <c r="G249" t="inlineStr"/>
      <c r="H249" t="inlineStr">
        <is>
          <t>low</t>
        </is>
      </c>
      <c r="I249" t="inlineStr">
        <is>
          <t>habitat_size_guild</t>
        </is>
      </c>
      <c r="J249" t="n">
        <v>40.464</v>
      </c>
      <c r="K249" t="n">
        <v>0</v>
      </c>
      <c r="L249" s="6" t="inlineStr">
        <is>
          <t>Analyst inference from SAU pelagic size/habitat class to the Table S2 pelagic pools; this species is not listed and the model lacks its own dedicated compartment.</t>
        </is>
      </c>
    </row>
    <row r="250">
      <c r="A250" t="inlineStr">
        <is>
          <t>Ciliata mustela</t>
        </is>
      </c>
      <c r="B250" t="inlineStr">
        <is>
          <t>Fivebeard rockling</t>
        </is>
      </c>
      <c r="C250" t="inlineStr">
        <is>
          <t>Small demersals (&lt;30 cm)</t>
        </is>
      </c>
      <c r="D250" t="inlineStr">
        <is>
          <t>Cod-likes</t>
        </is>
      </c>
      <c r="E250" s="7" t="inlineStr">
        <is>
          <t>Large Dem. fish</t>
        </is>
      </c>
      <c r="F250" t="inlineStr"/>
      <c r="G250" t="inlineStr"/>
      <c r="H250" t="inlineStr">
        <is>
          <t>low</t>
        </is>
      </c>
      <c r="I250" t="inlineStr">
        <is>
          <t>habitat_size_guild</t>
        </is>
      </c>
      <c r="J250" t="n">
        <v>37.023</v>
      </c>
      <c r="K250" t="n">
        <v>0</v>
      </c>
      <c r="L250" s="6" t="inlineStr">
        <is>
          <t>Analyst inference from SAU benthic fish habitat to the residual demersal pool containing gurnards, wolffish, sculpins and rocklings (Table S2); unlisted species and smaller fish make this a weak extension.</t>
        </is>
      </c>
    </row>
    <row r="251">
      <c r="A251" t="inlineStr">
        <is>
          <t>Gadiculus thori</t>
        </is>
      </c>
      <c r="B251" t="inlineStr">
        <is>
          <t>Silvery cod</t>
        </is>
      </c>
      <c r="C251" t="inlineStr">
        <is>
          <t>Small pelagics (&lt;30 cm)</t>
        </is>
      </c>
      <c r="D251" t="inlineStr">
        <is>
          <t>Cod-likes</t>
        </is>
      </c>
      <c r="E251" s="7" t="inlineStr">
        <is>
          <t>Small pelagics</t>
        </is>
      </c>
      <c r="F251" t="inlineStr"/>
      <c r="G251" t="inlineStr"/>
      <c r="H251" t="inlineStr">
        <is>
          <t>low</t>
        </is>
      </c>
      <c r="I251" t="inlineStr">
        <is>
          <t>habitat_size_guild</t>
        </is>
      </c>
      <c r="J251" t="n">
        <v>36.066</v>
      </c>
      <c r="K251" t="n">
        <v>0</v>
      </c>
      <c r="L251" s="6" t="inlineStr">
        <is>
          <t>Analyst inference from SAU pelagic size/habitat class to the Table S2 pelagic pools; this species is not listed and the model lacks its own dedicated compartment.</t>
        </is>
      </c>
    </row>
    <row r="252">
      <c r="A252" t="inlineStr">
        <is>
          <t>Octopus vulgaris</t>
        </is>
      </c>
      <c r="B252" t="inlineStr">
        <is>
          <t>Common octopus</t>
        </is>
      </c>
      <c r="C252" t="inlineStr">
        <is>
          <t>Cephalopods</t>
        </is>
      </c>
      <c r="D252" t="inlineStr">
        <is>
          <t>Other fishes &amp; inverts</t>
        </is>
      </c>
      <c r="E252" s="5" t="inlineStr">
        <is>
          <t>Squid &amp; Octopus</t>
        </is>
      </c>
      <c r="F252" t="inlineStr"/>
      <c r="G252" t="inlineStr"/>
      <c r="H252" t="inlineStr">
        <is>
          <t>high</t>
        </is>
      </c>
      <c r="I252" t="inlineStr">
        <is>
          <t>explicit_member</t>
        </is>
      </c>
      <c r="J252" t="n">
        <v>33.381</v>
      </c>
      <c r="K252" t="n">
        <v>0</v>
      </c>
      <c r="L252" s="6" t="inlineStr">
        <is>
          <t>Table S2 explicitly lists Octopus vulgaris in this model group; source membership overrides the SAU habitat-size class.</t>
        </is>
      </c>
    </row>
    <row r="253">
      <c r="A253" t="inlineStr">
        <is>
          <t>Isurus oxyrinchus</t>
        </is>
      </c>
      <c r="B253" t="inlineStr">
        <is>
          <t>Shortfin mako</t>
        </is>
      </c>
      <c r="C253" t="inlineStr">
        <is>
          <t>Large sharks (&gt;=90 cm)</t>
        </is>
      </c>
      <c r="D253" t="inlineStr">
        <is>
          <t>Sharks &amp; rays</t>
        </is>
      </c>
      <c r="E253" s="8" t="inlineStr">
        <is>
          <t>Sharks &amp; rays</t>
        </is>
      </c>
      <c r="F253" t="inlineStr"/>
      <c r="G253" t="inlineStr"/>
      <c r="H253" t="inlineStr">
        <is>
          <t>medium</t>
        </is>
      </c>
      <c r="I253" t="inlineStr">
        <is>
          <t>taxonomic_containment</t>
        </is>
      </c>
      <c r="J253" t="n">
        <v>32.994</v>
      </c>
      <c r="K253" t="n">
        <v>0</v>
      </c>
      <c r="L253" s="6" t="inlineStr">
        <is>
          <t>SAU identifies shark or ray catch and Table S2 has a pooled Sharks &amp; rays group; extension beyond the listed species is explicit analyst inference.</t>
        </is>
      </c>
    </row>
    <row r="254">
      <c r="A254" t="inlineStr">
        <is>
          <t>Ctenolabrus rupestris</t>
        </is>
      </c>
      <c r="B254" t="inlineStr">
        <is>
          <t>Goldsinny-wrasse</t>
        </is>
      </c>
      <c r="C254" t="inlineStr">
        <is>
          <t>Small reef assoc. fish (&lt;30 cm)</t>
        </is>
      </c>
      <c r="D254" t="inlineStr">
        <is>
          <t>Perch-likes</t>
        </is>
      </c>
      <c r="E254" s="7" t="inlineStr">
        <is>
          <t>Large Dem. fish</t>
        </is>
      </c>
      <c r="F254" t="inlineStr"/>
      <c r="G254" t="inlineStr"/>
      <c r="H254" t="inlineStr">
        <is>
          <t>low</t>
        </is>
      </c>
      <c r="I254" t="inlineStr">
        <is>
          <t>habitat_size_guild</t>
        </is>
      </c>
      <c r="J254" t="n">
        <v>28.822</v>
      </c>
      <c r="K254" t="n">
        <v>0</v>
      </c>
      <c r="L254" s="6" t="inlineStr">
        <is>
          <t>Analyst inference from SAU benthic fish habitat to the residual demersal pool containing gurnards, wolffish, sculpins and rocklings (Table S2); unlisted species and smaller fish make this a weak extension.</t>
        </is>
      </c>
    </row>
    <row r="255">
      <c r="A255" t="inlineStr">
        <is>
          <t>Atherinidae</t>
        </is>
      </c>
      <c r="B255" t="inlineStr">
        <is>
          <t>Silversides</t>
        </is>
      </c>
      <c r="C255" t="inlineStr">
        <is>
          <t>Small pelagics (&lt;30 cm)</t>
        </is>
      </c>
      <c r="D255" t="inlineStr">
        <is>
          <t>Other fishes &amp; inverts</t>
        </is>
      </c>
      <c r="E255" s="7" t="inlineStr">
        <is>
          <t>Small pelagics</t>
        </is>
      </c>
      <c r="F255" t="inlineStr"/>
      <c r="G255" t="inlineStr"/>
      <c r="H255" t="inlineStr">
        <is>
          <t>low</t>
        </is>
      </c>
      <c r="I255" t="inlineStr">
        <is>
          <t>habitat_size_guild</t>
        </is>
      </c>
      <c r="J255" t="n">
        <v>27.21</v>
      </c>
      <c r="K255" t="n">
        <v>0</v>
      </c>
      <c r="L255" s="6" t="inlineStr">
        <is>
          <t>Analyst inference from SAU pelagic size/habitat class to the Table S2 pelagic pools; this species is not listed and the model lacks its own dedicated compartment.</t>
        </is>
      </c>
    </row>
    <row r="256">
      <c r="A256" t="inlineStr">
        <is>
          <t>Microchirus</t>
        </is>
      </c>
      <c r="B256" t="inlineStr">
        <is>
          <t>Soles</t>
        </is>
      </c>
      <c r="C256" t="inlineStr">
        <is>
          <t>Small to medium flatfishes (&lt;90 cm)</t>
        </is>
      </c>
      <c r="D256" t="inlineStr">
        <is>
          <t>Flatfishes</t>
        </is>
      </c>
      <c r="E256" s="8" t="inlineStr">
        <is>
          <t>Flatfishes</t>
        </is>
      </c>
      <c r="F256" t="inlineStr"/>
      <c r="G256" t="inlineStr"/>
      <c r="H256" t="inlineStr">
        <is>
          <t>medium</t>
        </is>
      </c>
      <c r="I256" t="inlineStr">
        <is>
          <t>taxonomic_containment</t>
        </is>
      </c>
      <c r="J256" t="n">
        <v>23.956</v>
      </c>
      <c r="K256" t="n">
        <v>0</v>
      </c>
      <c r="L256" s="6" t="inlineStr">
        <is>
          <t>SAU identifies a flatfish taxon; the model has a broad Flatfishes pool, with separately reported turbot retained in Turbot. This taxon is not explicitly named in Table S2.</t>
        </is>
      </c>
    </row>
    <row r="257">
      <c r="A257" t="inlineStr">
        <is>
          <t>Trachipterus</t>
        </is>
      </c>
      <c r="B257" t="inlineStr">
        <is>
          <t>Ribbonfishes</t>
        </is>
      </c>
      <c r="C257" t="inlineStr">
        <is>
          <t>Large bathypelagics (&gt;=90 cm)</t>
        </is>
      </c>
      <c r="D257" t="inlineStr">
        <is>
          <t>Other fishes &amp; inverts</t>
        </is>
      </c>
      <c r="E257" s="9" t="inlineStr">
        <is>
          <t>Unresolved</t>
        </is>
      </c>
      <c r="F257" t="inlineStr"/>
      <c r="G257" t="inlineStr"/>
      <c r="H257" t="inlineStr">
        <is>
          <t>unresolved</t>
        </is>
      </c>
      <c r="I257" t="inlineStr">
        <is>
          <t>none</t>
        </is>
      </c>
      <c r="J257" t="n">
        <v>23.107</v>
      </c>
      <c r="K257" t="n">
        <v>0</v>
      </c>
      <c r="L257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258">
      <c r="A258" t="inlineStr">
        <is>
          <t>Todarodes sagittatus</t>
        </is>
      </c>
      <c r="B258" t="inlineStr">
        <is>
          <t>European flying squid</t>
        </is>
      </c>
      <c r="C258" t="inlineStr">
        <is>
          <t>Cephalopods</t>
        </is>
      </c>
      <c r="D258" t="inlineStr">
        <is>
          <t>Other fishes &amp; inverts</t>
        </is>
      </c>
      <c r="E258" s="5" t="inlineStr">
        <is>
          <t>Squid &amp; Octopus</t>
        </is>
      </c>
      <c r="F258" t="inlineStr"/>
      <c r="G258" t="inlineStr"/>
      <c r="H258" t="inlineStr">
        <is>
          <t>high</t>
        </is>
      </c>
      <c r="I258" t="inlineStr">
        <is>
          <t>explicit_member</t>
        </is>
      </c>
      <c r="J258" t="n">
        <v>20.358</v>
      </c>
      <c r="K258" t="n">
        <v>0</v>
      </c>
      <c r="L258" s="6" t="inlineStr">
        <is>
          <t>Table S2 explicitly lists Todarodes sagittatus in this model group; source membership overrides the SAU habitat-size class.</t>
        </is>
      </c>
    </row>
    <row r="259">
      <c r="A259" t="inlineStr">
        <is>
          <t>Hydrolagus</t>
        </is>
      </c>
      <c r="B259" t="inlineStr">
        <is>
          <t>Ghostsharks</t>
        </is>
      </c>
      <c r="C259" t="inlineStr">
        <is>
          <t>Small to medium rays (&lt;90 cm)</t>
        </is>
      </c>
      <c r="D259" t="inlineStr">
        <is>
          <t>Sharks &amp; rays</t>
        </is>
      </c>
      <c r="E259" s="9" t="inlineStr">
        <is>
          <t>Unresolved</t>
        </is>
      </c>
      <c r="F259" t="inlineStr"/>
      <c r="G259" t="inlineStr"/>
      <c r="H259" t="inlineStr">
        <is>
          <t>unresolved</t>
        </is>
      </c>
      <c r="I259" t="inlineStr">
        <is>
          <t>none</t>
        </is>
      </c>
      <c r="J259" t="n">
        <v>19.238</v>
      </c>
      <c r="K259" t="n">
        <v>0</v>
      </c>
      <c r="L259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260">
      <c r="A260" t="inlineStr">
        <is>
          <t>Glycymeris glycymeris</t>
        </is>
      </c>
      <c r="B260" t="inlineStr">
        <is>
          <t>Dog cockle</t>
        </is>
      </c>
      <c r="C260" t="inlineStr">
        <is>
          <t>Other demersal invertebrates</t>
        </is>
      </c>
      <c r="D260" t="inlineStr">
        <is>
          <t>Molluscs</t>
        </is>
      </c>
      <c r="E260" s="8" t="inlineStr">
        <is>
          <t>Infauna</t>
        </is>
      </c>
      <c r="F260" t="inlineStr"/>
      <c r="G260" t="inlineStr"/>
      <c r="H260" t="inlineStr">
        <is>
          <t>medium</t>
        </is>
      </c>
      <c r="I260" t="inlineStr">
        <is>
          <t>habitat_size_guild</t>
        </is>
      </c>
      <c r="J260" t="n">
        <v>19.181</v>
      </c>
      <c r="K260" t="n">
        <v>0</v>
      </c>
      <c r="L260" s="6" t="inlineStr">
        <is>
          <t>Analyst inference from burrowing bivalve or polychaete identity: Table S2 Infauna explicitly comprises these organisms. Some named clam categories also occur in Epifauna, so this inferred extension requires review.</t>
        </is>
      </c>
    </row>
    <row r="261">
      <c r="A261" t="inlineStr">
        <is>
          <t>Thunnus albacares</t>
        </is>
      </c>
      <c r="B261" t="inlineStr">
        <is>
          <t>Yellowfin tuna</t>
        </is>
      </c>
      <c r="C261" t="inlineStr">
        <is>
          <t>Large pelagics (&gt;=90 cm)</t>
        </is>
      </c>
      <c r="D261" t="inlineStr">
        <is>
          <t>Tuna &amp; billfishes</t>
        </is>
      </c>
      <c r="E261" s="9" t="inlineStr">
        <is>
          <t>Unresolved</t>
        </is>
      </c>
      <c r="F261" t="inlineStr"/>
      <c r="G261" t="inlineStr"/>
      <c r="H261" t="inlineStr">
        <is>
          <t>unresolved</t>
        </is>
      </c>
      <c r="I261" t="inlineStr">
        <is>
          <t>none</t>
        </is>
      </c>
      <c r="J261" t="n">
        <v>18.556</v>
      </c>
      <c r="K261" t="n">
        <v>0</v>
      </c>
      <c r="L261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262">
      <c r="A262" t="inlineStr">
        <is>
          <t>Cyprinus carpio</t>
        </is>
      </c>
      <c r="B262" t="inlineStr">
        <is>
          <t>Common carp</t>
        </is>
      </c>
      <c r="C262" t="inlineStr">
        <is>
          <t>Large benthopelagics (&gt;=90 cm)</t>
        </is>
      </c>
      <c r="D262" t="inlineStr">
        <is>
          <t>Other fishes &amp; inverts</t>
        </is>
      </c>
      <c r="E262" s="9" t="inlineStr">
        <is>
          <t>Unresolved</t>
        </is>
      </c>
      <c r="F262" t="inlineStr"/>
      <c r="G262" t="inlineStr"/>
      <c r="H262" t="inlineStr">
        <is>
          <t>unresolved</t>
        </is>
      </c>
      <c r="I262" t="inlineStr">
        <is>
          <t>none</t>
        </is>
      </c>
      <c r="J262" t="n">
        <v>18.144</v>
      </c>
      <c r="K262" t="n">
        <v>0</v>
      </c>
      <c r="L262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263">
      <c r="A263" t="inlineStr">
        <is>
          <t>Peristediidae</t>
        </is>
      </c>
      <c r="B263" t="inlineStr">
        <is>
          <t>Armored searobins, gurnards</t>
        </is>
      </c>
      <c r="C263" t="inlineStr">
        <is>
          <t>Medium bathydemersals (30 - 89 cm)</t>
        </is>
      </c>
      <c r="D263" t="inlineStr">
        <is>
          <t>Scorpionfishes</t>
        </is>
      </c>
      <c r="E263" s="7" t="inlineStr">
        <is>
          <t>Large Dem. fish</t>
        </is>
      </c>
      <c r="F263" t="inlineStr"/>
      <c r="G263" t="inlineStr"/>
      <c r="H263" t="inlineStr">
        <is>
          <t>low</t>
        </is>
      </c>
      <c r="I263" t="inlineStr">
        <is>
          <t>habitat_size_guild</t>
        </is>
      </c>
      <c r="J263" t="n">
        <v>17.518</v>
      </c>
      <c r="K263" t="n">
        <v>0</v>
      </c>
      <c r="L263" s="6" t="inlineStr">
        <is>
          <t>Analyst inference from SAU benthic fish habitat to the residual demersal pool containing gurnards, wolffish, sculpins and rocklings (Table S2); unlisted species and smaller fish make this a weak extension.</t>
        </is>
      </c>
    </row>
    <row r="264">
      <c r="A264" t="inlineStr">
        <is>
          <t>Mercenaria mercenaria</t>
        </is>
      </c>
      <c r="B264" t="inlineStr">
        <is>
          <t>Northern quahog</t>
        </is>
      </c>
      <c r="C264" t="inlineStr">
        <is>
          <t>Other demersal invertebrates</t>
        </is>
      </c>
      <c r="D264" t="inlineStr">
        <is>
          <t>Molluscs</t>
        </is>
      </c>
      <c r="E264" s="8" t="inlineStr">
        <is>
          <t>Infauna</t>
        </is>
      </c>
      <c r="F264" t="inlineStr"/>
      <c r="G264" t="inlineStr"/>
      <c r="H264" t="inlineStr">
        <is>
          <t>medium</t>
        </is>
      </c>
      <c r="I264" t="inlineStr">
        <is>
          <t>habitat_size_guild</t>
        </is>
      </c>
      <c r="J264" t="n">
        <v>16.843</v>
      </c>
      <c r="K264" t="n">
        <v>0</v>
      </c>
      <c r="L264" s="6" t="inlineStr">
        <is>
          <t>Analyst inference from burrowing bivalve or polychaete identity: Table S2 Infauna explicitly comprises these organisms. Some named clam categories also occur in Epifauna, so this inferred extension requires review.</t>
        </is>
      </c>
    </row>
    <row r="265">
      <c r="A265" t="inlineStr">
        <is>
          <t>Scorpaena</t>
        </is>
      </c>
      <c r="B265" t="inlineStr">
        <is>
          <t>Scorpionfishes</t>
        </is>
      </c>
      <c r="C265" t="inlineStr">
        <is>
          <t>Large reef assoc. fish (&gt;=90 cm)</t>
        </is>
      </c>
      <c r="D265" t="inlineStr">
        <is>
          <t>Scorpionfishes</t>
        </is>
      </c>
      <c r="E265" s="7" t="inlineStr">
        <is>
          <t>Large Dem. fish</t>
        </is>
      </c>
      <c r="F265" t="inlineStr"/>
      <c r="G265" t="inlineStr"/>
      <c r="H265" t="inlineStr">
        <is>
          <t>low</t>
        </is>
      </c>
      <c r="I265" t="inlineStr">
        <is>
          <t>habitat_size_guild</t>
        </is>
      </c>
      <c r="J265" t="n">
        <v>14.919</v>
      </c>
      <c r="K265" t="n">
        <v>0</v>
      </c>
      <c r="L265" s="6" t="inlineStr">
        <is>
          <t>Analyst inference from SAU benthic fish habitat to the residual demersal pool containing gurnards, wolffish, sculpins and rocklings (Table S2); unlisted species and smaller fish make this a weak extension.</t>
        </is>
      </c>
    </row>
    <row r="266">
      <c r="A266" t="inlineStr">
        <is>
          <t>Anomura</t>
        </is>
      </c>
      <c r="B266" t="inlineStr">
        <is>
          <t>Craylets, squat lobsters, hermits</t>
        </is>
      </c>
      <c r="C266" t="inlineStr">
        <is>
          <t>Lobsters, crabs</t>
        </is>
      </c>
      <c r="D266" t="inlineStr">
        <is>
          <t>Crustaceans</t>
        </is>
      </c>
      <c r="E266" s="5" t="inlineStr">
        <is>
          <t>Crustacea</t>
        </is>
      </c>
      <c r="F266" t="inlineStr"/>
      <c r="G266" t="inlineStr"/>
      <c r="H266" t="inlineStr">
        <is>
          <t>high</t>
        </is>
      </c>
      <c r="I266" t="inlineStr">
        <is>
          <t>taxonomic_containment</t>
        </is>
      </c>
      <c r="J266" t="n">
        <v>14.847</v>
      </c>
      <c r="K266" t="n">
        <v>0</v>
      </c>
      <c r="L266" s="6" t="inlineStr">
        <is>
          <t>SAU identifies shrimp or lobster/crab catch; Table S2 Crustacea includes shrimp, lobster and crab taxa without a finer model split.</t>
        </is>
      </c>
    </row>
    <row r="267">
      <c r="A267" t="inlineStr">
        <is>
          <t>Lithodidae</t>
        </is>
      </c>
      <c r="B267" t="inlineStr">
        <is>
          <t>Stone/king crabs</t>
        </is>
      </c>
      <c r="C267" t="inlineStr">
        <is>
          <t>Lobsters, crabs</t>
        </is>
      </c>
      <c r="D267" t="inlineStr">
        <is>
          <t>Crustaceans</t>
        </is>
      </c>
      <c r="E267" s="5" t="inlineStr">
        <is>
          <t>Crustacea</t>
        </is>
      </c>
      <c r="F267" t="inlineStr"/>
      <c r="G267" t="inlineStr"/>
      <c r="H267" t="inlineStr">
        <is>
          <t>high</t>
        </is>
      </c>
      <c r="I267" t="inlineStr">
        <is>
          <t>taxonomic_containment</t>
        </is>
      </c>
      <c r="J267" t="n">
        <v>13.788</v>
      </c>
      <c r="K267" t="n">
        <v>0</v>
      </c>
      <c r="L267" s="6" t="inlineStr">
        <is>
          <t>SAU identifies shrimp or lobster/crab catch; Table S2 Crustacea includes shrimp, lobster and crab taxa without a finer model split.</t>
        </is>
      </c>
    </row>
    <row r="268">
      <c r="A268" t="inlineStr">
        <is>
          <t>Dalatias licha</t>
        </is>
      </c>
      <c r="B268" t="inlineStr">
        <is>
          <t>Kitefin shark</t>
        </is>
      </c>
      <c r="C268" t="inlineStr">
        <is>
          <t>Large sharks (&gt;=90 cm)</t>
        </is>
      </c>
      <c r="D268" t="inlineStr">
        <is>
          <t>Sharks &amp; rays</t>
        </is>
      </c>
      <c r="E268" s="8" t="inlineStr">
        <is>
          <t>Sharks &amp; rays</t>
        </is>
      </c>
      <c r="F268" t="inlineStr"/>
      <c r="G268" t="inlineStr"/>
      <c r="H268" t="inlineStr">
        <is>
          <t>medium</t>
        </is>
      </c>
      <c r="I268" t="inlineStr">
        <is>
          <t>taxonomic_containment</t>
        </is>
      </c>
      <c r="J268" t="n">
        <v>12.837</v>
      </c>
      <c r="K268" t="n">
        <v>0</v>
      </c>
      <c r="L268" s="6" t="inlineStr">
        <is>
          <t>SAU identifies shark or ray catch and Table S2 has a pooled Sharks &amp; rays group; extension beyond the listed species is explicit analyst inference.</t>
        </is>
      </c>
    </row>
    <row r="269">
      <c r="A269" t="inlineStr">
        <is>
          <t>Microchirus variegatus</t>
        </is>
      </c>
      <c r="B269" t="inlineStr">
        <is>
          <t>Thickback sole</t>
        </is>
      </c>
      <c r="C269" t="inlineStr">
        <is>
          <t>Small to medium flatfishes (&lt;90 cm)</t>
        </is>
      </c>
      <c r="D269" t="inlineStr">
        <is>
          <t>Flatfishes</t>
        </is>
      </c>
      <c r="E269" s="8" t="inlineStr">
        <is>
          <t>Flatfishes</t>
        </is>
      </c>
      <c r="F269" t="inlineStr"/>
      <c r="G269" t="inlineStr"/>
      <c r="H269" t="inlineStr">
        <is>
          <t>medium</t>
        </is>
      </c>
      <c r="I269" t="inlineStr">
        <is>
          <t>taxonomic_containment</t>
        </is>
      </c>
      <c r="J269" t="n">
        <v>10.803</v>
      </c>
      <c r="K269" t="n">
        <v>0</v>
      </c>
      <c r="L269" s="6" t="inlineStr">
        <is>
          <t>SAU identifies a flatfish taxon; the model has a broad Flatfishes pool, with separately reported turbot retained in Turbot. This taxon is not explicitly named in Table S2.</t>
        </is>
      </c>
    </row>
    <row r="270">
      <c r="A270" t="inlineStr">
        <is>
          <t>Amblyraja hyperborea</t>
        </is>
      </c>
      <c r="B270" t="inlineStr">
        <is>
          <t>Arctic skate</t>
        </is>
      </c>
      <c r="C270" t="inlineStr">
        <is>
          <t>Small to medium rays (&lt;90 cm)</t>
        </is>
      </c>
      <c r="D270" t="inlineStr">
        <is>
          <t>Sharks &amp; rays</t>
        </is>
      </c>
      <c r="E270" s="8" t="inlineStr">
        <is>
          <t>Sharks &amp; rays</t>
        </is>
      </c>
      <c r="F270" t="inlineStr"/>
      <c r="G270" t="inlineStr"/>
      <c r="H270" t="inlineStr">
        <is>
          <t>medium</t>
        </is>
      </c>
      <c r="I270" t="inlineStr">
        <is>
          <t>taxonomic_containment</t>
        </is>
      </c>
      <c r="J270" t="n">
        <v>10.333</v>
      </c>
      <c r="K270" t="n">
        <v>0</v>
      </c>
      <c r="L270" s="6" t="inlineStr">
        <is>
          <t>SAU identifies shark or ray catch and Table S2 has a pooled Sharks &amp; rays group; extension beyond the listed species is explicit analyst inference.</t>
        </is>
      </c>
    </row>
    <row r="271">
      <c r="A271" t="inlineStr">
        <is>
          <t>Centrophorus squamosus</t>
        </is>
      </c>
      <c r="B271" t="inlineStr">
        <is>
          <t>Leafscale gulper shark</t>
        </is>
      </c>
      <c r="C271" t="inlineStr">
        <is>
          <t>Large sharks (&gt;=90 cm)</t>
        </is>
      </c>
      <c r="D271" t="inlineStr">
        <is>
          <t>Sharks &amp; rays</t>
        </is>
      </c>
      <c r="E271" s="8" t="inlineStr">
        <is>
          <t>Sharks &amp; rays</t>
        </is>
      </c>
      <c r="F271" t="inlineStr"/>
      <c r="G271" t="inlineStr"/>
      <c r="H271" t="inlineStr">
        <is>
          <t>medium</t>
        </is>
      </c>
      <c r="I271" t="inlineStr">
        <is>
          <t>taxonomic_containment</t>
        </is>
      </c>
      <c r="J271" t="n">
        <v>10.103</v>
      </c>
      <c r="K271" t="n">
        <v>0</v>
      </c>
      <c r="L271" s="6" t="inlineStr">
        <is>
          <t>SAU identifies shark or ray catch and Table S2 has a pooled Sharks &amp; rays group; extension beyond the listed species is explicit analyst inference.</t>
        </is>
      </c>
    </row>
    <row r="272">
      <c r="A272" t="inlineStr">
        <is>
          <t>Etmopterus spinax</t>
        </is>
      </c>
      <c r="B272" t="inlineStr">
        <is>
          <t>Velvet belly</t>
        </is>
      </c>
      <c r="C272" t="inlineStr">
        <is>
          <t>Small to medium sharks (&lt;90 cm)</t>
        </is>
      </c>
      <c r="D272" t="inlineStr">
        <is>
          <t>Sharks &amp; rays</t>
        </is>
      </c>
      <c r="E272" s="5" t="inlineStr">
        <is>
          <t>Sharks &amp; rays</t>
        </is>
      </c>
      <c r="F272" t="inlineStr"/>
      <c r="G272" t="inlineStr"/>
      <c r="H272" t="inlineStr">
        <is>
          <t>high</t>
        </is>
      </c>
      <c r="I272" t="inlineStr">
        <is>
          <t>explicit_member</t>
        </is>
      </c>
      <c r="J272" t="n">
        <v>10.1</v>
      </c>
      <c r="K272" t="n">
        <v>0</v>
      </c>
      <c r="L272" s="6" t="inlineStr">
        <is>
          <t>Table S2 explicitly lists Etmopterus spinax in this model group; source membership overrides the SAU habitat-size class.</t>
        </is>
      </c>
    </row>
    <row r="273">
      <c r="A273" t="inlineStr">
        <is>
          <t>Lepidopus caudatus</t>
        </is>
      </c>
      <c r="B273" t="inlineStr">
        <is>
          <t>Silver scabbardfish</t>
        </is>
      </c>
      <c r="C273" t="inlineStr">
        <is>
          <t>Large bathydemersals (&gt;=90 cm)</t>
        </is>
      </c>
      <c r="D273" t="inlineStr">
        <is>
          <t>Perch-likes</t>
        </is>
      </c>
      <c r="E273" s="9" t="inlineStr">
        <is>
          <t>Unresolved</t>
        </is>
      </c>
      <c r="F273" t="inlineStr"/>
      <c r="G273" t="inlineStr"/>
      <c r="H273" t="inlineStr">
        <is>
          <t>unresolved</t>
        </is>
      </c>
      <c r="I273" t="inlineStr">
        <is>
          <t>none</t>
        </is>
      </c>
      <c r="J273" t="n">
        <v>9.726000000000001</v>
      </c>
      <c r="K273" t="n">
        <v>0</v>
      </c>
      <c r="L273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274">
      <c r="A274" t="inlineStr">
        <is>
          <t>Decapoda</t>
        </is>
      </c>
      <c r="B274" t="inlineStr">
        <is>
          <t>Crabs, lobsters, shrimps</t>
        </is>
      </c>
      <c r="C274" t="inlineStr">
        <is>
          <t>Lobsters, crabs</t>
        </is>
      </c>
      <c r="D274" t="inlineStr">
        <is>
          <t>Crustaceans</t>
        </is>
      </c>
      <c r="E274" s="5" t="inlineStr">
        <is>
          <t>Crustacea</t>
        </is>
      </c>
      <c r="F274" t="inlineStr"/>
      <c r="G274" t="inlineStr"/>
      <c r="H274" t="inlineStr">
        <is>
          <t>high</t>
        </is>
      </c>
      <c r="I274" t="inlineStr">
        <is>
          <t>taxonomic_containment</t>
        </is>
      </c>
      <c r="J274" t="n">
        <v>9.693</v>
      </c>
      <c r="K274" t="n">
        <v>0</v>
      </c>
      <c r="L274" s="6" t="inlineStr">
        <is>
          <t>SAU identifies shrimp or lobster/crab catch; Table S2 Crustacea includes shrimp, lobster and crab taxa without a finer model split.</t>
        </is>
      </c>
    </row>
    <row r="275">
      <c r="A275" t="inlineStr">
        <is>
          <t>Polyprion americanus</t>
        </is>
      </c>
      <c r="B275" t="inlineStr">
        <is>
          <t>Wreckfish</t>
        </is>
      </c>
      <c r="C275" t="inlineStr">
        <is>
          <t>Large bathydemersals (&gt;=90 cm)</t>
        </is>
      </c>
      <c r="D275" t="inlineStr">
        <is>
          <t>Perch-likes</t>
        </is>
      </c>
      <c r="E275" s="7" t="inlineStr">
        <is>
          <t>Large Dem. fish</t>
        </is>
      </c>
      <c r="F275" t="inlineStr"/>
      <c r="G275" t="inlineStr"/>
      <c r="H275" t="inlineStr">
        <is>
          <t>low</t>
        </is>
      </c>
      <c r="I275" t="inlineStr">
        <is>
          <t>habitat_size_guild</t>
        </is>
      </c>
      <c r="J275" t="n">
        <v>9.595000000000001</v>
      </c>
      <c r="K275" t="n">
        <v>0</v>
      </c>
      <c r="L275" s="6" t="inlineStr">
        <is>
          <t>Analyst inference from SAU benthic fish habitat to the residual demersal pool containing gurnards, wolffish, sculpins and rocklings (Table S2); unlisted species and smaller fish make this a weak extension.</t>
        </is>
      </c>
    </row>
    <row r="276">
      <c r="A276" t="inlineStr">
        <is>
          <t>Maurolicus muelleri</t>
        </is>
      </c>
      <c r="B276" t="inlineStr">
        <is>
          <t>Silvery lightfish</t>
        </is>
      </c>
      <c r="C276" t="inlineStr">
        <is>
          <t>Small bathypelagics (&lt;30 cm)</t>
        </is>
      </c>
      <c r="D276" t="inlineStr">
        <is>
          <t>Other fishes &amp; inverts</t>
        </is>
      </c>
      <c r="E276" s="5" t="inlineStr">
        <is>
          <t>Small pelagics</t>
        </is>
      </c>
      <c r="F276" t="inlineStr"/>
      <c r="G276" t="inlineStr"/>
      <c r="H276" t="inlineStr">
        <is>
          <t>high</t>
        </is>
      </c>
      <c r="I276" t="inlineStr">
        <is>
          <t>explicit_member</t>
        </is>
      </c>
      <c r="J276" t="n">
        <v>9.568</v>
      </c>
      <c r="K276" t="n">
        <v>0</v>
      </c>
      <c r="L276" s="6" t="inlineStr">
        <is>
          <t>Table S2 explicitly lists Maurolicus muelleri in this model group; source membership overrides the SAU habitat-size class.</t>
        </is>
      </c>
    </row>
    <row r="277">
      <c r="A277" t="inlineStr">
        <is>
          <t>Palinurus</t>
        </is>
      </c>
      <c r="B277" t="inlineStr">
        <is>
          <t>Spiny lobsters</t>
        </is>
      </c>
      <c r="C277" t="inlineStr">
        <is>
          <t>Lobsters, crabs</t>
        </is>
      </c>
      <c r="D277" t="inlineStr">
        <is>
          <t>Crustaceans</t>
        </is>
      </c>
      <c r="E277" s="5" t="inlineStr">
        <is>
          <t>Crustacea</t>
        </is>
      </c>
      <c r="F277" t="inlineStr"/>
      <c r="G277" t="inlineStr"/>
      <c r="H277" t="inlineStr">
        <is>
          <t>high</t>
        </is>
      </c>
      <c r="I277" t="inlineStr">
        <is>
          <t>taxonomic_containment</t>
        </is>
      </c>
      <c r="J277" t="n">
        <v>9.390000000000001</v>
      </c>
      <c r="K277" t="n">
        <v>0</v>
      </c>
      <c r="L277" s="6" t="inlineStr">
        <is>
          <t>SAU identifies shrimp or lobster/crab catch; Table S2 Crustacea includes shrimp, lobster and crab taxa without a finer model split.</t>
        </is>
      </c>
    </row>
    <row r="278">
      <c r="A278" t="inlineStr">
        <is>
          <t>Mytilus</t>
        </is>
      </c>
      <c r="B278" t="inlineStr">
        <is>
          <t>Edible sea mussels</t>
        </is>
      </c>
      <c r="C278" t="inlineStr">
        <is>
          <t>Other demersal invertebrates</t>
        </is>
      </c>
      <c r="D278" t="inlineStr">
        <is>
          <t>Molluscs</t>
        </is>
      </c>
      <c r="E278" s="8" t="inlineStr">
        <is>
          <t>Epifauna</t>
        </is>
      </c>
      <c r="F278" t="inlineStr"/>
      <c r="G278" t="inlineStr"/>
      <c r="H278" t="inlineStr">
        <is>
          <t>medium</t>
        </is>
      </c>
      <c r="I278" t="inlineStr">
        <is>
          <t>taxonomic_containment</t>
        </is>
      </c>
      <c r="J278" t="n">
        <v>8.724</v>
      </c>
      <c r="K278" t="n">
        <v>0</v>
      </c>
      <c r="L278" s="6" t="inlineStr">
        <is>
          <t>Table S2 lists members of genus Mytilus in these group(s); genus-level catch is assigned to their documented group union.</t>
        </is>
      </c>
    </row>
    <row r="279">
      <c r="A279" t="inlineStr">
        <is>
          <t>Atherina presbyter</t>
        </is>
      </c>
      <c r="B279" t="inlineStr">
        <is>
          <t>Sand smelt</t>
        </is>
      </c>
      <c r="C279" t="inlineStr">
        <is>
          <t>Small pelagics (&lt;30 cm)</t>
        </is>
      </c>
      <c r="D279" t="inlineStr">
        <is>
          <t>Other fishes &amp; inverts</t>
        </is>
      </c>
      <c r="E279" s="7" t="inlineStr">
        <is>
          <t>Small pelagics</t>
        </is>
      </c>
      <c r="F279" t="inlineStr"/>
      <c r="G279" t="inlineStr"/>
      <c r="H279" t="inlineStr">
        <is>
          <t>low</t>
        </is>
      </c>
      <c r="I279" t="inlineStr">
        <is>
          <t>habitat_size_guild</t>
        </is>
      </c>
      <c r="J279" t="n">
        <v>8.218</v>
      </c>
      <c r="K279" t="n">
        <v>0</v>
      </c>
      <c r="L279" s="6" t="inlineStr">
        <is>
          <t>Analyst inference from SAU pelagic size/habitat class to the Table S2 pelagic pools; this species is not listed and the model lacks its own dedicated compartment.</t>
        </is>
      </c>
    </row>
    <row r="280">
      <c r="A280" t="inlineStr">
        <is>
          <t>Rajella lintea</t>
        </is>
      </c>
      <c r="B280" t="inlineStr">
        <is>
          <t>Sailray</t>
        </is>
      </c>
      <c r="C280" t="inlineStr">
        <is>
          <t>Large rays (&gt;=90 cm)</t>
        </is>
      </c>
      <c r="D280" t="inlineStr">
        <is>
          <t>Sharks &amp; rays</t>
        </is>
      </c>
      <c r="E280" s="8" t="inlineStr">
        <is>
          <t>Sharks &amp; rays</t>
        </is>
      </c>
      <c r="F280" t="inlineStr"/>
      <c r="G280" t="inlineStr"/>
      <c r="H280" t="inlineStr">
        <is>
          <t>medium</t>
        </is>
      </c>
      <c r="I280" t="inlineStr">
        <is>
          <t>taxonomic_containment</t>
        </is>
      </c>
      <c r="J280" t="n">
        <v>7.661</v>
      </c>
      <c r="K280" t="n">
        <v>0</v>
      </c>
      <c r="L280" s="6" t="inlineStr">
        <is>
          <t>SAU identifies shark or ray catch and Table S2 has a pooled Sharks &amp; rays group; extension beyond the listed species is explicit analyst inference.</t>
        </is>
      </c>
    </row>
    <row r="281">
      <c r="A281" t="inlineStr">
        <is>
          <t>Tinca tinca</t>
        </is>
      </c>
      <c r="B281" t="inlineStr">
        <is>
          <t>Tench</t>
        </is>
      </c>
      <c r="C281" t="inlineStr">
        <is>
          <t>Medium demersals (30 - 89 cm)</t>
        </is>
      </c>
      <c r="D281" t="inlineStr">
        <is>
          <t>Other fishes &amp; inverts</t>
        </is>
      </c>
      <c r="E281" s="9" t="inlineStr">
        <is>
          <t>Unresolved</t>
        </is>
      </c>
      <c r="F281" t="inlineStr"/>
      <c r="G281" t="inlineStr"/>
      <c r="H281" t="inlineStr">
        <is>
          <t>unresolved</t>
        </is>
      </c>
      <c r="I281" t="inlineStr">
        <is>
          <t>none</t>
        </is>
      </c>
      <c r="J281" t="n">
        <v>7.077</v>
      </c>
      <c r="K281" t="n">
        <v>0</v>
      </c>
      <c r="L281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282">
      <c r="A282" t="inlineStr">
        <is>
          <t>Moridae</t>
        </is>
      </c>
      <c r="B282" t="inlineStr">
        <is>
          <t>Codlings, moras</t>
        </is>
      </c>
      <c r="C282" t="inlineStr">
        <is>
          <t>Medium benthopelagics (30 - 89 cm)</t>
        </is>
      </c>
      <c r="D282" t="inlineStr">
        <is>
          <t>Cod-likes</t>
        </is>
      </c>
      <c r="E282" s="9" t="inlineStr">
        <is>
          <t>Unresolved</t>
        </is>
      </c>
      <c r="F282" t="inlineStr"/>
      <c r="G282" t="inlineStr"/>
      <c r="H282" t="inlineStr">
        <is>
          <t>unresolved</t>
        </is>
      </c>
      <c r="I282" t="inlineStr">
        <is>
          <t>none</t>
        </is>
      </c>
      <c r="J282" t="n">
        <v>6.79</v>
      </c>
      <c r="K282" t="n">
        <v>0</v>
      </c>
      <c r="L282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283">
      <c r="A283" t="inlineStr">
        <is>
          <t>Mytilidae</t>
        </is>
      </c>
      <c r="B283" t="inlineStr">
        <is>
          <t>Sea mussels</t>
        </is>
      </c>
      <c r="C283" t="inlineStr">
        <is>
          <t>Other demersal invertebrates</t>
        </is>
      </c>
      <c r="D283" t="inlineStr">
        <is>
          <t>Molluscs</t>
        </is>
      </c>
      <c r="E283" s="8" t="inlineStr">
        <is>
          <t>Epifauna</t>
        </is>
      </c>
      <c r="F283" t="inlineStr"/>
      <c r="G283" t="inlineStr"/>
      <c r="H283" t="inlineStr">
        <is>
          <t>medium</t>
        </is>
      </c>
      <c r="I283" t="inlineStr">
        <is>
          <t>taxonomic_containment</t>
        </is>
      </c>
      <c r="J283" t="n">
        <v>6.539</v>
      </c>
      <c r="K283" t="n">
        <v>0</v>
      </c>
      <c r="L283" s="6" t="inlineStr">
        <is>
          <t>Table S2 Epifauna explicitly includes mussels, oysters, scallops, cockles, periwinkles and whelks; this catch label belongs to those source-defined categories.</t>
        </is>
      </c>
    </row>
    <row r="284">
      <c r="A284" t="inlineStr">
        <is>
          <t>Palaemonidae</t>
        </is>
      </c>
      <c r="B284" t="inlineStr">
        <is>
          <t>Clawed shrimps</t>
        </is>
      </c>
      <c r="C284" t="inlineStr">
        <is>
          <t>Shrimps</t>
        </is>
      </c>
      <c r="D284" t="inlineStr">
        <is>
          <t>Crustaceans</t>
        </is>
      </c>
      <c r="E284" s="5" t="inlineStr">
        <is>
          <t>Crustacea</t>
        </is>
      </c>
      <c r="F284" t="inlineStr"/>
      <c r="G284" t="inlineStr"/>
      <c r="H284" t="inlineStr">
        <is>
          <t>high</t>
        </is>
      </c>
      <c r="I284" t="inlineStr">
        <is>
          <t>taxonomic_containment</t>
        </is>
      </c>
      <c r="J284" t="n">
        <v>6.504</v>
      </c>
      <c r="K284" t="n">
        <v>0</v>
      </c>
      <c r="L284" s="6" t="inlineStr">
        <is>
          <t>SAU identifies shrimp or lobster/crab catch; Table S2 Crustacea includes shrimp, lobster and crab taxa without a finer model split.</t>
        </is>
      </c>
    </row>
    <row r="285">
      <c r="A285" t="inlineStr">
        <is>
          <t>Echinoidea</t>
        </is>
      </c>
      <c r="B285" t="inlineStr">
        <is>
          <t>Sea urchins, sea hedgehogs</t>
        </is>
      </c>
      <c r="C285" t="inlineStr">
        <is>
          <t>Other demersal invertebrates</t>
        </is>
      </c>
      <c r="D285" t="inlineStr">
        <is>
          <t>Other fishes &amp; inverts</t>
        </is>
      </c>
      <c r="E285" s="7" t="inlineStr">
        <is>
          <t>Epifauna</t>
        </is>
      </c>
      <c r="F285" t="inlineStr"/>
      <c r="G285" t="inlineStr"/>
      <c r="H285" t="inlineStr">
        <is>
          <t>low</t>
        </is>
      </c>
      <c r="I285" t="inlineStr">
        <is>
          <t>habitat_size_guild</t>
        </is>
      </c>
      <c r="J285" t="n">
        <v>6.159</v>
      </c>
      <c r="K285" t="n">
        <v>0</v>
      </c>
      <c r="L285" s="6" t="inlineStr">
        <is>
          <t>Analyst inference: benthic epifaunal catch is represented by the Epifauna compartment name; Table S2 does not list this organism, so its detailed trophic placement remains weakly supported.</t>
        </is>
      </c>
    </row>
    <row r="286">
      <c r="A286" t="inlineStr">
        <is>
          <t>Lota lota</t>
        </is>
      </c>
      <c r="B286" t="inlineStr">
        <is>
          <t>Burbot</t>
        </is>
      </c>
      <c r="C286" t="inlineStr">
        <is>
          <t>Large demersals (&gt;=90 cm)</t>
        </is>
      </c>
      <c r="D286" t="inlineStr">
        <is>
          <t>Cod-likes</t>
        </is>
      </c>
      <c r="E286" s="9" t="inlineStr">
        <is>
          <t>Unresolved</t>
        </is>
      </c>
      <c r="F286" t="inlineStr"/>
      <c r="G286" t="inlineStr"/>
      <c r="H286" t="inlineStr">
        <is>
          <t>unresolved</t>
        </is>
      </c>
      <c r="I286" t="inlineStr">
        <is>
          <t>none</t>
        </is>
      </c>
      <c r="J286" t="n">
        <v>6.139</v>
      </c>
      <c r="K286" t="n">
        <v>0</v>
      </c>
      <c r="L286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287">
      <c r="A287" t="inlineStr">
        <is>
          <t>Diplodus</t>
        </is>
      </c>
      <c r="B287" t="inlineStr">
        <is>
          <t>Two-toothed seabreams</t>
        </is>
      </c>
      <c r="C287" t="inlineStr">
        <is>
          <t>Medium benthopelagics (30 - 89 cm)</t>
        </is>
      </c>
      <c r="D287" t="inlineStr">
        <is>
          <t>Perch-likes</t>
        </is>
      </c>
      <c r="E287" s="7" t="inlineStr">
        <is>
          <t>Large Dem. fish</t>
        </is>
      </c>
      <c r="F287" t="inlineStr"/>
      <c r="G287" t="inlineStr"/>
      <c r="H287" t="inlineStr">
        <is>
          <t>low</t>
        </is>
      </c>
      <c r="I287" t="inlineStr">
        <is>
          <t>habitat_size_guild</t>
        </is>
      </c>
      <c r="J287" t="n">
        <v>6.116</v>
      </c>
      <c r="K287" t="n">
        <v>0</v>
      </c>
      <c r="L287" s="6" t="inlineStr">
        <is>
          <t>Analyst inference from SAU benthic fish habitat to the residual demersal pool containing gurnards, wolffish, sculpins and rocklings (Table S2); unlisted species and smaller fish make this a weak extension.</t>
        </is>
      </c>
    </row>
    <row r="288">
      <c r="A288" t="inlineStr">
        <is>
          <t>Trigla lyra</t>
        </is>
      </c>
      <c r="B288" t="inlineStr">
        <is>
          <t>Piper gurnard</t>
        </is>
      </c>
      <c r="C288" t="inlineStr">
        <is>
          <t>Medium bathydemersals (30 - 89 cm)</t>
        </is>
      </c>
      <c r="D288" t="inlineStr">
        <is>
          <t>Scorpionfishes</t>
        </is>
      </c>
      <c r="E288" s="7" t="inlineStr">
        <is>
          <t>Large Dem. fish</t>
        </is>
      </c>
      <c r="F288" t="inlineStr"/>
      <c r="G288" t="inlineStr"/>
      <c r="H288" t="inlineStr">
        <is>
          <t>low</t>
        </is>
      </c>
      <c r="I288" t="inlineStr">
        <is>
          <t>habitat_size_guild</t>
        </is>
      </c>
      <c r="J288" t="n">
        <v>5.946</v>
      </c>
      <c r="K288" t="n">
        <v>0</v>
      </c>
      <c r="L288" s="6" t="inlineStr">
        <is>
          <t>Analyst inference from SAU benthic fish habitat to the residual demersal pool containing gurnards, wolffish, sculpins and rocklings (Table S2); unlisted species and smaller fish make this a weak extension.</t>
        </is>
      </c>
    </row>
    <row r="289">
      <c r="A289" t="inlineStr">
        <is>
          <t>Xiphias gladius</t>
        </is>
      </c>
      <c r="B289" t="inlineStr">
        <is>
          <t>Swordfish</t>
        </is>
      </c>
      <c r="C289" t="inlineStr">
        <is>
          <t>Large pelagics (&gt;=90 cm)</t>
        </is>
      </c>
      <c r="D289" t="inlineStr">
        <is>
          <t>Tuna &amp; billfishes</t>
        </is>
      </c>
      <c r="E289" s="9" t="inlineStr">
        <is>
          <t>Unresolved</t>
        </is>
      </c>
      <c r="F289" t="inlineStr"/>
      <c r="G289" t="inlineStr"/>
      <c r="H289" t="inlineStr">
        <is>
          <t>unresolved</t>
        </is>
      </c>
      <c r="I289" t="inlineStr">
        <is>
          <t>none</t>
        </is>
      </c>
      <c r="J289" t="n">
        <v>5.766</v>
      </c>
      <c r="K289" t="n">
        <v>0</v>
      </c>
      <c r="L289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290">
      <c r="A290" t="inlineStr">
        <is>
          <t>Scardinius erythrophthalmus</t>
        </is>
      </c>
      <c r="B290" t="inlineStr">
        <is>
          <t>Rudd</t>
        </is>
      </c>
      <c r="C290" t="inlineStr">
        <is>
          <t>Medium benthopelagics (30 - 89 cm)</t>
        </is>
      </c>
      <c r="D290" t="inlineStr">
        <is>
          <t>Other fishes &amp; inverts</t>
        </is>
      </c>
      <c r="E290" s="9" t="inlineStr">
        <is>
          <t>Unresolved</t>
        </is>
      </c>
      <c r="F290" t="inlineStr"/>
      <c r="G290" t="inlineStr"/>
      <c r="H290" t="inlineStr">
        <is>
          <t>unresolved</t>
        </is>
      </c>
      <c r="I290" t="inlineStr">
        <is>
          <t>none</t>
        </is>
      </c>
      <c r="J290" t="n">
        <v>4.994</v>
      </c>
      <c r="K290" t="n">
        <v>0</v>
      </c>
      <c r="L290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291">
      <c r="A291" t="inlineStr">
        <is>
          <t>Loligo forbesii</t>
        </is>
      </c>
      <c r="B291" t="inlineStr">
        <is>
          <t>Veined squid</t>
        </is>
      </c>
      <c r="C291" t="inlineStr">
        <is>
          <t>Cephalopods</t>
        </is>
      </c>
      <c r="D291" t="inlineStr">
        <is>
          <t>Other fishes &amp; inverts</t>
        </is>
      </c>
      <c r="E291" s="5" t="inlineStr">
        <is>
          <t>Squid &amp; Octopus</t>
        </is>
      </c>
      <c r="F291" t="inlineStr"/>
      <c r="G291" t="inlineStr"/>
      <c r="H291" t="inlineStr">
        <is>
          <t>high</t>
        </is>
      </c>
      <c r="I291" t="inlineStr">
        <is>
          <t>explicit_member</t>
        </is>
      </c>
      <c r="J291" t="n">
        <v>4.987</v>
      </c>
      <c r="K291" t="n">
        <v>0</v>
      </c>
      <c r="L291" s="6" t="inlineStr">
        <is>
          <t>Table S2 explicitly lists Loligo forbesii in this model group; source membership overrides the SAU habitat-size class.</t>
        </is>
      </c>
    </row>
    <row r="292">
      <c r="A292" t="inlineStr">
        <is>
          <t>Trachinidae</t>
        </is>
      </c>
      <c r="B292" t="inlineStr">
        <is>
          <t>Weeverfishes</t>
        </is>
      </c>
      <c r="C292" t="inlineStr">
        <is>
          <t>Medium demersals (30 - 89 cm)</t>
        </is>
      </c>
      <c r="D292" t="inlineStr">
        <is>
          <t>Perch-likes</t>
        </is>
      </c>
      <c r="E292" s="7" t="inlineStr">
        <is>
          <t>Large Dem. fish</t>
        </is>
      </c>
      <c r="F292" t="inlineStr"/>
      <c r="G292" t="inlineStr"/>
      <c r="H292" t="inlineStr">
        <is>
          <t>low</t>
        </is>
      </c>
      <c r="I292" t="inlineStr">
        <is>
          <t>habitat_size_guild</t>
        </is>
      </c>
      <c r="J292" t="n">
        <v>4.947</v>
      </c>
      <c r="K292" t="n">
        <v>0</v>
      </c>
      <c r="L292" s="6" t="inlineStr">
        <is>
          <t>Analyst inference from SAU benthic fish habitat to the residual demersal pool containing gurnards, wolffish, sculpins and rocklings (Table S2); unlisted species and smaller fish make this a weak extension.</t>
        </is>
      </c>
    </row>
    <row r="293">
      <c r="A293" t="inlineStr">
        <is>
          <t>Ruditapes decussatus</t>
        </is>
      </c>
      <c r="B293" t="inlineStr">
        <is>
          <t>Grooved carpet shell</t>
        </is>
      </c>
      <c r="C293" t="inlineStr">
        <is>
          <t>Other demersal invertebrates</t>
        </is>
      </c>
      <c r="D293" t="inlineStr">
        <is>
          <t>Molluscs</t>
        </is>
      </c>
      <c r="E293" s="8" t="inlineStr">
        <is>
          <t>Infauna</t>
        </is>
      </c>
      <c r="F293" t="inlineStr"/>
      <c r="G293" t="inlineStr"/>
      <c r="H293" t="inlineStr">
        <is>
          <t>medium</t>
        </is>
      </c>
      <c r="I293" t="inlineStr">
        <is>
          <t>habitat_size_guild</t>
        </is>
      </c>
      <c r="J293" t="n">
        <v>4.823</v>
      </c>
      <c r="K293" t="n">
        <v>0</v>
      </c>
      <c r="L293" s="6" t="inlineStr">
        <is>
          <t>Analyst inference from burrowing bivalve or polychaete identity: Table S2 Infauna explicitly comprises these organisms. Some named clam categories also occur in Epifauna, so this inferred extension requires review.</t>
        </is>
      </c>
    </row>
    <row r="294">
      <c r="A294" t="inlineStr">
        <is>
          <t>Alosa alosa</t>
        </is>
      </c>
      <c r="B294" t="inlineStr">
        <is>
          <t>Allis shad</t>
        </is>
      </c>
      <c r="C294" t="inlineStr">
        <is>
          <t>Medium pelagics (30 - 89 cm)</t>
        </is>
      </c>
      <c r="D294" t="inlineStr">
        <is>
          <t>Herring-likes</t>
        </is>
      </c>
      <c r="E294" s="7" t="inlineStr">
        <is>
          <t>Large Pelagics</t>
        </is>
      </c>
      <c r="F294" t="inlineStr"/>
      <c r="G294" t="inlineStr"/>
      <c r="H294" t="inlineStr">
        <is>
          <t>low</t>
        </is>
      </c>
      <c r="I294" t="inlineStr">
        <is>
          <t>habitat_size_guild</t>
        </is>
      </c>
      <c r="J294" t="n">
        <v>4.727</v>
      </c>
      <c r="K294" t="n">
        <v>0</v>
      </c>
      <c r="L294" s="6" t="inlineStr">
        <is>
          <t>Analyst inference from SAU pelagic size/habitat class to the Table S2 pelagic pools; this species is not listed and the model lacks its own dedicated compartment.</t>
        </is>
      </c>
    </row>
    <row r="295">
      <c r="A295" t="inlineStr">
        <is>
          <t>Ruditapes</t>
        </is>
      </c>
      <c r="B295" t="inlineStr">
        <is>
          <t>Carpet shells</t>
        </is>
      </c>
      <c r="C295" t="inlineStr">
        <is>
          <t>Other demersal invertebrates</t>
        </is>
      </c>
      <c r="D295" t="inlineStr">
        <is>
          <t>Molluscs</t>
        </is>
      </c>
      <c r="E295" s="8" t="inlineStr">
        <is>
          <t>Infauna</t>
        </is>
      </c>
      <c r="F295" t="inlineStr"/>
      <c r="G295" t="inlineStr"/>
      <c r="H295" t="inlineStr">
        <is>
          <t>medium</t>
        </is>
      </c>
      <c r="I295" t="inlineStr">
        <is>
          <t>habitat_size_guild</t>
        </is>
      </c>
      <c r="J295" t="n">
        <v>4.623</v>
      </c>
      <c r="K295" t="n">
        <v>0</v>
      </c>
      <c r="L295" s="6" t="inlineStr">
        <is>
          <t>Analyst inference from burrowing bivalve or polychaete identity: Table S2 Infauna explicitly comprises these organisms. Some named clam categories also occur in Epifauna, so this inferred extension requires review.</t>
        </is>
      </c>
    </row>
    <row r="296">
      <c r="A296" t="inlineStr">
        <is>
          <t>Sparus aurata</t>
        </is>
      </c>
      <c r="B296" t="inlineStr">
        <is>
          <t>Gilthead seabream</t>
        </is>
      </c>
      <c r="C296" t="inlineStr">
        <is>
          <t>Medium demersals (30 - 89 cm)</t>
        </is>
      </c>
      <c r="D296" t="inlineStr">
        <is>
          <t>Perch-likes</t>
        </is>
      </c>
      <c r="E296" s="7" t="inlineStr">
        <is>
          <t>Large Dem. fish</t>
        </is>
      </c>
      <c r="F296" t="inlineStr"/>
      <c r="G296" t="inlineStr"/>
      <c r="H296" t="inlineStr">
        <is>
          <t>low</t>
        </is>
      </c>
      <c r="I296" t="inlineStr">
        <is>
          <t>habitat_size_guild</t>
        </is>
      </c>
      <c r="J296" t="n">
        <v>4.252</v>
      </c>
      <c r="K296" t="n">
        <v>0</v>
      </c>
      <c r="L296" s="6" t="inlineStr">
        <is>
          <t>Analyst inference from SAU benthic fish habitat to the residual demersal pool containing gurnards, wolffish, sculpins and rocklings (Table S2); unlisted species and smaller fish make this a weak extension.</t>
        </is>
      </c>
    </row>
    <row r="297">
      <c r="A297" t="inlineStr">
        <is>
          <t>Carassius carassius</t>
        </is>
      </c>
      <c r="B297" t="inlineStr">
        <is>
          <t>Crucian carp</t>
        </is>
      </c>
      <c r="C297" t="inlineStr">
        <is>
          <t>Medium demersals (30 - 89 cm)</t>
        </is>
      </c>
      <c r="D297" t="inlineStr">
        <is>
          <t>Other fishes &amp; inverts</t>
        </is>
      </c>
      <c r="E297" s="9" t="inlineStr">
        <is>
          <t>Unresolved</t>
        </is>
      </c>
      <c r="F297" t="inlineStr"/>
      <c r="G297" t="inlineStr"/>
      <c r="H297" t="inlineStr">
        <is>
          <t>unresolved</t>
        </is>
      </c>
      <c r="I297" t="inlineStr">
        <is>
          <t>none</t>
        </is>
      </c>
      <c r="J297" t="n">
        <v>4.218</v>
      </c>
      <c r="K297" t="n">
        <v>0</v>
      </c>
      <c r="L297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298">
      <c r="A298" t="inlineStr">
        <is>
          <t>Lepidorhombus boscii</t>
        </is>
      </c>
      <c r="B298" t="inlineStr">
        <is>
          <t>Four-spot megrim</t>
        </is>
      </c>
      <c r="C298" t="inlineStr">
        <is>
          <t>Small to medium flatfishes (&lt;90 cm)</t>
        </is>
      </c>
      <c r="D298" t="inlineStr">
        <is>
          <t>Flatfishes</t>
        </is>
      </c>
      <c r="E298" s="8" t="inlineStr">
        <is>
          <t>Flatfishes</t>
        </is>
      </c>
      <c r="F298" t="inlineStr"/>
      <c r="G298" t="inlineStr"/>
      <c r="H298" t="inlineStr">
        <is>
          <t>medium</t>
        </is>
      </c>
      <c r="I298" t="inlineStr">
        <is>
          <t>taxonomic_containment</t>
        </is>
      </c>
      <c r="J298" t="n">
        <v>4.015</v>
      </c>
      <c r="K298" t="n">
        <v>0</v>
      </c>
      <c r="L298" s="6" t="inlineStr">
        <is>
          <t>SAU identifies a flatfish taxon; the model has a broad Flatfishes pool, with separately reported turbot retained in Turbot. This taxon is not explicitly named in Table S2.</t>
        </is>
      </c>
    </row>
    <row r="299">
      <c r="A299" t="inlineStr">
        <is>
          <t>Balistes capriscus</t>
        </is>
      </c>
      <c r="B299" t="inlineStr">
        <is>
          <t>Grey triggerfish</t>
        </is>
      </c>
      <c r="C299" t="inlineStr">
        <is>
          <t>Medium benthopelagics (30 - 89 cm)</t>
        </is>
      </c>
      <c r="D299" t="inlineStr">
        <is>
          <t>Other fishes &amp; inverts</t>
        </is>
      </c>
      <c r="E299" s="7" t="inlineStr">
        <is>
          <t>Large Dem. fish</t>
        </is>
      </c>
      <c r="F299" t="inlineStr"/>
      <c r="G299" t="inlineStr"/>
      <c r="H299" t="inlineStr">
        <is>
          <t>low</t>
        </is>
      </c>
      <c r="I299" t="inlineStr">
        <is>
          <t>habitat_size_guild</t>
        </is>
      </c>
      <c r="J299" t="n">
        <v>3.222</v>
      </c>
      <c r="K299" t="n">
        <v>0</v>
      </c>
      <c r="L299" s="6" t="inlineStr">
        <is>
          <t>Analyst inference from SAU benthic fish habitat to the residual demersal pool containing gurnards, wolffish, sculpins and rocklings (Table S2); unlisted species and smaller fish make this a weak extension.</t>
        </is>
      </c>
    </row>
    <row r="300">
      <c r="A300" t="inlineStr">
        <is>
          <t>Anarhichas denticulatus</t>
        </is>
      </c>
      <c r="B300" t="inlineStr">
        <is>
          <t>Northern wolffish</t>
        </is>
      </c>
      <c r="C300" t="inlineStr">
        <is>
          <t>Large benthopelagics (&gt;=90 cm)</t>
        </is>
      </c>
      <c r="D300" t="inlineStr">
        <is>
          <t>Perch-likes</t>
        </is>
      </c>
      <c r="E300" s="8" t="inlineStr">
        <is>
          <t>Large Dem. fish</t>
        </is>
      </c>
      <c r="F300" t="inlineStr"/>
      <c r="G300" t="inlineStr"/>
      <c r="H300" t="inlineStr">
        <is>
          <t>medium</t>
        </is>
      </c>
      <c r="I300" t="inlineStr">
        <is>
          <t>analogue</t>
        </is>
      </c>
      <c r="J300" t="n">
        <v>2.478</v>
      </c>
      <c r="K300" t="n">
        <v>0</v>
      </c>
      <c r="L300" s="6" t="inlineStr">
        <is>
          <t>Table S2 places congeneric Anarhichas species in these group(s). This unlisted species is an explicit congeneric extension, not source membership.</t>
        </is>
      </c>
    </row>
    <row r="301">
      <c r="A301" t="inlineStr">
        <is>
          <t>Dasyatis pastinaca</t>
        </is>
      </c>
      <c r="B301" t="inlineStr">
        <is>
          <t>Common stingray</t>
        </is>
      </c>
      <c r="C301" t="inlineStr">
        <is>
          <t>Large rays (&gt;=90 cm)</t>
        </is>
      </c>
      <c r="D301" t="inlineStr">
        <is>
          <t>Sharks &amp; rays</t>
        </is>
      </c>
      <c r="E301" s="8" t="inlineStr">
        <is>
          <t>Sharks &amp; rays</t>
        </is>
      </c>
      <c r="F301" t="inlineStr"/>
      <c r="G301" t="inlineStr"/>
      <c r="H301" t="inlineStr">
        <is>
          <t>medium</t>
        </is>
      </c>
      <c r="I301" t="inlineStr">
        <is>
          <t>taxonomic_containment</t>
        </is>
      </c>
      <c r="J301" t="n">
        <v>2.385</v>
      </c>
      <c r="K301" t="n">
        <v>0</v>
      </c>
      <c r="L301" s="6" t="inlineStr">
        <is>
          <t>SAU identifies shark or ray catch and Table S2 has a pooled Sharks &amp; rays group; extension beyond the listed species is explicit analyst inference.</t>
        </is>
      </c>
    </row>
    <row r="302">
      <c r="A302" t="inlineStr">
        <is>
          <t>Eledone</t>
        </is>
      </c>
      <c r="B302" t="inlineStr">
        <is>
          <t>Horned, musky octopuses</t>
        </is>
      </c>
      <c r="C302" t="inlineStr">
        <is>
          <t>Cephalopods</t>
        </is>
      </c>
      <c r="D302" t="inlineStr">
        <is>
          <t>Other fishes &amp; inverts</t>
        </is>
      </c>
      <c r="E302" s="8" t="inlineStr">
        <is>
          <t>Squid &amp; Octopus</t>
        </is>
      </c>
      <c r="F302" t="inlineStr"/>
      <c r="G302" t="inlineStr"/>
      <c r="H302" t="inlineStr">
        <is>
          <t>medium</t>
        </is>
      </c>
      <c r="I302" t="inlineStr">
        <is>
          <t>taxonomic_containment</t>
        </is>
      </c>
      <c r="J302" t="n">
        <v>2.269</v>
      </c>
      <c r="K302" t="n">
        <v>0</v>
      </c>
      <c r="L302" s="6" t="inlineStr">
        <is>
          <t>Table S2 lists members of genus Eledone in these group(s); genus-level catch is assigned to their documented group union.</t>
        </is>
      </c>
    </row>
    <row r="303">
      <c r="A303" t="inlineStr">
        <is>
          <t>Alopias</t>
        </is>
      </c>
      <c r="B303" t="inlineStr">
        <is>
          <t>Thresher sharks</t>
        </is>
      </c>
      <c r="C303" t="inlineStr">
        <is>
          <t>Large sharks (&gt;=90 cm)</t>
        </is>
      </c>
      <c r="D303" t="inlineStr">
        <is>
          <t>Sharks &amp; rays</t>
        </is>
      </c>
      <c r="E303" s="8" t="inlineStr">
        <is>
          <t>Sharks &amp; rays</t>
        </is>
      </c>
      <c r="F303" t="inlineStr"/>
      <c r="G303" t="inlineStr"/>
      <c r="H303" t="inlineStr">
        <is>
          <t>medium</t>
        </is>
      </c>
      <c r="I303" t="inlineStr">
        <is>
          <t>taxonomic_containment</t>
        </is>
      </c>
      <c r="J303" t="n">
        <v>2.264</v>
      </c>
      <c r="K303" t="n">
        <v>0</v>
      </c>
      <c r="L303" s="6" t="inlineStr">
        <is>
          <t>SAU identifies shark or ray catch and Table S2 has a pooled Sharks &amp; rays group; extension beyond the listed species is explicit analyst inference.</t>
        </is>
      </c>
    </row>
    <row r="304">
      <c r="A304" t="inlineStr">
        <is>
          <t>Mugil cephalus</t>
        </is>
      </c>
      <c r="B304" t="inlineStr">
        <is>
          <t>Flathead grey mullet</t>
        </is>
      </c>
      <c r="C304" t="inlineStr">
        <is>
          <t>Large benthopelagics (&gt;=90 cm)</t>
        </is>
      </c>
      <c r="D304" t="inlineStr">
        <is>
          <t>Perch-likes</t>
        </is>
      </c>
      <c r="E304" s="7" t="inlineStr">
        <is>
          <t>Large Dem. fish</t>
        </is>
      </c>
      <c r="F304" t="inlineStr"/>
      <c r="G304" t="inlineStr"/>
      <c r="H304" t="inlineStr">
        <is>
          <t>low</t>
        </is>
      </c>
      <c r="I304" t="inlineStr">
        <is>
          <t>habitat_size_guild</t>
        </is>
      </c>
      <c r="J304" t="n">
        <v>2.023</v>
      </c>
      <c r="K304" t="n">
        <v>0</v>
      </c>
      <c r="L304" s="6" t="inlineStr">
        <is>
          <t>Analyst inference from SAU benthic fish habitat to the residual demersal pool containing gurnards, wolffish, sculpins and rocklings (Table S2); unlisted species and smaller fish make this a weak extension.</t>
        </is>
      </c>
    </row>
    <row r="305">
      <c r="A305" t="inlineStr">
        <is>
          <t>Scomberesox saurus</t>
        </is>
      </c>
      <c r="B305" t="inlineStr">
        <is>
          <t>Atlantic saury</t>
        </is>
      </c>
      <c r="C305" t="inlineStr">
        <is>
          <t>Medium pelagics (30 - 89 cm)</t>
        </is>
      </c>
      <c r="D305" t="inlineStr">
        <is>
          <t>Other fishes &amp; inverts</t>
        </is>
      </c>
      <c r="E305" s="7" t="inlineStr">
        <is>
          <t>Large Pelagics</t>
        </is>
      </c>
      <c r="F305" t="inlineStr"/>
      <c r="G305" t="inlineStr"/>
      <c r="H305" t="inlineStr">
        <is>
          <t>low</t>
        </is>
      </c>
      <c r="I305" t="inlineStr">
        <is>
          <t>habitat_size_guild</t>
        </is>
      </c>
      <c r="J305" t="n">
        <v>1.852</v>
      </c>
      <c r="K305" t="n">
        <v>0</v>
      </c>
      <c r="L305" s="6" t="inlineStr">
        <is>
          <t>Analyst inference from SAU pelagic size/habitat class to the Table S2 pelagic pools; this species is not listed and the model lacks its own dedicated compartment.</t>
        </is>
      </c>
    </row>
    <row r="306">
      <c r="A306" t="inlineStr">
        <is>
          <t>Mola mola</t>
        </is>
      </c>
      <c r="B306" t="inlineStr">
        <is>
          <t>Ocean sunfish</t>
        </is>
      </c>
      <c r="C306" t="inlineStr">
        <is>
          <t>Large pelagics (&gt;=90 cm)</t>
        </is>
      </c>
      <c r="D306" t="inlineStr">
        <is>
          <t>Other fishes &amp; inverts</t>
        </is>
      </c>
      <c r="E306" s="9" t="inlineStr">
        <is>
          <t>Unresolved</t>
        </is>
      </c>
      <c r="F306" t="inlineStr"/>
      <c r="G306" t="inlineStr"/>
      <c r="H306" t="inlineStr">
        <is>
          <t>unresolved</t>
        </is>
      </c>
      <c r="I306" t="inlineStr">
        <is>
          <t>none</t>
        </is>
      </c>
      <c r="J306" t="n">
        <v>1.816</v>
      </c>
      <c r="K306" t="n">
        <v>0</v>
      </c>
      <c r="L306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307">
      <c r="A307" t="inlineStr">
        <is>
          <t>Chelidonichthys lastoviza</t>
        </is>
      </c>
      <c r="B307" t="inlineStr">
        <is>
          <t>Streaked gurnard</t>
        </is>
      </c>
      <c r="C307" t="inlineStr">
        <is>
          <t>Medium demersals (30 - 89 cm)</t>
        </is>
      </c>
      <c r="D307" t="inlineStr">
        <is>
          <t>Scorpionfishes</t>
        </is>
      </c>
      <c r="E307" s="8" t="inlineStr">
        <is>
          <t>Large Dem. fish</t>
        </is>
      </c>
      <c r="F307" t="inlineStr"/>
      <c r="G307" t="inlineStr"/>
      <c r="H307" t="inlineStr">
        <is>
          <t>medium</t>
        </is>
      </c>
      <c r="I307" t="inlineStr">
        <is>
          <t>analogue</t>
        </is>
      </c>
      <c r="J307" t="n">
        <v>1.8</v>
      </c>
      <c r="K307" t="n">
        <v>0</v>
      </c>
      <c r="L307" s="6" t="inlineStr">
        <is>
          <t>Table S2 places congeneric Chelidonichthys species in these group(s). This unlisted species is an explicit congeneric extension, not source membership.</t>
        </is>
      </c>
    </row>
    <row r="308">
      <c r="A308" t="inlineStr">
        <is>
          <t>Illex coindetii</t>
        </is>
      </c>
      <c r="B308" t="inlineStr">
        <is>
          <t>Broadtail shortfin squid</t>
        </is>
      </c>
      <c r="C308" t="inlineStr">
        <is>
          <t>Cephalopods</t>
        </is>
      </c>
      <c r="D308" t="inlineStr">
        <is>
          <t>Other fishes &amp; inverts</t>
        </is>
      </c>
      <c r="E308" s="5" t="inlineStr">
        <is>
          <t>Squid &amp; Octopus</t>
        </is>
      </c>
      <c r="F308" t="inlineStr"/>
      <c r="G308" t="inlineStr"/>
      <c r="H308" t="inlineStr">
        <is>
          <t>high</t>
        </is>
      </c>
      <c r="I308" t="inlineStr">
        <is>
          <t>explicit_member</t>
        </is>
      </c>
      <c r="J308" t="n">
        <v>1.466</v>
      </c>
      <c r="K308" t="n">
        <v>0</v>
      </c>
      <c r="L308" s="6" t="inlineStr">
        <is>
          <t>Table S2 explicitly lists Illex coindetii in this model group; source membership overrides the SAU habitat-size class.</t>
        </is>
      </c>
    </row>
    <row r="309">
      <c r="A309" t="inlineStr">
        <is>
          <t>Berycidae</t>
        </is>
      </c>
      <c r="B309" t="inlineStr">
        <is>
          <t>Alfonsinos, redfishes</t>
        </is>
      </c>
      <c r="C309" t="inlineStr">
        <is>
          <t>Medium benthopelagics (30 - 89 cm)</t>
        </is>
      </c>
      <c r="D309" t="inlineStr">
        <is>
          <t>Other fishes &amp; inverts</t>
        </is>
      </c>
      <c r="E309" s="9" t="inlineStr">
        <is>
          <t>Unresolved</t>
        </is>
      </c>
      <c r="F309" t="inlineStr"/>
      <c r="G309" t="inlineStr"/>
      <c r="H309" t="inlineStr">
        <is>
          <t>unresolved</t>
        </is>
      </c>
      <c r="I309" t="inlineStr">
        <is>
          <t>none</t>
        </is>
      </c>
      <c r="J309" t="n">
        <v>1.448</v>
      </c>
      <c r="K309" t="n">
        <v>0</v>
      </c>
      <c r="L309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310">
      <c r="A310" t="inlineStr">
        <is>
          <t>Beryx splendens</t>
        </is>
      </c>
      <c r="B310" t="inlineStr">
        <is>
          <t>Splendid alfonsino</t>
        </is>
      </c>
      <c r="C310" t="inlineStr">
        <is>
          <t>Medium benthopelagics (30 - 89 cm)</t>
        </is>
      </c>
      <c r="D310" t="inlineStr">
        <is>
          <t>Other fishes &amp; inverts</t>
        </is>
      </c>
      <c r="E310" s="9" t="inlineStr">
        <is>
          <t>Unresolved</t>
        </is>
      </c>
      <c r="F310" t="inlineStr"/>
      <c r="G310" t="inlineStr"/>
      <c r="H310" t="inlineStr">
        <is>
          <t>unresolved</t>
        </is>
      </c>
      <c r="I310" t="inlineStr">
        <is>
          <t>none</t>
        </is>
      </c>
      <c r="J310" t="n">
        <v>1.435</v>
      </c>
      <c r="K310" t="n">
        <v>0</v>
      </c>
      <c r="L310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311">
      <c r="A311" t="inlineStr">
        <is>
          <t>Beryx decadactylus</t>
        </is>
      </c>
      <c r="B311" t="inlineStr">
        <is>
          <t>Alfonsino</t>
        </is>
      </c>
      <c r="C311" t="inlineStr">
        <is>
          <t>Medium bathydemersals (30 - 89 cm)</t>
        </is>
      </c>
      <c r="D311" t="inlineStr">
        <is>
          <t>Other fishes &amp; inverts</t>
        </is>
      </c>
      <c r="E311" s="9" t="inlineStr">
        <is>
          <t>Unresolved</t>
        </is>
      </c>
      <c r="F311" t="inlineStr"/>
      <c r="G311" t="inlineStr"/>
      <c r="H311" t="inlineStr">
        <is>
          <t>unresolved</t>
        </is>
      </c>
      <c r="I311" t="inlineStr">
        <is>
          <t>none</t>
        </is>
      </c>
      <c r="J311" t="n">
        <v>1.385</v>
      </c>
      <c r="K311" t="n">
        <v>0</v>
      </c>
      <c r="L311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312">
      <c r="A312" t="inlineStr">
        <is>
          <t>Anarhichas minor</t>
        </is>
      </c>
      <c r="B312" t="inlineStr">
        <is>
          <t>Spotted wolffish</t>
        </is>
      </c>
      <c r="C312" t="inlineStr">
        <is>
          <t>Large demersals (&gt;=90 cm)</t>
        </is>
      </c>
      <c r="D312" t="inlineStr">
        <is>
          <t>Perch-likes</t>
        </is>
      </c>
      <c r="E312" s="8" t="inlineStr">
        <is>
          <t>Large Dem. fish</t>
        </is>
      </c>
      <c r="F312" t="inlineStr"/>
      <c r="G312" t="inlineStr"/>
      <c r="H312" t="inlineStr">
        <is>
          <t>medium</t>
        </is>
      </c>
      <c r="I312" t="inlineStr">
        <is>
          <t>analogue</t>
        </is>
      </c>
      <c r="J312" t="n">
        <v>1.284</v>
      </c>
      <c r="K312" t="n">
        <v>0</v>
      </c>
      <c r="L312" s="6" t="inlineStr">
        <is>
          <t>Table S2 places congeneric Anarhichas species in these group(s). This unlisted species is an explicit congeneric extension, not source membership.</t>
        </is>
      </c>
    </row>
    <row r="313">
      <c r="A313" t="inlineStr">
        <is>
          <t>Katsuwonus pelamis</t>
        </is>
      </c>
      <c r="B313" t="inlineStr">
        <is>
          <t>Skipjack tuna</t>
        </is>
      </c>
      <c r="C313" t="inlineStr">
        <is>
          <t>Large pelagics (&gt;=90 cm)</t>
        </is>
      </c>
      <c r="D313" t="inlineStr">
        <is>
          <t>Tuna &amp; billfishes</t>
        </is>
      </c>
      <c r="E313" s="9" t="inlineStr">
        <is>
          <t>Unresolved</t>
        </is>
      </c>
      <c r="F313" t="inlineStr"/>
      <c r="G313" t="inlineStr"/>
      <c r="H313" t="inlineStr">
        <is>
          <t>unresolved</t>
        </is>
      </c>
      <c r="I313" t="inlineStr">
        <is>
          <t>none</t>
        </is>
      </c>
      <c r="J313" t="n">
        <v>1.22</v>
      </c>
      <c r="K313" t="n">
        <v>0</v>
      </c>
      <c r="L313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314">
      <c r="A314" t="inlineStr">
        <is>
          <t>Argyrosomus regius</t>
        </is>
      </c>
      <c r="B314" t="inlineStr">
        <is>
          <t>Meagre</t>
        </is>
      </c>
      <c r="C314" t="inlineStr">
        <is>
          <t>Large benthopelagics (&gt;=90 cm)</t>
        </is>
      </c>
      <c r="D314" t="inlineStr">
        <is>
          <t>Perch-likes</t>
        </is>
      </c>
      <c r="E314" s="7" t="inlineStr">
        <is>
          <t>Large Dem. fish</t>
        </is>
      </c>
      <c r="F314" t="inlineStr"/>
      <c r="G314" t="inlineStr"/>
      <c r="H314" t="inlineStr">
        <is>
          <t>low</t>
        </is>
      </c>
      <c r="I314" t="inlineStr">
        <is>
          <t>habitat_size_guild</t>
        </is>
      </c>
      <c r="J314" t="n">
        <v>1.205</v>
      </c>
      <c r="K314" t="n">
        <v>0</v>
      </c>
      <c r="L314" s="6" t="inlineStr">
        <is>
          <t>Analyst inference from SAU benthic fish habitat to the residual demersal pool containing gurnards, wolffish, sculpins and rocklings (Table S2); unlisted species and smaller fish make this a weak extension.</t>
        </is>
      </c>
    </row>
    <row r="315">
      <c r="A315" t="inlineStr">
        <is>
          <t>Etmopterus</t>
        </is>
      </c>
      <c r="B315" t="inlineStr">
        <is>
          <t>Lanternsharks</t>
        </is>
      </c>
      <c r="C315" t="inlineStr">
        <is>
          <t>Small to medium sharks (&lt;90 cm)</t>
        </is>
      </c>
      <c r="D315" t="inlineStr">
        <is>
          <t>Sharks &amp; rays</t>
        </is>
      </c>
      <c r="E315" s="8" t="inlineStr">
        <is>
          <t>Sharks &amp; rays</t>
        </is>
      </c>
      <c r="F315" t="inlineStr"/>
      <c r="G315" t="inlineStr"/>
      <c r="H315" t="inlineStr">
        <is>
          <t>medium</t>
        </is>
      </c>
      <c r="I315" t="inlineStr">
        <is>
          <t>taxonomic_containment</t>
        </is>
      </c>
      <c r="J315" t="n">
        <v>1.161</v>
      </c>
      <c r="K315" t="n">
        <v>0</v>
      </c>
      <c r="L315" s="6" t="inlineStr">
        <is>
          <t>Table S2 lists members of genus Etmopterus in these group(s); genus-level catch is assigned to their documented group union.</t>
        </is>
      </c>
    </row>
    <row r="316">
      <c r="A316" t="inlineStr">
        <is>
          <t>Pagellus erythrinus</t>
        </is>
      </c>
      <c r="B316" t="inlineStr">
        <is>
          <t>Common pandora</t>
        </is>
      </c>
      <c r="C316" t="inlineStr">
        <is>
          <t>Medium benthopelagics (30 - 89 cm)</t>
        </is>
      </c>
      <c r="D316" t="inlineStr">
        <is>
          <t>Perch-likes</t>
        </is>
      </c>
      <c r="E316" s="7" t="inlineStr">
        <is>
          <t>Large Dem. fish</t>
        </is>
      </c>
      <c r="F316" t="inlineStr"/>
      <c r="G316" t="inlineStr"/>
      <c r="H316" t="inlineStr">
        <is>
          <t>low</t>
        </is>
      </c>
      <c r="I316" t="inlineStr">
        <is>
          <t>habitat_size_guild</t>
        </is>
      </c>
      <c r="J316" t="n">
        <v>0.994</v>
      </c>
      <c r="K316" t="n">
        <v>0</v>
      </c>
      <c r="L316" s="6" t="inlineStr">
        <is>
          <t>Analyst inference from SAU benthic fish habitat to the residual demersal pool containing gurnards, wolffish, sculpins and rocklings (Table S2); unlisted species and smaller fish make this a weak extension.</t>
        </is>
      </c>
    </row>
    <row r="317">
      <c r="A317" t="inlineStr">
        <is>
          <t>Leuciscus idus</t>
        </is>
      </c>
      <c r="B317" t="inlineStr">
        <is>
          <t>Ide</t>
        </is>
      </c>
      <c r="C317" t="inlineStr">
        <is>
          <t>Medium benthopelagics (30 - 89 cm)</t>
        </is>
      </c>
      <c r="D317" t="inlineStr">
        <is>
          <t>Other fishes &amp; inverts</t>
        </is>
      </c>
      <c r="E317" s="9" t="inlineStr">
        <is>
          <t>Unresolved</t>
        </is>
      </c>
      <c r="F317" t="inlineStr"/>
      <c r="G317" t="inlineStr"/>
      <c r="H317" t="inlineStr">
        <is>
          <t>unresolved</t>
        </is>
      </c>
      <c r="I317" t="inlineStr">
        <is>
          <t>none</t>
        </is>
      </c>
      <c r="J317" t="n">
        <v>0.978</v>
      </c>
      <c r="K317" t="n">
        <v>0</v>
      </c>
      <c r="L317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318">
      <c r="A318" t="inlineStr">
        <is>
          <t>Mimachlamys varia</t>
        </is>
      </c>
      <c r="B318" t="inlineStr">
        <is>
          <t>Variegated scallop</t>
        </is>
      </c>
      <c r="C318" t="inlineStr">
        <is>
          <t>Other demersal invertebrates</t>
        </is>
      </c>
      <c r="D318" t="inlineStr">
        <is>
          <t>Molluscs</t>
        </is>
      </c>
      <c r="E318" s="8" t="inlineStr">
        <is>
          <t>Epifauna</t>
        </is>
      </c>
      <c r="F318" t="inlineStr"/>
      <c r="G318" t="inlineStr"/>
      <c r="H318" t="inlineStr">
        <is>
          <t>medium</t>
        </is>
      </c>
      <c r="I318" t="inlineStr">
        <is>
          <t>taxonomic_containment</t>
        </is>
      </c>
      <c r="J318" t="n">
        <v>0.885</v>
      </c>
      <c r="K318" t="n">
        <v>0</v>
      </c>
      <c r="L318" s="6" t="inlineStr">
        <is>
          <t>Table S2 Epifauna explicitly includes mussels, oysters, scallops, cockles, periwinkles and whelks; this catch label belongs to those source-defined categories.</t>
        </is>
      </c>
    </row>
    <row r="319">
      <c r="A319" t="inlineStr">
        <is>
          <t>Deania calceus</t>
        </is>
      </c>
      <c r="B319" t="inlineStr">
        <is>
          <t>Birdbeak dogfish</t>
        </is>
      </c>
      <c r="C319" t="inlineStr">
        <is>
          <t>Large sharks (&gt;=90 cm)</t>
        </is>
      </c>
      <c r="D319" t="inlineStr">
        <is>
          <t>Sharks &amp; rays</t>
        </is>
      </c>
      <c r="E319" s="8" t="inlineStr">
        <is>
          <t>Sharks &amp; rays</t>
        </is>
      </c>
      <c r="F319" t="inlineStr"/>
      <c r="G319" t="inlineStr"/>
      <c r="H319" t="inlineStr">
        <is>
          <t>medium</t>
        </is>
      </c>
      <c r="I319" t="inlineStr">
        <is>
          <t>taxonomic_containment</t>
        </is>
      </c>
      <c r="J319" t="n">
        <v>0.846</v>
      </c>
      <c r="K319" t="n">
        <v>0</v>
      </c>
      <c r="L319" s="6" t="inlineStr">
        <is>
          <t>SAU identifies shark or ray catch and Table S2 has a pooled Sharks &amp; rays group; extension beyond the listed species is explicit analyst inference.</t>
        </is>
      </c>
    </row>
    <row r="320">
      <c r="A320" t="inlineStr">
        <is>
          <t>Auxis rochei</t>
        </is>
      </c>
      <c r="B320" t="inlineStr">
        <is>
          <t>Bullet tuna</t>
        </is>
      </c>
      <c r="C320" t="inlineStr">
        <is>
          <t>Medium pelagics (30 - 89 cm)</t>
        </is>
      </c>
      <c r="D320" t="inlineStr">
        <is>
          <t>Tuna &amp; billfishes</t>
        </is>
      </c>
      <c r="E320" s="9" t="inlineStr">
        <is>
          <t>Unresolved</t>
        </is>
      </c>
      <c r="F320" t="inlineStr"/>
      <c r="G320" t="inlineStr"/>
      <c r="H320" t="inlineStr">
        <is>
          <t>unresolved</t>
        </is>
      </c>
      <c r="I320" t="inlineStr">
        <is>
          <t>none</t>
        </is>
      </c>
      <c r="J320" t="n">
        <v>0.821</v>
      </c>
      <c r="K320" t="n">
        <v>0</v>
      </c>
      <c r="L320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321">
      <c r="A321" t="inlineStr">
        <is>
          <t>Trichiuridae</t>
        </is>
      </c>
      <c r="B321" t="inlineStr">
        <is>
          <t>Cutlassfishes</t>
        </is>
      </c>
      <c r="C321" t="inlineStr">
        <is>
          <t>Large benthopelagics (&gt;=90 cm)</t>
        </is>
      </c>
      <c r="D321" t="inlineStr">
        <is>
          <t>Perch-likes</t>
        </is>
      </c>
      <c r="E321" s="9" t="inlineStr">
        <is>
          <t>Unresolved</t>
        </is>
      </c>
      <c r="F321" t="inlineStr"/>
      <c r="G321" t="inlineStr"/>
      <c r="H321" t="inlineStr">
        <is>
          <t>unresolved</t>
        </is>
      </c>
      <c r="I321" t="inlineStr">
        <is>
          <t>none</t>
        </is>
      </c>
      <c r="J321" t="n">
        <v>0.777</v>
      </c>
      <c r="K321" t="n">
        <v>0</v>
      </c>
      <c r="L321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322">
      <c r="A322" t="inlineStr">
        <is>
          <t>Veneridae</t>
        </is>
      </c>
      <c r="B322" t="inlineStr">
        <is>
          <t>Venus clams</t>
        </is>
      </c>
      <c r="C322" t="inlineStr">
        <is>
          <t>Other demersal invertebrates</t>
        </is>
      </c>
      <c r="D322" t="inlineStr">
        <is>
          <t>Molluscs</t>
        </is>
      </c>
      <c r="E322" s="8" t="inlineStr">
        <is>
          <t>Infauna</t>
        </is>
      </c>
      <c r="F322" t="inlineStr"/>
      <c r="G322" t="inlineStr"/>
      <c r="H322" t="inlineStr">
        <is>
          <t>medium</t>
        </is>
      </c>
      <c r="I322" t="inlineStr">
        <is>
          <t>habitat_size_guild</t>
        </is>
      </c>
      <c r="J322" t="n">
        <v>0.756</v>
      </c>
      <c r="K322" t="n">
        <v>0</v>
      </c>
      <c r="L322" s="6" t="inlineStr">
        <is>
          <t>Analyst inference from burrowing bivalve or polychaete identity: Table S2 Infauna explicitly comprises these organisms. Some named clam categories also occur in Epifauna, so this inferred extension requires review.</t>
        </is>
      </c>
    </row>
    <row r="323">
      <c r="A323" t="inlineStr">
        <is>
          <t>Rhinochimaera atlantica</t>
        </is>
      </c>
      <c r="B323" t="inlineStr">
        <is>
          <t>Straightnose rabbitfish</t>
        </is>
      </c>
      <c r="C323" t="inlineStr">
        <is>
          <t>Large rays (&gt;=90 cm)</t>
        </is>
      </c>
      <c r="D323" t="inlineStr">
        <is>
          <t>Sharks &amp; rays</t>
        </is>
      </c>
      <c r="E323" s="9" t="inlineStr">
        <is>
          <t>Unresolved</t>
        </is>
      </c>
      <c r="F323" t="inlineStr"/>
      <c r="G323" t="inlineStr"/>
      <c r="H323" t="inlineStr">
        <is>
          <t>unresolved</t>
        </is>
      </c>
      <c r="I323" t="inlineStr">
        <is>
          <t>none</t>
        </is>
      </c>
      <c r="J323" t="n">
        <v>0.6870000000000001</v>
      </c>
      <c r="K323" t="n">
        <v>0</v>
      </c>
      <c r="L323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324">
      <c r="A324" t="inlineStr">
        <is>
          <t>Centrolophus niger</t>
        </is>
      </c>
      <c r="B324" t="inlineStr">
        <is>
          <t>Rudderfish</t>
        </is>
      </c>
      <c r="C324" t="inlineStr">
        <is>
          <t>Large bathypelagics (&gt;=90 cm)</t>
        </is>
      </c>
      <c r="D324" t="inlineStr">
        <is>
          <t>Perch-likes</t>
        </is>
      </c>
      <c r="E324" s="9" t="inlineStr">
        <is>
          <t>Unresolved</t>
        </is>
      </c>
      <c r="F324" t="inlineStr"/>
      <c r="G324" t="inlineStr"/>
      <c r="H324" t="inlineStr">
        <is>
          <t>unresolved</t>
        </is>
      </c>
      <c r="I324" t="inlineStr">
        <is>
          <t>none</t>
        </is>
      </c>
      <c r="J324" t="n">
        <v>0.605</v>
      </c>
      <c r="K324" t="n">
        <v>0</v>
      </c>
      <c r="L324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325">
      <c r="A325" t="inlineStr">
        <is>
          <t>Alopias vulpinus</t>
        </is>
      </c>
      <c r="B325" t="inlineStr">
        <is>
          <t>Thresher</t>
        </is>
      </c>
      <c r="C325" t="inlineStr">
        <is>
          <t>Large sharks (&gt;=90 cm)</t>
        </is>
      </c>
      <c r="D325" t="inlineStr">
        <is>
          <t>Sharks &amp; rays</t>
        </is>
      </c>
      <c r="E325" s="8" t="inlineStr">
        <is>
          <t>Sharks &amp; rays</t>
        </is>
      </c>
      <c r="F325" t="inlineStr"/>
      <c r="G325" t="inlineStr"/>
      <c r="H325" t="inlineStr">
        <is>
          <t>medium</t>
        </is>
      </c>
      <c r="I325" t="inlineStr">
        <is>
          <t>taxonomic_containment</t>
        </is>
      </c>
      <c r="J325" t="n">
        <v>0.5600000000000001</v>
      </c>
      <c r="K325" t="n">
        <v>0</v>
      </c>
      <c r="L325" s="6" t="inlineStr">
        <is>
          <t>SAU identifies shark or ray catch and Table S2 has a pooled Sharks &amp; rays group; extension beyond the listed species is explicit analyst inference.</t>
        </is>
      </c>
    </row>
    <row r="326">
      <c r="A326" t="inlineStr">
        <is>
          <t>Venerupis corrugata</t>
        </is>
      </c>
      <c r="B326" t="inlineStr">
        <is>
          <t>Corrugated venus</t>
        </is>
      </c>
      <c r="C326" t="inlineStr">
        <is>
          <t>Other demersal invertebrates</t>
        </is>
      </c>
      <c r="D326" t="inlineStr">
        <is>
          <t>Molluscs</t>
        </is>
      </c>
      <c r="E326" s="8" t="inlineStr">
        <is>
          <t>Infauna</t>
        </is>
      </c>
      <c r="F326" t="inlineStr"/>
      <c r="G326" t="inlineStr"/>
      <c r="H326" t="inlineStr">
        <is>
          <t>medium</t>
        </is>
      </c>
      <c r="I326" t="inlineStr">
        <is>
          <t>habitat_size_guild</t>
        </is>
      </c>
      <c r="J326" t="n">
        <v>0.542</v>
      </c>
      <c r="K326" t="n">
        <v>0</v>
      </c>
      <c r="L326" s="6" t="inlineStr">
        <is>
          <t>Analyst inference from burrowing bivalve or polychaete identity: Table S2 Infauna explicitly comprises these organisms. Some named clam categories also occur in Epifauna, so this inferred extension requires review.</t>
        </is>
      </c>
    </row>
    <row r="327">
      <c r="A327" t="inlineStr">
        <is>
          <t>Dentex</t>
        </is>
      </c>
      <c r="B327" t="inlineStr">
        <is>
          <t>Toothed seabreams</t>
        </is>
      </c>
      <c r="C327" t="inlineStr">
        <is>
          <t>Large benthopelagics (&gt;=90 cm)</t>
        </is>
      </c>
      <c r="D327" t="inlineStr">
        <is>
          <t>Perch-likes</t>
        </is>
      </c>
      <c r="E327" s="7" t="inlineStr">
        <is>
          <t>Large Dem. fish</t>
        </is>
      </c>
      <c r="F327" t="inlineStr"/>
      <c r="G327" t="inlineStr"/>
      <c r="H327" t="inlineStr">
        <is>
          <t>low</t>
        </is>
      </c>
      <c r="I327" t="inlineStr">
        <is>
          <t>habitat_size_guild</t>
        </is>
      </c>
      <c r="J327" t="n">
        <v>0.501</v>
      </c>
      <c r="K327" t="n">
        <v>0</v>
      </c>
      <c r="L327" s="6" t="inlineStr">
        <is>
          <t>Analyst inference from SAU benthic fish habitat to the residual demersal pool containing gurnards, wolffish, sculpins and rocklings (Table S2); unlisted species and smaller fish make this a weak extension.</t>
        </is>
      </c>
    </row>
    <row r="328">
      <c r="A328" t="inlineStr">
        <is>
          <t>Arctica islandica</t>
        </is>
      </c>
      <c r="B328" t="inlineStr">
        <is>
          <t>Ocean quahog</t>
        </is>
      </c>
      <c r="C328" t="inlineStr">
        <is>
          <t>Other demersal invertebrates</t>
        </is>
      </c>
      <c r="D328" t="inlineStr">
        <is>
          <t>Molluscs</t>
        </is>
      </c>
      <c r="E328" s="8" t="inlineStr">
        <is>
          <t>Infauna</t>
        </is>
      </c>
      <c r="F328" t="inlineStr"/>
      <c r="G328" t="inlineStr"/>
      <c r="H328" t="inlineStr">
        <is>
          <t>medium</t>
        </is>
      </c>
      <c r="I328" t="inlineStr">
        <is>
          <t>habitat_size_guild</t>
        </is>
      </c>
      <c r="J328" t="n">
        <v>0.492</v>
      </c>
      <c r="K328" t="n">
        <v>0</v>
      </c>
      <c r="L328" s="6" t="inlineStr">
        <is>
          <t>Analyst inference from burrowing bivalve or polychaete identity: Table S2 Infauna explicitly comprises these organisms. Some named clam categories also occur in Epifauna, so this inferred extension requires review.</t>
        </is>
      </c>
    </row>
    <row r="329">
      <c r="A329" t="inlineStr">
        <is>
          <t>Molva macrophthalma</t>
        </is>
      </c>
      <c r="B329" t="inlineStr">
        <is>
          <t>Spanish ling</t>
        </is>
      </c>
      <c r="C329" t="inlineStr">
        <is>
          <t>Medium demersals (30 - 89 cm)</t>
        </is>
      </c>
      <c r="D329" t="inlineStr">
        <is>
          <t>Cod-likes</t>
        </is>
      </c>
      <c r="E329" s="8" t="inlineStr">
        <is>
          <t>Ling</t>
        </is>
      </c>
      <c r="F329" t="inlineStr"/>
      <c r="G329" t="inlineStr"/>
      <c r="H329" t="inlineStr">
        <is>
          <t>medium</t>
        </is>
      </c>
      <c r="I329" t="inlineStr">
        <is>
          <t>analogue</t>
        </is>
      </c>
      <c r="J329" t="n">
        <v>0.403</v>
      </c>
      <c r="K329" t="n">
        <v>0</v>
      </c>
      <c r="L329" s="6" t="inlineStr">
        <is>
          <t>Table S2 places congeneric Molva species in these group(s). This unlisted species is an explicit congeneric extension, not source membership.</t>
        </is>
      </c>
    </row>
    <row r="330">
      <c r="A330" t="inlineStr">
        <is>
          <t>Squatina squatina</t>
        </is>
      </c>
      <c r="B330" t="inlineStr">
        <is>
          <t>Angelshark</t>
        </is>
      </c>
      <c r="C330" t="inlineStr">
        <is>
          <t>Large sharks (&gt;=90 cm)</t>
        </is>
      </c>
      <c r="D330" t="inlineStr">
        <is>
          <t>Sharks &amp; rays</t>
        </is>
      </c>
      <c r="E330" s="8" t="inlineStr">
        <is>
          <t>Sharks &amp; rays</t>
        </is>
      </c>
      <c r="F330" t="inlineStr"/>
      <c r="G330" t="inlineStr"/>
      <c r="H330" t="inlineStr">
        <is>
          <t>medium</t>
        </is>
      </c>
      <c r="I330" t="inlineStr">
        <is>
          <t>taxonomic_containment</t>
        </is>
      </c>
      <c r="J330" t="n">
        <v>0.322</v>
      </c>
      <c r="K330" t="n">
        <v>0</v>
      </c>
      <c r="L330" s="6" t="inlineStr">
        <is>
          <t>SAU identifies shark or ray catch and Table S2 has a pooled Sharks &amp; rays group; extension beyond the listed species is explicit analyst inference.</t>
        </is>
      </c>
    </row>
    <row r="331">
      <c r="A331" t="inlineStr">
        <is>
          <t>Gaidropsarus</t>
        </is>
      </c>
      <c r="B331" t="inlineStr">
        <is>
          <t>Rocklings</t>
        </is>
      </c>
      <c r="C331" t="inlineStr">
        <is>
          <t>Medium benthopelagics (30 - 89 cm)</t>
        </is>
      </c>
      <c r="D331" t="inlineStr">
        <is>
          <t>Cod-likes</t>
        </is>
      </c>
      <c r="E331" s="8" t="inlineStr">
        <is>
          <t>Large Dem. fish</t>
        </is>
      </c>
      <c r="F331" t="inlineStr"/>
      <c r="G331" t="inlineStr"/>
      <c r="H331" t="inlineStr">
        <is>
          <t>medium</t>
        </is>
      </c>
      <c r="I331" t="inlineStr">
        <is>
          <t>taxonomic_containment</t>
        </is>
      </c>
      <c r="J331" t="n">
        <v>0.301</v>
      </c>
      <c r="K331" t="n">
        <v>0</v>
      </c>
      <c r="L331" s="6" t="inlineStr">
        <is>
          <t>Table S2 lists members of genus Gaidropsarus in these group(s); genus-level catch is assigned to their documented group union.</t>
        </is>
      </c>
    </row>
    <row r="332">
      <c r="A332" t="inlineStr">
        <is>
          <t>Liocarcinus depurator</t>
        </is>
      </c>
      <c r="B332" t="inlineStr">
        <is>
          <t>Blueleg swimcrab</t>
        </is>
      </c>
      <c r="C332" t="inlineStr">
        <is>
          <t>Lobsters, crabs</t>
        </is>
      </c>
      <c r="D332" t="inlineStr">
        <is>
          <t>Crustaceans</t>
        </is>
      </c>
      <c r="E332" s="5" t="inlineStr">
        <is>
          <t>Crustacea</t>
        </is>
      </c>
      <c r="F332" t="inlineStr"/>
      <c r="G332" t="inlineStr"/>
      <c r="H332" t="inlineStr">
        <is>
          <t>high</t>
        </is>
      </c>
      <c r="I332" t="inlineStr">
        <is>
          <t>taxonomic_containment</t>
        </is>
      </c>
      <c r="J332" t="n">
        <v>0.294</v>
      </c>
      <c r="K332" t="n">
        <v>0</v>
      </c>
      <c r="L332" s="6" t="inlineStr">
        <is>
          <t>SAU identifies shrimp or lobster/crab catch; Table S2 Crustacea includes shrimp, lobster and crab taxa without a finer model split.</t>
        </is>
      </c>
    </row>
    <row r="333">
      <c r="A333" t="inlineStr">
        <is>
          <t>Hypophthalmichthys nobilis</t>
        </is>
      </c>
      <c r="B333" t="inlineStr">
        <is>
          <t>Bighead carp</t>
        </is>
      </c>
      <c r="C333" t="inlineStr">
        <is>
          <t>Large benthopelagics (&gt;=90 cm)</t>
        </is>
      </c>
      <c r="D333" t="inlineStr">
        <is>
          <t>Other fishes &amp; inverts</t>
        </is>
      </c>
      <c r="E333" s="9" t="inlineStr">
        <is>
          <t>Unresolved</t>
        </is>
      </c>
      <c r="F333" t="inlineStr"/>
      <c r="G333" t="inlineStr"/>
      <c r="H333" t="inlineStr">
        <is>
          <t>unresolved</t>
        </is>
      </c>
      <c r="I333" t="inlineStr">
        <is>
          <t>none</t>
        </is>
      </c>
      <c r="J333" t="n">
        <v>0.282</v>
      </c>
      <c r="K333" t="n">
        <v>0</v>
      </c>
      <c r="L333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334">
      <c r="A334" t="inlineStr">
        <is>
          <t>Somniosus microcephalus</t>
        </is>
      </c>
      <c r="B334" t="inlineStr">
        <is>
          <t>Greenland shark</t>
        </is>
      </c>
      <c r="C334" t="inlineStr">
        <is>
          <t>Large sharks (&gt;=90 cm)</t>
        </is>
      </c>
      <c r="D334" t="inlineStr">
        <is>
          <t>Sharks &amp; rays</t>
        </is>
      </c>
      <c r="E334" s="8" t="inlineStr">
        <is>
          <t>Sharks &amp; rays</t>
        </is>
      </c>
      <c r="F334" t="inlineStr"/>
      <c r="G334" t="inlineStr"/>
      <c r="H334" t="inlineStr">
        <is>
          <t>medium</t>
        </is>
      </c>
      <c r="I334" t="inlineStr">
        <is>
          <t>taxonomic_containment</t>
        </is>
      </c>
      <c r="J334" t="n">
        <v>0.249</v>
      </c>
      <c r="K334" t="n">
        <v>0</v>
      </c>
      <c r="L334" s="6" t="inlineStr">
        <is>
          <t>SAU identifies shark or ray catch and Table S2 has a pooled Sharks &amp; rays group; extension beyond the listed species is explicit analyst inference.</t>
        </is>
      </c>
    </row>
    <row r="335">
      <c r="A335" t="inlineStr">
        <is>
          <t>Venus verrucosa</t>
        </is>
      </c>
      <c r="B335" t="inlineStr">
        <is>
          <t>Warty venus</t>
        </is>
      </c>
      <c r="C335" t="inlineStr">
        <is>
          <t>Other demersal invertebrates</t>
        </is>
      </c>
      <c r="D335" t="inlineStr">
        <is>
          <t>Molluscs</t>
        </is>
      </c>
      <c r="E335" s="8" t="inlineStr">
        <is>
          <t>Infauna</t>
        </is>
      </c>
      <c r="F335" t="inlineStr"/>
      <c r="G335" t="inlineStr"/>
      <c r="H335" t="inlineStr">
        <is>
          <t>medium</t>
        </is>
      </c>
      <c r="I335" t="inlineStr">
        <is>
          <t>habitat_size_guild</t>
        </is>
      </c>
      <c r="J335" t="n">
        <v>0.236</v>
      </c>
      <c r="K335" t="n">
        <v>0</v>
      </c>
      <c r="L335" s="6" t="inlineStr">
        <is>
          <t>Analyst inference from burrowing bivalve or polychaete identity: Table S2 Infauna explicitly comprises these organisms. Some named clam categories also occur in Epifauna, so this inferred extension requires review.</t>
        </is>
      </c>
    </row>
    <row r="336">
      <c r="A336" t="inlineStr">
        <is>
          <t>Scorpaena scrofa</t>
        </is>
      </c>
      <c r="B336" t="inlineStr">
        <is>
          <t>Red scorpionfish</t>
        </is>
      </c>
      <c r="C336" t="inlineStr">
        <is>
          <t>Medium demersals (30 - 89 cm)</t>
        </is>
      </c>
      <c r="D336" t="inlineStr">
        <is>
          <t>Scorpionfishes</t>
        </is>
      </c>
      <c r="E336" s="7" t="inlineStr">
        <is>
          <t>Large Dem. fish</t>
        </is>
      </c>
      <c r="F336" t="inlineStr"/>
      <c r="G336" t="inlineStr"/>
      <c r="H336" t="inlineStr">
        <is>
          <t>low</t>
        </is>
      </c>
      <c r="I336" t="inlineStr">
        <is>
          <t>habitat_size_guild</t>
        </is>
      </c>
      <c r="J336" t="n">
        <v>0.182</v>
      </c>
      <c r="K336" t="n">
        <v>0</v>
      </c>
      <c r="L336" s="6" t="inlineStr">
        <is>
          <t>Analyst inference from SAU benthic fish habitat to the residual demersal pool containing gurnards, wolffish, sculpins and rocklings (Table S2); unlisted species and smaller fish make this a weak extension.</t>
        </is>
      </c>
    </row>
    <row r="337">
      <c r="A337" t="inlineStr">
        <is>
          <t>Ostrea</t>
        </is>
      </c>
      <c r="B337" t="inlineStr">
        <is>
          <t>Flat oysters</t>
        </is>
      </c>
      <c r="C337" t="inlineStr">
        <is>
          <t>Other demersal invertebrates</t>
        </is>
      </c>
      <c r="D337" t="inlineStr">
        <is>
          <t>Molluscs</t>
        </is>
      </c>
      <c r="E337" s="8" t="inlineStr">
        <is>
          <t>Epifauna</t>
        </is>
      </c>
      <c r="F337" t="inlineStr"/>
      <c r="G337" t="inlineStr"/>
      <c r="H337" t="inlineStr">
        <is>
          <t>medium</t>
        </is>
      </c>
      <c r="I337" t="inlineStr">
        <is>
          <t>taxonomic_containment</t>
        </is>
      </c>
      <c r="J337" t="n">
        <v>0.177</v>
      </c>
      <c r="K337" t="n">
        <v>0</v>
      </c>
      <c r="L337" s="6" t="inlineStr">
        <is>
          <t>Table S2 Epifauna explicitly includes mussels, oysters, scallops, cockles, periwinkles and whelks; this catch label belongs to those source-defined categories.</t>
        </is>
      </c>
    </row>
    <row r="338">
      <c r="A338" t="inlineStr">
        <is>
          <t>Acanthocardia tuberculata</t>
        </is>
      </c>
      <c r="B338" t="inlineStr">
        <is>
          <t>Tuberculate cockle</t>
        </is>
      </c>
      <c r="C338" t="inlineStr">
        <is>
          <t>Other demersal invertebrates</t>
        </is>
      </c>
      <c r="D338" t="inlineStr">
        <is>
          <t>Molluscs</t>
        </is>
      </c>
      <c r="E338" s="8" t="inlineStr">
        <is>
          <t>Epifauna</t>
        </is>
      </c>
      <c r="F338" t="inlineStr"/>
      <c r="G338" t="inlineStr"/>
      <c r="H338" t="inlineStr">
        <is>
          <t>medium</t>
        </is>
      </c>
      <c r="I338" t="inlineStr">
        <is>
          <t>taxonomic_containment</t>
        </is>
      </c>
      <c r="J338" t="n">
        <v>0.176</v>
      </c>
      <c r="K338" t="n">
        <v>0</v>
      </c>
      <c r="L338" s="6" t="inlineStr">
        <is>
          <t>Table S2 Epifauna explicitly includes mussels, oysters, scallops, cockles, periwinkles and whelks; this catch label belongs to those source-defined categories.</t>
        </is>
      </c>
    </row>
    <row r="339">
      <c r="A339" t="inlineStr">
        <is>
          <t>Galeus</t>
        </is>
      </c>
      <c r="B339" t="inlineStr">
        <is>
          <t>Sawtail catsharks</t>
        </is>
      </c>
      <c r="C339" t="inlineStr">
        <is>
          <t>Small to medium sharks (&lt;90 cm)</t>
        </is>
      </c>
      <c r="D339" t="inlineStr">
        <is>
          <t>Sharks &amp; rays</t>
        </is>
      </c>
      <c r="E339" s="8" t="inlineStr">
        <is>
          <t>Sharks &amp; rays</t>
        </is>
      </c>
      <c r="F339" t="inlineStr"/>
      <c r="G339" t="inlineStr"/>
      <c r="H339" t="inlineStr">
        <is>
          <t>medium</t>
        </is>
      </c>
      <c r="I339" t="inlineStr">
        <is>
          <t>taxonomic_containment</t>
        </is>
      </c>
      <c r="J339" t="n">
        <v>0.155</v>
      </c>
      <c r="K339" t="n">
        <v>0</v>
      </c>
      <c r="L339" s="6" t="inlineStr">
        <is>
          <t>Table S2 lists members of genus Galeus in these group(s); genus-level catch is assigned to their documented group union.</t>
        </is>
      </c>
    </row>
    <row r="340">
      <c r="A340" t="inlineStr">
        <is>
          <t>Dendrobranchiata</t>
        </is>
      </c>
      <c r="B340" t="inlineStr">
        <is>
          <t>Shrimps and prawns</t>
        </is>
      </c>
      <c r="C340" t="inlineStr">
        <is>
          <t>Shrimps</t>
        </is>
      </c>
      <c r="D340" t="inlineStr">
        <is>
          <t>Crustaceans</t>
        </is>
      </c>
      <c r="E340" s="5" t="inlineStr">
        <is>
          <t>Crustacea</t>
        </is>
      </c>
      <c r="F340" t="inlineStr"/>
      <c r="G340" t="inlineStr"/>
      <c r="H340" t="inlineStr">
        <is>
          <t>high</t>
        </is>
      </c>
      <c r="I340" t="inlineStr">
        <is>
          <t>taxonomic_containment</t>
        </is>
      </c>
      <c r="J340" t="n">
        <v>0.144</v>
      </c>
      <c r="K340" t="n">
        <v>0</v>
      </c>
      <c r="L340" s="6" t="inlineStr">
        <is>
          <t>SAU identifies shrimp or lobster/crab catch; Table S2 Crustacea includes shrimp, lobster and crab taxa without a finer model split.</t>
        </is>
      </c>
    </row>
    <row r="341">
      <c r="A341" t="inlineStr">
        <is>
          <t>Nephropidae</t>
        </is>
      </c>
      <c r="B341" t="inlineStr">
        <is>
          <t>Clawed lobsters</t>
        </is>
      </c>
      <c r="C341" t="inlineStr">
        <is>
          <t>Lobsters, crabs</t>
        </is>
      </c>
      <c r="D341" t="inlineStr">
        <is>
          <t>Crustaceans</t>
        </is>
      </c>
      <c r="E341" s="5" t="inlineStr">
        <is>
          <t>Crustacea</t>
        </is>
      </c>
      <c r="F341" t="inlineStr"/>
      <c r="G341" t="inlineStr"/>
      <c r="H341" t="inlineStr">
        <is>
          <t>high</t>
        </is>
      </c>
      <c r="I341" t="inlineStr">
        <is>
          <t>taxonomic_containment</t>
        </is>
      </c>
      <c r="J341" t="n">
        <v>0.14</v>
      </c>
      <c r="K341" t="n">
        <v>0</v>
      </c>
      <c r="L341" s="6" t="inlineStr">
        <is>
          <t>SAU identifies shrimp or lobster/crab catch; Table S2 Crustacea includes shrimp, lobster and crab taxa without a finer model split.</t>
        </is>
      </c>
    </row>
    <row r="342">
      <c r="A342" t="inlineStr">
        <is>
          <t>Auxis</t>
        </is>
      </c>
      <c r="B342" t="inlineStr">
        <is>
          <t>Bullet and frigate tunas</t>
        </is>
      </c>
      <c r="C342" t="inlineStr">
        <is>
          <t>Medium pelagics (30 - 89 cm)</t>
        </is>
      </c>
      <c r="D342" t="inlineStr">
        <is>
          <t>Tuna &amp; billfishes</t>
        </is>
      </c>
      <c r="E342" s="9" t="inlineStr">
        <is>
          <t>Unresolved</t>
        </is>
      </c>
      <c r="F342" t="inlineStr"/>
      <c r="G342" t="inlineStr"/>
      <c r="H342" t="inlineStr">
        <is>
          <t>unresolved</t>
        </is>
      </c>
      <c r="I342" t="inlineStr">
        <is>
          <t>none</t>
        </is>
      </c>
      <c r="J342" t="n">
        <v>0.14</v>
      </c>
      <c r="K342" t="n">
        <v>0</v>
      </c>
      <c r="L342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343">
      <c r="A343" t="inlineStr">
        <is>
          <t>Salvelinus</t>
        </is>
      </c>
      <c r="B343" t="inlineStr">
        <is>
          <t>Chars</t>
        </is>
      </c>
      <c r="C343" t="inlineStr">
        <is>
          <t>Large benthopelagics (&gt;=90 cm)</t>
        </is>
      </c>
      <c r="D343" t="inlineStr">
        <is>
          <t>Salmon, smelts, etc</t>
        </is>
      </c>
      <c r="E343" s="9" t="inlineStr">
        <is>
          <t>Unresolved</t>
        </is>
      </c>
      <c r="F343" t="inlineStr"/>
      <c r="G343" t="inlineStr"/>
      <c r="H343" t="inlineStr">
        <is>
          <t>unresolved</t>
        </is>
      </c>
      <c r="I343" t="inlineStr">
        <is>
          <t>none</t>
        </is>
      </c>
      <c r="J343" t="n">
        <v>0.139</v>
      </c>
      <c r="K343" t="n">
        <v>0</v>
      </c>
      <c r="L343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344">
      <c r="A344" t="inlineStr">
        <is>
          <t>Carcharhinidae</t>
        </is>
      </c>
      <c r="B344" t="inlineStr">
        <is>
          <t>Requiem sharks</t>
        </is>
      </c>
      <c r="C344" t="inlineStr">
        <is>
          <t>Large sharks (&gt;=90 cm)</t>
        </is>
      </c>
      <c r="D344" t="inlineStr">
        <is>
          <t>Sharks &amp; rays</t>
        </is>
      </c>
      <c r="E344" s="8" t="inlineStr">
        <is>
          <t>Sharks &amp; rays</t>
        </is>
      </c>
      <c r="F344" t="inlineStr"/>
      <c r="G344" t="inlineStr"/>
      <c r="H344" t="inlineStr">
        <is>
          <t>medium</t>
        </is>
      </c>
      <c r="I344" t="inlineStr">
        <is>
          <t>taxonomic_containment</t>
        </is>
      </c>
      <c r="J344" t="n">
        <v>0.112</v>
      </c>
      <c r="K344" t="n">
        <v>0</v>
      </c>
      <c r="L344" s="6" t="inlineStr">
        <is>
          <t>SAU identifies shark or ray catch and Table S2 has a pooled Sharks &amp; rays group; extension beyond the listed species is explicit analyst inference.</t>
        </is>
      </c>
    </row>
    <row r="345">
      <c r="A345" t="inlineStr">
        <is>
          <t>Lithodes maja</t>
        </is>
      </c>
      <c r="B345" t="inlineStr">
        <is>
          <t>Stone king crab</t>
        </is>
      </c>
      <c r="C345" t="inlineStr">
        <is>
          <t>Lobsters, crabs</t>
        </is>
      </c>
      <c r="D345" t="inlineStr">
        <is>
          <t>Crustaceans</t>
        </is>
      </c>
      <c r="E345" s="5" t="inlineStr">
        <is>
          <t>Crustacea</t>
        </is>
      </c>
      <c r="F345" t="inlineStr"/>
      <c r="G345" t="inlineStr"/>
      <c r="H345" t="inlineStr">
        <is>
          <t>high</t>
        </is>
      </c>
      <c r="I345" t="inlineStr">
        <is>
          <t>taxonomic_containment</t>
        </is>
      </c>
      <c r="J345" t="n">
        <v>0.082</v>
      </c>
      <c r="K345" t="n">
        <v>0</v>
      </c>
      <c r="L345" s="6" t="inlineStr">
        <is>
          <t>SAU identifies shrimp or lobster/crab catch; Table S2 Crustacea includes shrimp, lobster and crab taxa without a finer model split.</t>
        </is>
      </c>
    </row>
    <row r="346">
      <c r="A346" t="inlineStr">
        <is>
          <t>Mactridae</t>
        </is>
      </c>
      <c r="B346" t="inlineStr">
        <is>
          <t>Mactra surf clams</t>
        </is>
      </c>
      <c r="C346" t="inlineStr">
        <is>
          <t>Other demersal invertebrates</t>
        </is>
      </c>
      <c r="D346" t="inlineStr">
        <is>
          <t>Molluscs</t>
        </is>
      </c>
      <c r="E346" s="8" t="inlineStr">
        <is>
          <t>Infauna</t>
        </is>
      </c>
      <c r="F346" t="inlineStr"/>
      <c r="G346" t="inlineStr"/>
      <c r="H346" t="inlineStr">
        <is>
          <t>medium</t>
        </is>
      </c>
      <c r="I346" t="inlineStr">
        <is>
          <t>habitat_size_guild</t>
        </is>
      </c>
      <c r="J346" t="n">
        <v>0.08</v>
      </c>
      <c r="K346" t="n">
        <v>0</v>
      </c>
      <c r="L346" s="6" t="inlineStr">
        <is>
          <t>Analyst inference from burrowing bivalve or polychaete identity: Table S2 Infauna explicitly comprises these organisms. Some named clam categories also occur in Epifauna, so this inferred extension requires review.</t>
        </is>
      </c>
    </row>
    <row r="347">
      <c r="A347" t="inlineStr">
        <is>
          <t>Scomber</t>
        </is>
      </c>
      <c r="B347" t="inlineStr">
        <is>
          <t>Chub mackerels</t>
        </is>
      </c>
      <c r="C347" t="inlineStr">
        <is>
          <t>Medium pelagics (30 - 89 cm)</t>
        </is>
      </c>
      <c r="D347" t="inlineStr">
        <is>
          <t>Perch-likes</t>
        </is>
      </c>
      <c r="E347" s="8" t="inlineStr">
        <is>
          <t>Large Pelagics</t>
        </is>
      </c>
      <c r="F347" t="inlineStr"/>
      <c r="G347" t="inlineStr"/>
      <c r="H347" t="inlineStr">
        <is>
          <t>medium</t>
        </is>
      </c>
      <c r="I347" t="inlineStr">
        <is>
          <t>taxonomic_containment</t>
        </is>
      </c>
      <c r="J347" t="n">
        <v>0.074</v>
      </c>
      <c r="K347" t="n">
        <v>0</v>
      </c>
      <c r="L347" s="6" t="inlineStr">
        <is>
          <t>Table S2 lists members of genus Scomber in these group(s); genus-level catch is assigned to their documented group union.</t>
        </is>
      </c>
    </row>
    <row r="348">
      <c r="A348" t="inlineStr">
        <is>
          <t>Polititapes rhomboides</t>
        </is>
      </c>
      <c r="B348" t="inlineStr">
        <is>
          <t>Banded carpet shell</t>
        </is>
      </c>
      <c r="C348" t="inlineStr">
        <is>
          <t>Other demersal invertebrates</t>
        </is>
      </c>
      <c r="D348" t="inlineStr">
        <is>
          <t>Molluscs</t>
        </is>
      </c>
      <c r="E348" s="8" t="inlineStr">
        <is>
          <t>Infauna</t>
        </is>
      </c>
      <c r="F348" t="inlineStr"/>
      <c r="G348" t="inlineStr"/>
      <c r="H348" t="inlineStr">
        <is>
          <t>medium</t>
        </is>
      </c>
      <c r="I348" t="inlineStr">
        <is>
          <t>habitat_size_guild</t>
        </is>
      </c>
      <c r="J348" t="n">
        <v>0.07199999999999999</v>
      </c>
      <c r="K348" t="n">
        <v>0</v>
      </c>
      <c r="L348" s="6" t="inlineStr">
        <is>
          <t>Analyst inference from burrowing bivalve or polychaete identity: Table S2 Infauna explicitly comprises these organisms. Some named clam categories also occur in Epifauna, so this inferred extension requires review.</t>
        </is>
      </c>
    </row>
    <row r="349">
      <c r="A349" t="inlineStr">
        <is>
          <t>Acipenser sturio</t>
        </is>
      </c>
      <c r="B349" t="inlineStr">
        <is>
          <t>Sturgeon</t>
        </is>
      </c>
      <c r="C349" t="inlineStr">
        <is>
          <t>Large demersals (&gt;=90 cm)</t>
        </is>
      </c>
      <c r="D349" t="inlineStr">
        <is>
          <t>Other fishes &amp; inverts</t>
        </is>
      </c>
      <c r="E349" s="9" t="inlineStr">
        <is>
          <t>Unresolved</t>
        </is>
      </c>
      <c r="F349" t="inlineStr"/>
      <c r="G349" t="inlineStr"/>
      <c r="H349" t="inlineStr">
        <is>
          <t>unresolved</t>
        </is>
      </c>
      <c r="I349" t="inlineStr">
        <is>
          <t>none</t>
        </is>
      </c>
      <c r="J349" t="n">
        <v>0.06900000000000001</v>
      </c>
      <c r="K349" t="n">
        <v>0</v>
      </c>
      <c r="L349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350">
      <c r="A350" t="inlineStr">
        <is>
          <t>Sebastes viviparus</t>
        </is>
      </c>
      <c r="B350" t="inlineStr">
        <is>
          <t>Norway redfish</t>
        </is>
      </c>
      <c r="C350" t="inlineStr">
        <is>
          <t>Medium demersals (30 - 89 cm)</t>
        </is>
      </c>
      <c r="D350" t="inlineStr">
        <is>
          <t>Scorpionfishes</t>
        </is>
      </c>
      <c r="E350" s="8" t="inlineStr">
        <is>
          <t>Large Dem. fish</t>
        </is>
      </c>
      <c r="F350" t="inlineStr"/>
      <c r="G350" t="inlineStr"/>
      <c r="H350" t="inlineStr">
        <is>
          <t>medium</t>
        </is>
      </c>
      <c r="I350" t="inlineStr">
        <is>
          <t>analogue</t>
        </is>
      </c>
      <c r="J350" t="n">
        <v>0.061</v>
      </c>
      <c r="K350" t="n">
        <v>0</v>
      </c>
      <c r="L350" s="6" t="inlineStr">
        <is>
          <t>Table S2 places congeneric Sebastes species in these group(s). This unlisted species is an explicit congeneric extension, not source membership.</t>
        </is>
      </c>
    </row>
    <row r="351">
      <c r="A351" t="inlineStr">
        <is>
          <t>Scomberesocidae</t>
        </is>
      </c>
      <c r="B351" t="inlineStr">
        <is>
          <t>Sauries</t>
        </is>
      </c>
      <c r="C351" t="inlineStr">
        <is>
          <t>Medium pelagics (30 - 89 cm)</t>
        </is>
      </c>
      <c r="D351" t="inlineStr">
        <is>
          <t>Other fishes &amp; inverts</t>
        </is>
      </c>
      <c r="E351" s="7" t="inlineStr">
        <is>
          <t>Large Pelagics</t>
        </is>
      </c>
      <c r="F351" t="inlineStr"/>
      <c r="G351" t="inlineStr"/>
      <c r="H351" t="inlineStr">
        <is>
          <t>low</t>
        </is>
      </c>
      <c r="I351" t="inlineStr">
        <is>
          <t>habitat_size_guild</t>
        </is>
      </c>
      <c r="J351" t="n">
        <v>0.057</v>
      </c>
      <c r="K351" t="n">
        <v>0</v>
      </c>
      <c r="L351" s="6" t="inlineStr">
        <is>
          <t>Analyst inference from SAU pelagic size/habitat class to the Table S2 pelagic pools; this species is not listed and the model lacks its own dedicated compartment.</t>
        </is>
      </c>
    </row>
    <row r="352">
      <c r="A352" t="inlineStr">
        <is>
          <t>Ensis ensis</t>
        </is>
      </c>
      <c r="B352" t="inlineStr">
        <is>
          <t>Pod razor</t>
        </is>
      </c>
      <c r="C352" t="inlineStr">
        <is>
          <t>Other demersal invertebrates</t>
        </is>
      </c>
      <c r="D352" t="inlineStr">
        <is>
          <t>Molluscs</t>
        </is>
      </c>
      <c r="E352" s="5" t="inlineStr">
        <is>
          <t>Infauna</t>
        </is>
      </c>
      <c r="F352" t="inlineStr"/>
      <c r="G352" t="inlineStr"/>
      <c r="H352" t="inlineStr">
        <is>
          <t>high</t>
        </is>
      </c>
      <c r="I352" t="inlineStr">
        <is>
          <t>explicit_member</t>
        </is>
      </c>
      <c r="J352" t="n">
        <v>0.047</v>
      </c>
      <c r="K352" t="n">
        <v>0</v>
      </c>
      <c r="L352" s="6" t="inlineStr">
        <is>
          <t>Table S2 explicitly lists Ensis ensis in this model group; source membership overrides the SAU habitat-size class.</t>
        </is>
      </c>
    </row>
    <row r="353">
      <c r="A353" t="inlineStr">
        <is>
          <t>Donax</t>
        </is>
      </c>
      <c r="B353" t="inlineStr">
        <is>
          <t>Bean clams</t>
        </is>
      </c>
      <c r="C353" t="inlineStr">
        <is>
          <t>Other demersal invertebrates</t>
        </is>
      </c>
      <c r="D353" t="inlineStr">
        <is>
          <t>Molluscs</t>
        </is>
      </c>
      <c r="E353" s="8" t="inlineStr">
        <is>
          <t>Infauna</t>
        </is>
      </c>
      <c r="F353" t="inlineStr"/>
      <c r="G353" t="inlineStr"/>
      <c r="H353" t="inlineStr">
        <is>
          <t>medium</t>
        </is>
      </c>
      <c r="I353" t="inlineStr">
        <is>
          <t>habitat_size_guild</t>
        </is>
      </c>
      <c r="J353" t="n">
        <v>0.045</v>
      </c>
      <c r="K353" t="n">
        <v>0</v>
      </c>
      <c r="L353" s="6" t="inlineStr">
        <is>
          <t>Analyst inference from burrowing bivalve or polychaete identity: Table S2 Infauna explicitly comprises these organisms. Some named clam categories also occur in Epifauna, so this inferred extension requires review.</t>
        </is>
      </c>
    </row>
    <row r="354">
      <c r="A354" t="inlineStr">
        <is>
          <t>Palinurus elephas</t>
        </is>
      </c>
      <c r="B354" t="inlineStr">
        <is>
          <t>Common spiny lobster</t>
        </is>
      </c>
      <c r="C354" t="inlineStr">
        <is>
          <t>Lobsters, crabs</t>
        </is>
      </c>
      <c r="D354" t="inlineStr">
        <is>
          <t>Crustaceans</t>
        </is>
      </c>
      <c r="E354" s="5" t="inlineStr">
        <is>
          <t>Crustacea</t>
        </is>
      </c>
      <c r="F354" t="inlineStr"/>
      <c r="G354" t="inlineStr"/>
      <c r="H354" t="inlineStr">
        <is>
          <t>high</t>
        </is>
      </c>
      <c r="I354" t="inlineStr">
        <is>
          <t>taxonomic_containment</t>
        </is>
      </c>
      <c r="J354" t="n">
        <v>0.043</v>
      </c>
      <c r="K354" t="n">
        <v>0</v>
      </c>
      <c r="L354" s="6" t="inlineStr">
        <is>
          <t>SAU identifies shrimp or lobster/crab catch; Table S2 Crustacea includes shrimp, lobster and crab taxa without a finer model split.</t>
        </is>
      </c>
    </row>
    <row r="355">
      <c r="A355" t="inlineStr">
        <is>
          <t>Callista chione</t>
        </is>
      </c>
      <c r="B355" t="inlineStr">
        <is>
          <t>Smooth callista</t>
        </is>
      </c>
      <c r="C355" t="inlineStr">
        <is>
          <t>Other demersal invertebrates</t>
        </is>
      </c>
      <c r="D355" t="inlineStr">
        <is>
          <t>Molluscs</t>
        </is>
      </c>
      <c r="E355" s="8" t="inlineStr">
        <is>
          <t>Infauna</t>
        </is>
      </c>
      <c r="F355" t="inlineStr"/>
      <c r="G355" t="inlineStr"/>
      <c r="H355" t="inlineStr">
        <is>
          <t>medium</t>
        </is>
      </c>
      <c r="I355" t="inlineStr">
        <is>
          <t>habitat_size_guild</t>
        </is>
      </c>
      <c r="J355" t="n">
        <v>0.039</v>
      </c>
      <c r="K355" t="n">
        <v>0</v>
      </c>
      <c r="L355" s="6" t="inlineStr">
        <is>
          <t>Analyst inference from burrowing bivalve or polychaete identity: Table S2 Infauna explicitly comprises these organisms. Some named clam categories also occur in Epifauna, so this inferred extension requires review.</t>
        </is>
      </c>
    </row>
    <row r="356">
      <c r="A356" t="inlineStr">
        <is>
          <t>Ommastrephidae</t>
        </is>
      </c>
      <c r="B356" t="inlineStr">
        <is>
          <t>Arrow squids</t>
        </is>
      </c>
      <c r="C356" t="inlineStr">
        <is>
          <t>Cephalopods</t>
        </is>
      </c>
      <c r="D356" t="inlineStr">
        <is>
          <t>Other fishes &amp; inverts</t>
        </is>
      </c>
      <c r="E356" s="5" t="inlineStr">
        <is>
          <t>Squid &amp; Octopus</t>
        </is>
      </c>
      <c r="F356" t="inlineStr"/>
      <c r="G356" t="inlineStr"/>
      <c r="H356" t="inlineStr">
        <is>
          <t>high</t>
        </is>
      </c>
      <c r="I356" t="inlineStr">
        <is>
          <t>taxonomic_containment</t>
        </is>
      </c>
      <c r="J356" t="n">
        <v>0.036</v>
      </c>
      <c r="K356" t="n">
        <v>0</v>
      </c>
      <c r="L356" s="6" t="inlineStr">
        <is>
          <t>SAU identifies this catch as cephalopods; Table S2 pools squid, octopus and cuttlefish in Squid &amp; Octopus.</t>
        </is>
      </c>
    </row>
    <row r="357">
      <c r="A357" t="inlineStr">
        <is>
          <t>Palaemon longirostris</t>
        </is>
      </c>
      <c r="B357" t="inlineStr">
        <is>
          <t>Delta prawn</t>
        </is>
      </c>
      <c r="C357" t="inlineStr">
        <is>
          <t>Shrimps</t>
        </is>
      </c>
      <c r="D357" t="inlineStr">
        <is>
          <t>Crustaceans</t>
        </is>
      </c>
      <c r="E357" s="5" t="inlineStr">
        <is>
          <t>Crustacea</t>
        </is>
      </c>
      <c r="F357" t="inlineStr"/>
      <c r="G357" t="inlineStr"/>
      <c r="H357" t="inlineStr">
        <is>
          <t>high</t>
        </is>
      </c>
      <c r="I357" t="inlineStr">
        <is>
          <t>taxonomic_containment</t>
        </is>
      </c>
      <c r="J357" t="n">
        <v>0.034</v>
      </c>
      <c r="K357" t="n">
        <v>0</v>
      </c>
      <c r="L357" s="6" t="inlineStr">
        <is>
          <t>SAU identifies shrimp or lobster/crab catch; Table S2 Crustacea includes shrimp, lobster and crab taxa without a finer model split.</t>
        </is>
      </c>
    </row>
    <row r="358">
      <c r="A358" t="inlineStr">
        <is>
          <t>Phycis</t>
        </is>
      </c>
      <c r="B358" t="inlineStr">
        <is>
          <t>Gunnels, forkbeards</t>
        </is>
      </c>
      <c r="C358" t="inlineStr">
        <is>
          <t>Medium benthopelagics (30 - 89 cm)</t>
        </is>
      </c>
      <c r="D358" t="inlineStr">
        <is>
          <t>Cod-likes</t>
        </is>
      </c>
      <c r="E358" s="8" t="inlineStr">
        <is>
          <t>Large Dem. fish</t>
        </is>
      </c>
      <c r="F358" t="inlineStr"/>
      <c r="G358" t="inlineStr"/>
      <c r="H358" t="inlineStr">
        <is>
          <t>medium</t>
        </is>
      </c>
      <c r="I358" t="inlineStr">
        <is>
          <t>taxonomic_containment</t>
        </is>
      </c>
      <c r="J358" t="n">
        <v>0.034</v>
      </c>
      <c r="K358" t="n">
        <v>0</v>
      </c>
      <c r="L358" s="6" t="inlineStr">
        <is>
          <t>Table S2 lists members of genus Phycis in these group(s); genus-level catch is assigned to their documented group union.</t>
        </is>
      </c>
    </row>
    <row r="359">
      <c r="A359" t="inlineStr">
        <is>
          <t>Palinuridae</t>
        </is>
      </c>
      <c r="B359" t="inlineStr">
        <is>
          <t>Spiny lobsters</t>
        </is>
      </c>
      <c r="C359" t="inlineStr">
        <is>
          <t>Lobsters, crabs</t>
        </is>
      </c>
      <c r="D359" t="inlineStr">
        <is>
          <t>Crustaceans</t>
        </is>
      </c>
      <c r="E359" s="5" t="inlineStr">
        <is>
          <t>Crustacea</t>
        </is>
      </c>
      <c r="F359" t="inlineStr"/>
      <c r="G359" t="inlineStr"/>
      <c r="H359" t="inlineStr">
        <is>
          <t>high</t>
        </is>
      </c>
      <c r="I359" t="inlineStr">
        <is>
          <t>taxonomic_containment</t>
        </is>
      </c>
      <c r="J359" t="n">
        <v>0.03</v>
      </c>
      <c r="K359" t="n">
        <v>0</v>
      </c>
      <c r="L359" s="6" t="inlineStr">
        <is>
          <t>SAU identifies shrimp or lobster/crab catch; Table S2 Crustacea includes shrimp, lobster and crab taxa without a finer model split.</t>
        </is>
      </c>
    </row>
    <row r="360">
      <c r="A360" t="inlineStr">
        <is>
          <t>Chelon auratus</t>
        </is>
      </c>
      <c r="B360" t="inlineStr">
        <is>
          <t>Golden grey mullet</t>
        </is>
      </c>
      <c r="C360" t="inlineStr">
        <is>
          <t>Medium pelagics (30 - 89 cm)</t>
        </is>
      </c>
      <c r="D360" t="inlineStr">
        <is>
          <t>Other fishes &amp; inverts</t>
        </is>
      </c>
      <c r="E360" s="7" t="inlineStr">
        <is>
          <t>Large Pelagics</t>
        </is>
      </c>
      <c r="F360" t="inlineStr"/>
      <c r="G360" t="inlineStr"/>
      <c r="H360" t="inlineStr">
        <is>
          <t>low</t>
        </is>
      </c>
      <c r="I360" t="inlineStr">
        <is>
          <t>habitat_size_guild</t>
        </is>
      </c>
      <c r="J360" t="n">
        <v>0.026</v>
      </c>
      <c r="K360" t="n">
        <v>0</v>
      </c>
      <c r="L360" s="6" t="inlineStr">
        <is>
          <t>Analyst inference from SAU pelagic size/habitat class to the Table S2 pelagic pools; this species is not listed and the model lacks its own dedicated compartment.</t>
        </is>
      </c>
    </row>
    <row r="361">
      <c r="A361" t="inlineStr">
        <is>
          <t>Trachichthyidae</t>
        </is>
      </c>
      <c r="B361" t="inlineStr">
        <is>
          <t>Slimeheads</t>
        </is>
      </c>
      <c r="C361" t="inlineStr">
        <is>
          <t>Medium bathypelagics (30 - 89 cm)</t>
        </is>
      </c>
      <c r="D361" t="inlineStr">
        <is>
          <t>Other fishes &amp; inverts</t>
        </is>
      </c>
      <c r="E361" s="9" t="inlineStr">
        <is>
          <t>Unresolved</t>
        </is>
      </c>
      <c r="F361" t="inlineStr"/>
      <c r="G361" t="inlineStr"/>
      <c r="H361" t="inlineStr">
        <is>
          <t>unresolved</t>
        </is>
      </c>
      <c r="I361" t="inlineStr">
        <is>
          <t>none</t>
        </is>
      </c>
      <c r="J361" t="n">
        <v>0.025</v>
      </c>
      <c r="K361" t="n">
        <v>0</v>
      </c>
      <c r="L361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362">
      <c r="A362" t="inlineStr">
        <is>
          <t>Paracentrotus lividus</t>
        </is>
      </c>
      <c r="B362" t="inlineStr">
        <is>
          <t>Stony sea urchin</t>
        </is>
      </c>
      <c r="C362" t="inlineStr">
        <is>
          <t>Other demersal invertebrates</t>
        </is>
      </c>
      <c r="D362" t="inlineStr">
        <is>
          <t>Other fishes &amp; inverts</t>
        </is>
      </c>
      <c r="E362" s="7" t="inlineStr">
        <is>
          <t>Epifauna</t>
        </is>
      </c>
      <c r="F362" t="inlineStr"/>
      <c r="G362" t="inlineStr"/>
      <c r="H362" t="inlineStr">
        <is>
          <t>low</t>
        </is>
      </c>
      <c r="I362" t="inlineStr">
        <is>
          <t>habitat_size_guild</t>
        </is>
      </c>
      <c r="J362" t="n">
        <v>0.021</v>
      </c>
      <c r="K362" t="n">
        <v>0</v>
      </c>
      <c r="L362" s="6" t="inlineStr">
        <is>
          <t>Analyst inference: benthic epifaunal catch is represented by the Epifauna compartment name; Table S2 does not list this organism, so its detailed trophic placement remains weakly supported.</t>
        </is>
      </c>
    </row>
    <row r="363">
      <c r="A363" t="inlineStr">
        <is>
          <t>Istiophorus albicans</t>
        </is>
      </c>
      <c r="B363" t="inlineStr">
        <is>
          <t>Atlantic sailfish</t>
        </is>
      </c>
      <c r="C363" t="inlineStr">
        <is>
          <t>Large pelagics (&gt;=90 cm)</t>
        </is>
      </c>
      <c r="D363" t="inlineStr">
        <is>
          <t>Tuna &amp; billfishes</t>
        </is>
      </c>
      <c r="E363" s="9" t="inlineStr">
        <is>
          <t>Unresolved</t>
        </is>
      </c>
      <c r="F363" t="inlineStr"/>
      <c r="G363" t="inlineStr"/>
      <c r="H363" t="inlineStr">
        <is>
          <t>unresolved</t>
        </is>
      </c>
      <c r="I363" t="inlineStr">
        <is>
          <t>none</t>
        </is>
      </c>
      <c r="J363" t="n">
        <v>0.019</v>
      </c>
      <c r="K363" t="n">
        <v>0</v>
      </c>
      <c r="L363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364">
      <c r="A364" t="inlineStr">
        <is>
          <t>Dicentrarchus punctatus</t>
        </is>
      </c>
      <c r="B364" t="inlineStr">
        <is>
          <t>Spotted seabass</t>
        </is>
      </c>
      <c r="C364" t="inlineStr">
        <is>
          <t>Medium pelagics (30 - 89 cm)</t>
        </is>
      </c>
      <c r="D364" t="inlineStr">
        <is>
          <t>Perch-likes</t>
        </is>
      </c>
      <c r="E364" s="7" t="inlineStr">
        <is>
          <t>Large Pelagics</t>
        </is>
      </c>
      <c r="F364" t="inlineStr"/>
      <c r="G364" t="inlineStr"/>
      <c r="H364" t="inlineStr">
        <is>
          <t>low</t>
        </is>
      </c>
      <c r="I364" t="inlineStr">
        <is>
          <t>habitat_size_guild</t>
        </is>
      </c>
      <c r="J364" t="n">
        <v>0.016</v>
      </c>
      <c r="K364" t="n">
        <v>0</v>
      </c>
      <c r="L364" s="6" t="inlineStr">
        <is>
          <t>Analyst inference from SAU pelagic size/habitat class to the Table S2 pelagic pools; this species is not listed and the model lacks its own dedicated compartment.</t>
        </is>
      </c>
    </row>
    <row r="365">
      <c r="A365" t="inlineStr">
        <is>
          <t>Bramidae</t>
        </is>
      </c>
      <c r="B365" t="inlineStr">
        <is>
          <t>Pomfrets</t>
        </is>
      </c>
      <c r="C365" t="inlineStr">
        <is>
          <t>Medium pelagics (30 - 89 cm)</t>
        </is>
      </c>
      <c r="D365" t="inlineStr">
        <is>
          <t>Perch-likes</t>
        </is>
      </c>
      <c r="E365" s="9" t="inlineStr">
        <is>
          <t>Unresolved</t>
        </is>
      </c>
      <c r="F365" t="inlineStr"/>
      <c r="G365" t="inlineStr"/>
      <c r="H365" t="inlineStr">
        <is>
          <t>unresolved</t>
        </is>
      </c>
      <c r="I365" t="inlineStr">
        <is>
          <t>none</t>
        </is>
      </c>
      <c r="J365" t="n">
        <v>0.013</v>
      </c>
      <c r="K365" t="n">
        <v>0</v>
      </c>
      <c r="L365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366">
      <c r="A366" t="inlineStr">
        <is>
          <t>Spisula ovalis</t>
        </is>
      </c>
      <c r="B366" t="inlineStr">
        <is>
          <t>Venus clam</t>
        </is>
      </c>
      <c r="C366" t="inlineStr">
        <is>
          <t>Other demersal invertebrates</t>
        </is>
      </c>
      <c r="D366" t="inlineStr">
        <is>
          <t>Molluscs</t>
        </is>
      </c>
      <c r="E366" s="8" t="inlineStr">
        <is>
          <t>Infauna</t>
        </is>
      </c>
      <c r="F366" t="inlineStr"/>
      <c r="G366" t="inlineStr"/>
      <c r="H366" t="inlineStr">
        <is>
          <t>medium</t>
        </is>
      </c>
      <c r="I366" t="inlineStr">
        <is>
          <t>habitat_size_guild</t>
        </is>
      </c>
      <c r="J366" t="n">
        <v>0.012</v>
      </c>
      <c r="K366" t="n">
        <v>0</v>
      </c>
      <c r="L366" s="6" t="inlineStr">
        <is>
          <t>Analyst inference from burrowing bivalve or polychaete identity: Table S2 Infauna explicitly comprises these organisms. Some named clam categories also occur in Epifauna, so this inferred extension requires review.</t>
        </is>
      </c>
    </row>
    <row r="367">
      <c r="A367" t="inlineStr">
        <is>
          <t>Chlamys islandica</t>
        </is>
      </c>
      <c r="B367" t="inlineStr">
        <is>
          <t>Iceland scallop</t>
        </is>
      </c>
      <c r="C367" t="inlineStr">
        <is>
          <t>Other demersal invertebrates</t>
        </is>
      </c>
      <c r="D367" t="inlineStr">
        <is>
          <t>Molluscs</t>
        </is>
      </c>
      <c r="E367" s="8" t="inlineStr">
        <is>
          <t>Epifauna</t>
        </is>
      </c>
      <c r="F367" t="inlineStr"/>
      <c r="G367" t="inlineStr"/>
      <c r="H367" t="inlineStr">
        <is>
          <t>medium</t>
        </is>
      </c>
      <c r="I367" t="inlineStr">
        <is>
          <t>taxonomic_containment</t>
        </is>
      </c>
      <c r="J367" t="n">
        <v>0.012</v>
      </c>
      <c r="K367" t="n">
        <v>0</v>
      </c>
      <c r="L367" s="6" t="inlineStr">
        <is>
          <t>Table S2 Epifauna explicitly includes mussels, oysters, scallops, cockles, periwinkles and whelks; this catch label belongs to those source-defined categories.</t>
        </is>
      </c>
    </row>
    <row r="368">
      <c r="A368" t="inlineStr">
        <is>
          <t>Ammodytes tobianus</t>
        </is>
      </c>
      <c r="B368" t="inlineStr">
        <is>
          <t>Small sandeel</t>
        </is>
      </c>
      <c r="C368" t="inlineStr">
        <is>
          <t>Small demersals (&lt;30 cm)</t>
        </is>
      </c>
      <c r="D368" t="inlineStr">
        <is>
          <t>Perch-likes</t>
        </is>
      </c>
      <c r="E368" s="5" t="inlineStr">
        <is>
          <t>Small pelagics</t>
        </is>
      </c>
      <c r="F368" t="inlineStr"/>
      <c r="G368" t="inlineStr"/>
      <c r="H368" t="inlineStr">
        <is>
          <t>high</t>
        </is>
      </c>
      <c r="I368" t="inlineStr">
        <is>
          <t>explicit_member</t>
        </is>
      </c>
      <c r="J368" t="n">
        <v>0.012</v>
      </c>
      <c r="K368" t="n">
        <v>0</v>
      </c>
      <c r="L368" s="6" t="inlineStr">
        <is>
          <t>Table S2 explicitly lists Ammodytes tobianus in this model group; source membership overrides the SAU habitat-size class.</t>
        </is>
      </c>
    </row>
    <row r="369">
      <c r="A369" t="inlineStr">
        <is>
          <t>Centroscyllium fabricii</t>
        </is>
      </c>
      <c r="B369" t="inlineStr">
        <is>
          <t>Black dogfish</t>
        </is>
      </c>
      <c r="C369" t="inlineStr">
        <is>
          <t>Small to medium sharks (&lt;90 cm)</t>
        </is>
      </c>
      <c r="D369" t="inlineStr">
        <is>
          <t>Sharks &amp; rays</t>
        </is>
      </c>
      <c r="E369" s="8" t="inlineStr">
        <is>
          <t>Sharks &amp; rays</t>
        </is>
      </c>
      <c r="F369" t="inlineStr"/>
      <c r="G369" t="inlineStr"/>
      <c r="H369" t="inlineStr">
        <is>
          <t>medium</t>
        </is>
      </c>
      <c r="I369" t="inlineStr">
        <is>
          <t>taxonomic_containment</t>
        </is>
      </c>
      <c r="J369" t="n">
        <v>0.011</v>
      </c>
      <c r="K369" t="n">
        <v>0</v>
      </c>
      <c r="L369" s="6" t="inlineStr">
        <is>
          <t>SAU identifies shark or ray catch and Table S2 has a pooled Sharks &amp; rays group; extension beyond the listed species is explicit analyst inference.</t>
        </is>
      </c>
    </row>
    <row r="370">
      <c r="A370" t="inlineStr">
        <is>
          <t>Myliobatis aquila</t>
        </is>
      </c>
      <c r="B370" t="inlineStr">
        <is>
          <t>Common eagle ray</t>
        </is>
      </c>
      <c r="C370" t="inlineStr">
        <is>
          <t>Large rays (&gt;=90 cm)</t>
        </is>
      </c>
      <c r="D370" t="inlineStr">
        <is>
          <t>Sharks &amp; rays</t>
        </is>
      </c>
      <c r="E370" s="8" t="inlineStr">
        <is>
          <t>Sharks &amp; rays</t>
        </is>
      </c>
      <c r="F370" t="inlineStr"/>
      <c r="G370" t="inlineStr"/>
      <c r="H370" t="inlineStr">
        <is>
          <t>medium</t>
        </is>
      </c>
      <c r="I370" t="inlineStr">
        <is>
          <t>taxonomic_containment</t>
        </is>
      </c>
      <c r="J370" t="n">
        <v>0.01</v>
      </c>
      <c r="K370" t="n">
        <v>0</v>
      </c>
      <c r="L370" s="6" t="inlineStr">
        <is>
          <t>SAU identifies shark or ray catch and Table S2 has a pooled Sharks &amp; rays group; extension beyond the listed species is explicit analyst inference.</t>
        </is>
      </c>
    </row>
    <row r="371">
      <c r="A371" t="inlineStr">
        <is>
          <t>Galeus melastomus</t>
        </is>
      </c>
      <c r="B371" t="inlineStr">
        <is>
          <t>Blackmouth catshark</t>
        </is>
      </c>
      <c r="C371" t="inlineStr">
        <is>
          <t>Small to medium sharks (&lt;90 cm)</t>
        </is>
      </c>
      <c r="D371" t="inlineStr">
        <is>
          <t>Sharks &amp; rays</t>
        </is>
      </c>
      <c r="E371" s="5" t="inlineStr">
        <is>
          <t>Sharks &amp; rays</t>
        </is>
      </c>
      <c r="F371" t="inlineStr"/>
      <c r="G371" t="inlineStr"/>
      <c r="H371" t="inlineStr">
        <is>
          <t>high</t>
        </is>
      </c>
      <c r="I371" t="inlineStr">
        <is>
          <t>explicit_member</t>
        </is>
      </c>
      <c r="J371" t="n">
        <v>0.008999999999999999</v>
      </c>
      <c r="K371" t="n">
        <v>0</v>
      </c>
      <c r="L371" s="6" t="inlineStr">
        <is>
          <t>Table S2 explicitly lists Galeus melastomus in this model group; source membership overrides the SAU habitat-size class.</t>
        </is>
      </c>
    </row>
    <row r="372">
      <c r="A372" t="inlineStr">
        <is>
          <t>Pagellus</t>
        </is>
      </c>
      <c r="B372" t="inlineStr">
        <is>
          <t>Pandoras</t>
        </is>
      </c>
      <c r="C372" t="inlineStr">
        <is>
          <t>Medium benthopelagics (30 - 89 cm)</t>
        </is>
      </c>
      <c r="D372" t="inlineStr">
        <is>
          <t>Perch-likes</t>
        </is>
      </c>
      <c r="E372" s="7" t="inlineStr">
        <is>
          <t>Large Dem. fish</t>
        </is>
      </c>
      <c r="F372" t="inlineStr"/>
      <c r="G372" t="inlineStr"/>
      <c r="H372" t="inlineStr">
        <is>
          <t>low</t>
        </is>
      </c>
      <c r="I372" t="inlineStr">
        <is>
          <t>habitat_size_guild</t>
        </is>
      </c>
      <c r="J372" t="n">
        <v>0.008999999999999999</v>
      </c>
      <c r="K372" t="n">
        <v>0</v>
      </c>
      <c r="L372" s="6" t="inlineStr">
        <is>
          <t>Analyst inference from SAU benthic fish habitat to the residual demersal pool containing gurnards, wolffish, sculpins and rocklings (Table S2); unlisted species and smaller fish make this a weak extension.</t>
        </is>
      </c>
    </row>
    <row r="373">
      <c r="A373" t="inlineStr">
        <is>
          <t>Hexanchus griseus</t>
        </is>
      </c>
      <c r="B373" t="inlineStr">
        <is>
          <t>Bluntnose sixgill shark</t>
        </is>
      </c>
      <c r="C373" t="inlineStr">
        <is>
          <t>Large sharks (&gt;=90 cm)</t>
        </is>
      </c>
      <c r="D373" t="inlineStr">
        <is>
          <t>Sharks &amp; rays</t>
        </is>
      </c>
      <c r="E373" s="8" t="inlineStr">
        <is>
          <t>Sharks &amp; rays</t>
        </is>
      </c>
      <c r="F373" t="inlineStr"/>
      <c r="G373" t="inlineStr"/>
      <c r="H373" t="inlineStr">
        <is>
          <t>medium</t>
        </is>
      </c>
      <c r="I373" t="inlineStr">
        <is>
          <t>taxonomic_containment</t>
        </is>
      </c>
      <c r="J373" t="n">
        <v>0.008</v>
      </c>
      <c r="K373" t="n">
        <v>0</v>
      </c>
      <c r="L373" s="6" t="inlineStr">
        <is>
          <t>SAU identifies shark or ray catch and Table S2 has a pooled Sharks &amp; rays group; extension beyond the listed species is explicit analyst inference.</t>
        </is>
      </c>
    </row>
    <row r="374">
      <c r="A374" t="inlineStr">
        <is>
          <t>Lamnidae</t>
        </is>
      </c>
      <c r="B374" t="inlineStr">
        <is>
          <t>Mackerel/white sharks</t>
        </is>
      </c>
      <c r="C374" t="inlineStr">
        <is>
          <t>Large sharks (&gt;=90 cm)</t>
        </is>
      </c>
      <c r="D374" t="inlineStr">
        <is>
          <t>Sharks &amp; rays</t>
        </is>
      </c>
      <c r="E374" s="8" t="inlineStr">
        <is>
          <t>Sharks &amp; rays</t>
        </is>
      </c>
      <c r="F374" t="inlineStr"/>
      <c r="G374" t="inlineStr"/>
      <c r="H374" t="inlineStr">
        <is>
          <t>medium</t>
        </is>
      </c>
      <c r="I374" t="inlineStr">
        <is>
          <t>taxonomic_containment</t>
        </is>
      </c>
      <c r="J374" t="n">
        <v>0.008</v>
      </c>
      <c r="K374" t="n">
        <v>0</v>
      </c>
      <c r="L374" s="6" t="inlineStr">
        <is>
          <t>SAU identifies shark or ray catch and Table S2 has a pooled Sharks &amp; rays group; extension beyond the listed species is explicit analyst inference.</t>
        </is>
      </c>
    </row>
    <row r="375">
      <c r="A375" t="inlineStr">
        <is>
          <t>Sepia</t>
        </is>
      </c>
      <c r="B375" t="inlineStr">
        <is>
          <t>Sepia cuttlefishes</t>
        </is>
      </c>
      <c r="C375" t="inlineStr">
        <is>
          <t>Cephalopods</t>
        </is>
      </c>
      <c r="D375" t="inlineStr">
        <is>
          <t>Other fishes &amp; inverts</t>
        </is>
      </c>
      <c r="E375" s="8" t="inlineStr">
        <is>
          <t>Squid &amp; Octopus</t>
        </is>
      </c>
      <c r="F375" t="inlineStr"/>
      <c r="G375" t="inlineStr"/>
      <c r="H375" t="inlineStr">
        <is>
          <t>medium</t>
        </is>
      </c>
      <c r="I375" t="inlineStr">
        <is>
          <t>taxonomic_containment</t>
        </is>
      </c>
      <c r="J375" t="n">
        <v>0.008</v>
      </c>
      <c r="K375" t="n">
        <v>0</v>
      </c>
      <c r="L375" s="6" t="inlineStr">
        <is>
          <t>Table S2 lists members of genus Sepia in these group(s); genus-level catch is assigned to their documented group union.</t>
        </is>
      </c>
    </row>
    <row r="376">
      <c r="A376" t="inlineStr">
        <is>
          <t>Chlamys</t>
        </is>
      </c>
      <c r="B376" t="inlineStr">
        <is>
          <t>Cloak scallops</t>
        </is>
      </c>
      <c r="C376" t="inlineStr">
        <is>
          <t>Other demersal invertebrates</t>
        </is>
      </c>
      <c r="D376" t="inlineStr">
        <is>
          <t>Molluscs</t>
        </is>
      </c>
      <c r="E376" s="8" t="inlineStr">
        <is>
          <t>Epifauna</t>
        </is>
      </c>
      <c r="F376" t="inlineStr"/>
      <c r="G376" t="inlineStr"/>
      <c r="H376" t="inlineStr">
        <is>
          <t>medium</t>
        </is>
      </c>
      <c r="I376" t="inlineStr">
        <is>
          <t>taxonomic_containment</t>
        </is>
      </c>
      <c r="J376" t="n">
        <v>0.007</v>
      </c>
      <c r="K376" t="n">
        <v>0</v>
      </c>
      <c r="L376" s="6" t="inlineStr">
        <is>
          <t>Table S2 Epifauna explicitly includes mussels, oysters, scallops, cockles, periwinkles and whelks; this catch label belongs to those source-defined categories.</t>
        </is>
      </c>
    </row>
    <row r="377">
      <c r="A377" t="inlineStr">
        <is>
          <t>Torpedo marmorata</t>
        </is>
      </c>
      <c r="B377" t="inlineStr">
        <is>
          <t>Marbled electric ray</t>
        </is>
      </c>
      <c r="C377" t="inlineStr">
        <is>
          <t>Large rays (&gt;=90 cm)</t>
        </is>
      </c>
      <c r="D377" t="inlineStr">
        <is>
          <t>Sharks &amp; rays</t>
        </is>
      </c>
      <c r="E377" s="8" t="inlineStr">
        <is>
          <t>Sharks &amp; rays</t>
        </is>
      </c>
      <c r="F377" t="inlineStr"/>
      <c r="G377" t="inlineStr"/>
      <c r="H377" t="inlineStr">
        <is>
          <t>medium</t>
        </is>
      </c>
      <c r="I377" t="inlineStr">
        <is>
          <t>taxonomic_containment</t>
        </is>
      </c>
      <c r="J377" t="n">
        <v>0.005</v>
      </c>
      <c r="K377" t="n">
        <v>0</v>
      </c>
      <c r="L377" s="6" t="inlineStr">
        <is>
          <t>SAU identifies shark or ray catch and Table S2 has a pooled Sharks &amp; rays group; extension beyond the listed species is explicit analyst inference.</t>
        </is>
      </c>
    </row>
    <row r="378">
      <c r="A378" t="inlineStr">
        <is>
          <t>Haliotis tuberculata</t>
        </is>
      </c>
      <c r="B378" t="inlineStr">
        <is>
          <t>Tuberculate abalone</t>
        </is>
      </c>
      <c r="C378" t="inlineStr">
        <is>
          <t>Other demersal invertebrates</t>
        </is>
      </c>
      <c r="D378" t="inlineStr">
        <is>
          <t>Molluscs</t>
        </is>
      </c>
      <c r="E378" s="8" t="inlineStr">
        <is>
          <t>Epifauna</t>
        </is>
      </c>
      <c r="F378" t="inlineStr"/>
      <c r="G378" t="inlineStr"/>
      <c r="H378" t="inlineStr">
        <is>
          <t>medium</t>
        </is>
      </c>
      <c r="I378" t="inlineStr">
        <is>
          <t>taxonomic_containment</t>
        </is>
      </c>
      <c r="J378" t="n">
        <v>0.004</v>
      </c>
      <c r="K378" t="n">
        <v>0</v>
      </c>
      <c r="L378" s="6" t="inlineStr">
        <is>
          <t>Table S2 Epifauna explicitly includes mussels, oysters, scallops, cockles, periwinkles and whelks; this catch label belongs to those source-defined categories.</t>
        </is>
      </c>
    </row>
    <row r="379">
      <c r="A379" t="inlineStr">
        <is>
          <t>Ostreidae</t>
        </is>
      </c>
      <c r="B379" t="inlineStr">
        <is>
          <t>True oysters</t>
        </is>
      </c>
      <c r="C379" t="inlineStr">
        <is>
          <t>Other demersal invertebrates</t>
        </is>
      </c>
      <c r="D379" t="inlineStr">
        <is>
          <t>Molluscs</t>
        </is>
      </c>
      <c r="E379" s="8" t="inlineStr">
        <is>
          <t>Epifauna</t>
        </is>
      </c>
      <c r="F379" t="inlineStr"/>
      <c r="G379" t="inlineStr"/>
      <c r="H379" t="inlineStr">
        <is>
          <t>medium</t>
        </is>
      </c>
      <c r="I379" t="inlineStr">
        <is>
          <t>taxonomic_containment</t>
        </is>
      </c>
      <c r="J379" t="n">
        <v>0.004</v>
      </c>
      <c r="K379" t="n">
        <v>0</v>
      </c>
      <c r="L379" s="6" t="inlineStr">
        <is>
          <t>Table S2 Epifauna explicitly includes mussels, oysters, scallops, cockles, periwinkles and whelks; this catch label belongs to those source-defined categories.</t>
        </is>
      </c>
    </row>
    <row r="380">
      <c r="A380" t="inlineStr">
        <is>
          <t>Murex</t>
        </is>
      </c>
      <c r="B380" t="inlineStr">
        <is>
          <t>Murex shells</t>
        </is>
      </c>
      <c r="C380" t="inlineStr">
        <is>
          <t>Other demersal invertebrates</t>
        </is>
      </c>
      <c r="D380" t="inlineStr">
        <is>
          <t>Molluscs</t>
        </is>
      </c>
      <c r="E380" s="8" t="inlineStr">
        <is>
          <t>Epifauna</t>
        </is>
      </c>
      <c r="F380" t="inlineStr"/>
      <c r="G380" t="inlineStr"/>
      <c r="H380" t="inlineStr">
        <is>
          <t>medium</t>
        </is>
      </c>
      <c r="I380" t="inlineStr">
        <is>
          <t>taxonomic_containment</t>
        </is>
      </c>
      <c r="J380" t="n">
        <v>0.004</v>
      </c>
      <c r="K380" t="n">
        <v>0</v>
      </c>
      <c r="L380" s="6" t="inlineStr">
        <is>
          <t>Table S2 Epifauna explicitly includes mussels, oysters, scallops, cockles, periwinkles and whelks; this catch label belongs to those source-defined categories.</t>
        </is>
      </c>
    </row>
    <row r="381">
      <c r="A381" t="inlineStr">
        <is>
          <t>Modiolus</t>
        </is>
      </c>
      <c r="B381" t="inlineStr">
        <is>
          <t>Horse mussels</t>
        </is>
      </c>
      <c r="C381" t="inlineStr">
        <is>
          <t>Other demersal invertebrates</t>
        </is>
      </c>
      <c r="D381" t="inlineStr">
        <is>
          <t>Molluscs</t>
        </is>
      </c>
      <c r="E381" s="8" t="inlineStr">
        <is>
          <t>Epifauna</t>
        </is>
      </c>
      <c r="F381" t="inlineStr"/>
      <c r="G381" t="inlineStr"/>
      <c r="H381" t="inlineStr">
        <is>
          <t>medium</t>
        </is>
      </c>
      <c r="I381" t="inlineStr">
        <is>
          <t>taxonomic_containment</t>
        </is>
      </c>
      <c r="J381" t="n">
        <v>0.002</v>
      </c>
      <c r="K381" t="n">
        <v>0</v>
      </c>
      <c r="L381" s="6" t="inlineStr">
        <is>
          <t>Table S2 lists members of genus Modiolus in these group(s); genus-level catch is assigned to their documented group union.</t>
        </is>
      </c>
    </row>
    <row r="382">
      <c r="A382" t="inlineStr">
        <is>
          <t>Solen vagina</t>
        </is>
      </c>
      <c r="B382" t="inlineStr">
        <is>
          <t>European razor clam</t>
        </is>
      </c>
      <c r="C382" t="inlineStr">
        <is>
          <t>Other demersal invertebrates</t>
        </is>
      </c>
      <c r="D382" t="inlineStr">
        <is>
          <t>Molluscs</t>
        </is>
      </c>
      <c r="E382" s="8" t="inlineStr">
        <is>
          <t>Infauna</t>
        </is>
      </c>
      <c r="F382" t="inlineStr"/>
      <c r="G382" t="inlineStr"/>
      <c r="H382" t="inlineStr">
        <is>
          <t>medium</t>
        </is>
      </c>
      <c r="I382" t="inlineStr">
        <is>
          <t>habitat_size_guild</t>
        </is>
      </c>
      <c r="J382" t="n">
        <v>0.002</v>
      </c>
      <c r="K382" t="n">
        <v>0</v>
      </c>
      <c r="L382" s="6" t="inlineStr">
        <is>
          <t>Analyst inference from burrowing bivalve or polychaete identity: Table S2 Infauna explicitly comprises these organisms. Some named clam categories also occur in Epifauna, so this inferred extension requires review.</t>
        </is>
      </c>
    </row>
    <row r="383">
      <c r="A383" t="inlineStr">
        <is>
          <t>Trichiurus</t>
        </is>
      </c>
      <c r="B383" t="inlineStr">
        <is>
          <t>Hairtails</t>
        </is>
      </c>
      <c r="C383" t="inlineStr">
        <is>
          <t>Large benthopelagics (&gt;=90 cm)</t>
        </is>
      </c>
      <c r="D383" t="inlineStr">
        <is>
          <t>Perch-likes</t>
        </is>
      </c>
      <c r="E383" s="9" t="inlineStr">
        <is>
          <t>Unresolved</t>
        </is>
      </c>
      <c r="F383" t="inlineStr"/>
      <c r="G383" t="inlineStr"/>
      <c r="H383" t="inlineStr">
        <is>
          <t>unresolved</t>
        </is>
      </c>
      <c r="I383" t="inlineStr">
        <is>
          <t>none</t>
        </is>
      </c>
      <c r="J383" t="n">
        <v>0.002</v>
      </c>
      <c r="K383" t="n">
        <v>0</v>
      </c>
      <c r="L383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384">
      <c r="A384" t="inlineStr">
        <is>
          <t>Petromyzontidae</t>
        </is>
      </c>
      <c r="B384" t="inlineStr">
        <is>
          <t>Lampreys</t>
        </is>
      </c>
      <c r="C384" t="inlineStr">
        <is>
          <t>Large demersals (&gt;=90 cm)</t>
        </is>
      </c>
      <c r="D384" t="inlineStr">
        <is>
          <t>Other fishes &amp; inverts</t>
        </is>
      </c>
      <c r="E384" s="9" t="inlineStr">
        <is>
          <t>Unresolved</t>
        </is>
      </c>
      <c r="F384" t="inlineStr"/>
      <c r="G384" t="inlineStr"/>
      <c r="H384" t="inlineStr">
        <is>
          <t>unresolved</t>
        </is>
      </c>
      <c r="I384" t="inlineStr">
        <is>
          <t>none</t>
        </is>
      </c>
      <c r="J384" t="n">
        <v>0</v>
      </c>
      <c r="K384" t="n">
        <v>0</v>
      </c>
      <c r="L384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385">
      <c r="A385" t="inlineStr">
        <is>
          <t>Chelon saliens</t>
        </is>
      </c>
      <c r="B385" t="inlineStr">
        <is>
          <t>Leaping mullet</t>
        </is>
      </c>
      <c r="C385" t="inlineStr">
        <is>
          <t>Medium demersals (30 - 89 cm)</t>
        </is>
      </c>
      <c r="D385" t="inlineStr">
        <is>
          <t>Perch-likes</t>
        </is>
      </c>
      <c r="E385" s="7" t="inlineStr">
        <is>
          <t>Large Dem. fish</t>
        </is>
      </c>
      <c r="F385" t="inlineStr"/>
      <c r="G385" t="inlineStr"/>
      <c r="H385" t="inlineStr">
        <is>
          <t>low</t>
        </is>
      </c>
      <c r="I385" t="inlineStr">
        <is>
          <t>habitat_size_guild</t>
        </is>
      </c>
      <c r="J385" t="n">
        <v>0</v>
      </c>
      <c r="K385" t="n">
        <v>0</v>
      </c>
      <c r="L385" s="6" t="inlineStr">
        <is>
          <t>Analyst inference from SAU benthic fish habitat to the residual demersal pool containing gurnards, wolffish, sculpins and rocklings (Table S2); unlisted species and smaller fish make this a weak extension.</t>
        </is>
      </c>
    </row>
    <row r="386">
      <c r="A386" t="inlineStr">
        <is>
          <t>Dasyatidae</t>
        </is>
      </c>
      <c r="B386" t="inlineStr">
        <is>
          <t>Whiptail stingrays</t>
        </is>
      </c>
      <c r="C386" t="inlineStr">
        <is>
          <t>Large rays (&gt;=90 cm)</t>
        </is>
      </c>
      <c r="D386" t="inlineStr">
        <is>
          <t>Sharks &amp; rays</t>
        </is>
      </c>
      <c r="E386" s="8" t="inlineStr">
        <is>
          <t>Sharks &amp; rays</t>
        </is>
      </c>
      <c r="F386" t="inlineStr"/>
      <c r="G386" t="inlineStr"/>
      <c r="H386" t="inlineStr">
        <is>
          <t>medium</t>
        </is>
      </c>
      <c r="I386" t="inlineStr">
        <is>
          <t>taxonomic_containment</t>
        </is>
      </c>
      <c r="J386" t="n">
        <v>0</v>
      </c>
      <c r="K386" t="n">
        <v>0</v>
      </c>
      <c r="L386" s="6" t="inlineStr">
        <is>
          <t>SAU identifies shark or ray catch and Table S2 has a pooled Sharks &amp; rays group; extension beyond the listed species is explicit analyst inference.</t>
        </is>
      </c>
    </row>
    <row r="387">
      <c r="A387" t="inlineStr">
        <is>
          <t>Patella</t>
        </is>
      </c>
      <c r="B387" t="inlineStr">
        <is>
          <t>Limpets</t>
        </is>
      </c>
      <c r="C387" t="inlineStr">
        <is>
          <t>Other demersal invertebrates</t>
        </is>
      </c>
      <c r="D387" t="inlineStr">
        <is>
          <t>Molluscs</t>
        </is>
      </c>
      <c r="E387" s="8" t="inlineStr">
        <is>
          <t>Epifauna</t>
        </is>
      </c>
      <c r="F387" t="inlineStr"/>
      <c r="G387" t="inlineStr"/>
      <c r="H387" t="inlineStr">
        <is>
          <t>medium</t>
        </is>
      </c>
      <c r="I387" t="inlineStr">
        <is>
          <t>taxonomic_containment</t>
        </is>
      </c>
      <c r="J387" t="n">
        <v>0</v>
      </c>
      <c r="K387" t="n">
        <v>0</v>
      </c>
      <c r="L387" s="6" t="inlineStr">
        <is>
          <t>Table S2 Epifauna explicitly includes mussels, oysters, scallops, cockles, periwinkles and whelks; this catch label belongs to those source-defined categories.</t>
        </is>
      </c>
    </row>
    <row r="388">
      <c r="A388" t="inlineStr">
        <is>
          <t>Merluccius</t>
        </is>
      </c>
      <c r="B388" t="inlineStr">
        <is>
          <t>Hakes</t>
        </is>
      </c>
      <c r="C388" t="inlineStr">
        <is>
          <t>Medium bathydemersals (30 - 89 cm)</t>
        </is>
      </c>
      <c r="D388" t="inlineStr">
        <is>
          <t>Cod-likes</t>
        </is>
      </c>
      <c r="E388" s="8" t="inlineStr">
        <is>
          <t>Hake</t>
        </is>
      </c>
      <c r="F388" t="inlineStr"/>
      <c r="G388" t="inlineStr"/>
      <c r="H388" t="inlineStr">
        <is>
          <t>medium</t>
        </is>
      </c>
      <c r="I388" t="inlineStr">
        <is>
          <t>taxonomic_containment</t>
        </is>
      </c>
      <c r="J388" t="n">
        <v>0</v>
      </c>
      <c r="K388" t="n">
        <v>0</v>
      </c>
      <c r="L388" s="6" t="inlineStr">
        <is>
          <t>Table S2 lists members of genus Merluccius in these group(s); genus-level catch is assigned to their documented group union.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388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4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</cols>
  <sheetData>
    <row r="1">
      <c r="A1" s="1" t="inlineStr">
        <is>
          <t>Specific PPR per taxon — LME_022, model 22_20251990_East_Coast_of_Scotland_(1991-1995)</t>
        </is>
      </c>
    </row>
    <row r="2">
      <c r="A2" t="inlineStr">
        <is>
          <t>sppr_simple is the trophic-chain estimate (1/TE)^(TL-1) at TE=0.1, applied to the taxon's own trophic level and needing no model.</t>
        </is>
      </c>
    </row>
    <row r="3">
      <c r="A3" t="inlineStr">
        <is>
          <t>All basal sources, including imports. Blank means unavailable, not zero. sppr_simple is an unpartitioned reference.</t>
        </is>
      </c>
    </row>
    <row r="4">
      <c r="A4" s="4" t="inlineStr">
        <is>
          <t>taxon</t>
        </is>
      </c>
      <c r="B4" s="4" t="inlineStr">
        <is>
          <t>trophic_level</t>
        </is>
      </c>
      <c r="C4" s="4" t="inlineStr">
        <is>
          <t>sppr_simple</t>
        </is>
      </c>
      <c r="D4" s="4" t="inlineStr">
        <is>
          <t>Ecopath group</t>
        </is>
      </c>
      <c r="E4" s="4" t="inlineStr">
        <is>
          <t>SPPR_1986</t>
        </is>
      </c>
      <c r="F4" s="4" t="inlineStr">
        <is>
          <t>SPPR_1995_TE0.1</t>
        </is>
      </c>
      <c r="G4" s="4" t="inlineStr">
        <is>
          <t>SPPR_1995_TEmean</t>
        </is>
      </c>
      <c r="H4" s="4" t="inlineStr">
        <is>
          <t>Ulanowicz_globalTEmean</t>
        </is>
      </c>
      <c r="I4" s="4" t="inlineStr">
        <is>
          <t>Ulanowicz_TE</t>
        </is>
      </c>
      <c r="J4" s="4" t="inlineStr">
        <is>
          <t>EwE_TE_noEE</t>
        </is>
      </c>
      <c r="K4" s="4" t="inlineStr">
        <is>
          <t>EwE_TE_EE</t>
        </is>
      </c>
      <c r="L4" s="4" t="inlineStr">
        <is>
          <t>SPPR_2015</t>
        </is>
      </c>
      <c r="M4" s="4" t="inlineStr">
        <is>
          <t>new_TE_noEEfix</t>
        </is>
      </c>
      <c r="N4" s="4" t="inlineStr">
        <is>
          <t>new_TE_EEfix</t>
        </is>
      </c>
      <c r="O4" s="4" t="inlineStr">
        <is>
          <t>new_GE</t>
        </is>
      </c>
      <c r="P4" s="4" t="inlineStr">
        <is>
          <t>new_WithEgestion</t>
        </is>
      </c>
      <c r="Q4" s="4" t="inlineStr">
        <is>
          <t>sym_TE_asPP</t>
        </is>
      </c>
      <c r="R4" s="4" t="inlineStr">
        <is>
          <t>sym_TE_asDC</t>
        </is>
      </c>
      <c r="S4" s="4" t="inlineStr">
        <is>
          <t>sym_GE_asPP</t>
        </is>
      </c>
      <c r="T4" s="4" t="inlineStr">
        <is>
          <t>sym_GE_asDC</t>
        </is>
      </c>
      <c r="U4" s="4" t="inlineStr">
        <is>
          <t>sym_WithEgestion_asPP</t>
        </is>
      </c>
      <c r="V4" s="4" t="inlineStr">
        <is>
          <t>sym_WithEgestion_asDC</t>
        </is>
      </c>
      <c r="W4" s="4" t="inlineStr">
        <is>
          <t>MC_new_GE</t>
        </is>
      </c>
      <c r="X4" s="4" t="inlineStr">
        <is>
          <t>MC_new_TE_EEfix</t>
        </is>
      </c>
    </row>
    <row r="5">
      <c r="A5" t="inlineStr">
        <is>
          <t>Clupea harengus</t>
        </is>
      </c>
      <c r="B5" t="n">
        <v>3.38</v>
      </c>
      <c r="C5" t="n">
        <v>239.883292</v>
      </c>
      <c r="D5" t="inlineStr">
        <is>
          <t>Herring</t>
        </is>
      </c>
      <c r="E5" t="n">
        <v>327.790917</v>
      </c>
      <c r="F5" t="n">
        <v>210.203586</v>
      </c>
      <c r="G5" t="n">
        <v>57.610703</v>
      </c>
      <c r="H5" t="n">
        <v>83.392549</v>
      </c>
      <c r="I5" t="n">
        <v>40.057152</v>
      </c>
      <c r="J5" t="n">
        <v>40.08291</v>
      </c>
      <c r="K5" t="n">
        <v>36.074619</v>
      </c>
      <c r="L5" t="n">
        <v>52.411478</v>
      </c>
      <c r="M5" t="n">
        <v>52.411478</v>
      </c>
      <c r="N5" t="n">
        <v>52.411478</v>
      </c>
      <c r="O5" t="n">
        <v>36.902807</v>
      </c>
      <c r="P5" t="n">
        <v>16.338091</v>
      </c>
      <c r="Q5" t="n">
        <v>52.411478</v>
      </c>
      <c r="R5" t="n">
        <v>52.411478</v>
      </c>
      <c r="S5" t="n">
        <v>36.902807</v>
      </c>
      <c r="T5" t="n">
        <v>36.902807</v>
      </c>
      <c r="U5" t="n">
        <v>16.338091</v>
      </c>
      <c r="V5" t="n">
        <v>16.338091</v>
      </c>
      <c r="W5" t="n">
        <v>38.051778</v>
      </c>
      <c r="X5" t="n">
        <v>55.881978</v>
      </c>
    </row>
    <row r="6">
      <c r="A6" t="inlineStr">
        <is>
          <t>Marine fishes not identified</t>
        </is>
      </c>
      <c r="B6" t="n">
        <v>3.28</v>
      </c>
      <c r="C6" t="n">
        <v>190.546072</v>
      </c>
      <c r="D6" t="inlineStr">
        <is>
          <t>Flatfishes | Monkfish | Large Dem. fish</t>
        </is>
      </c>
      <c r="E6" t="n">
        <v>327.790917</v>
      </c>
      <c r="F6" t="n">
        <v>345.033369</v>
      </c>
      <c r="G6" t="n">
        <v>78.18723</v>
      </c>
      <c r="H6" t="n">
        <v>164.100144</v>
      </c>
      <c r="I6" t="n">
        <v>132.854976</v>
      </c>
      <c r="J6" t="n">
        <v>137.390299</v>
      </c>
      <c r="K6" t="n">
        <v>126.313644</v>
      </c>
      <c r="L6" t="n">
        <v>164.733434</v>
      </c>
      <c r="M6" t="n">
        <v>164.733434</v>
      </c>
      <c r="N6" t="n">
        <v>164.733434</v>
      </c>
      <c r="O6" t="n">
        <v>113.48574</v>
      </c>
      <c r="P6" t="n">
        <v>48.310329</v>
      </c>
      <c r="Q6" t="n">
        <v>164.733434</v>
      </c>
      <c r="R6" t="n">
        <v>164.733434</v>
      </c>
      <c r="S6" t="n">
        <v>113.48574</v>
      </c>
      <c r="T6" t="n">
        <v>113.48574</v>
      </c>
      <c r="U6" t="n">
        <v>48.310329</v>
      </c>
      <c r="V6" t="n">
        <v>48.310329</v>
      </c>
      <c r="W6" t="n">
        <v>114.273159</v>
      </c>
      <c r="X6" t="n">
        <v>165.225716</v>
      </c>
    </row>
    <row r="7">
      <c r="A7" t="inlineStr">
        <is>
          <t>Scomber scombrus</t>
        </is>
      </c>
      <c r="B7" t="n">
        <v>3.63</v>
      </c>
      <c r="C7" t="n">
        <v>426.579519</v>
      </c>
      <c r="D7" t="inlineStr">
        <is>
          <t>Large Pelagics</t>
        </is>
      </c>
      <c r="E7" t="n">
        <v>327.790917</v>
      </c>
      <c r="F7" t="n">
        <v>409.325031</v>
      </c>
      <c r="G7" t="n">
        <v>95.473426</v>
      </c>
      <c r="H7" t="n">
        <v>171.971164</v>
      </c>
      <c r="I7" t="n">
        <v>151.710468</v>
      </c>
      <c r="J7" t="n">
        <v>166.941311</v>
      </c>
      <c r="K7" t="n">
        <v>150.24718</v>
      </c>
      <c r="L7" t="n">
        <v>208.675232</v>
      </c>
      <c r="M7" t="n">
        <v>208.675232</v>
      </c>
      <c r="N7" t="n">
        <v>208.675232</v>
      </c>
      <c r="O7" t="n">
        <v>139.225251</v>
      </c>
      <c r="P7" t="n">
        <v>55.587338</v>
      </c>
      <c r="Q7" t="n">
        <v>208.675232</v>
      </c>
      <c r="R7" t="n">
        <v>208.675232</v>
      </c>
      <c r="S7" t="n">
        <v>139.225251</v>
      </c>
      <c r="T7" t="n">
        <v>139.225251</v>
      </c>
      <c r="U7" t="n">
        <v>55.587338</v>
      </c>
      <c r="V7" t="n">
        <v>55.587338</v>
      </c>
      <c r="W7" t="n">
        <v>138.889014</v>
      </c>
      <c r="X7" t="n">
        <v>209.882396</v>
      </c>
    </row>
    <row r="8">
      <c r="A8" t="inlineStr">
        <is>
          <t>Gadus morhua</t>
        </is>
      </c>
      <c r="B8" t="n">
        <v>4.09</v>
      </c>
      <c r="C8" t="n">
        <v>1230.268771</v>
      </c>
      <c r="D8" t="inlineStr">
        <is>
          <t>Cod</t>
        </is>
      </c>
      <c r="E8" t="n">
        <v>327.790917</v>
      </c>
      <c r="F8" t="n">
        <v>696.743167</v>
      </c>
      <c r="G8" t="n">
        <v>142.882184</v>
      </c>
      <c r="H8" t="n">
        <v>300.714592</v>
      </c>
      <c r="I8" t="n">
        <v>173.457711</v>
      </c>
      <c r="J8" t="n">
        <v>181.068044</v>
      </c>
      <c r="K8" t="n">
        <v>155.718518</v>
      </c>
      <c r="L8" t="n">
        <v>222.178859</v>
      </c>
      <c r="M8" t="n">
        <v>222.178859</v>
      </c>
      <c r="N8" t="n">
        <v>222.178859</v>
      </c>
      <c r="O8" t="n">
        <v>135.264542</v>
      </c>
      <c r="P8" t="n">
        <v>51.548611</v>
      </c>
      <c r="Q8" t="n">
        <v>222.178859</v>
      </c>
      <c r="R8" t="n">
        <v>222.178859</v>
      </c>
      <c r="S8" t="n">
        <v>135.264542</v>
      </c>
      <c r="T8" t="n">
        <v>135.264542</v>
      </c>
      <c r="U8" t="n">
        <v>51.548611</v>
      </c>
      <c r="V8" t="n">
        <v>51.548611</v>
      </c>
      <c r="W8" t="n">
        <v>138.759026</v>
      </c>
      <c r="X8" t="n">
        <v>228.970309</v>
      </c>
    </row>
    <row r="9">
      <c r="A9" t="inlineStr">
        <is>
          <t>Sprattus sprattus</t>
        </is>
      </c>
      <c r="B9" t="n">
        <v>3.01</v>
      </c>
      <c r="C9" t="n">
        <v>102.329299</v>
      </c>
      <c r="D9" t="inlineStr">
        <is>
          <t>Small pelagics</t>
        </is>
      </c>
      <c r="E9" t="n">
        <v>327.790917</v>
      </c>
      <c r="F9" t="n">
        <v>148.024912</v>
      </c>
      <c r="G9" t="n">
        <v>44.163101</v>
      </c>
      <c r="H9" t="n">
        <v>58.893278</v>
      </c>
      <c r="I9" t="n">
        <v>29.57747</v>
      </c>
      <c r="J9" t="n">
        <v>29.708263</v>
      </c>
      <c r="K9" t="n">
        <v>26.143271</v>
      </c>
      <c r="L9" t="n">
        <v>37.444032</v>
      </c>
      <c r="M9" t="n">
        <v>37.444032</v>
      </c>
      <c r="N9" t="n">
        <v>37.444032</v>
      </c>
      <c r="O9" t="n">
        <v>26.825837</v>
      </c>
      <c r="P9" t="n">
        <v>12.629082</v>
      </c>
      <c r="Q9" t="n">
        <v>37.444032</v>
      </c>
      <c r="R9" t="n">
        <v>37.444032</v>
      </c>
      <c r="S9" t="n">
        <v>26.825837</v>
      </c>
      <c r="T9" t="n">
        <v>26.825837</v>
      </c>
      <c r="U9" t="n">
        <v>12.629082</v>
      </c>
      <c r="V9" t="n">
        <v>12.629082</v>
      </c>
      <c r="W9" t="n">
        <v>26.643813</v>
      </c>
      <c r="X9" t="n">
        <v>39.607714</v>
      </c>
    </row>
    <row r="10">
      <c r="A10" t="inlineStr">
        <is>
          <t>Trisopterus esmarkii</t>
        </is>
      </c>
      <c r="B10" t="n">
        <v>3.24</v>
      </c>
      <c r="C10" t="n">
        <v>173.780083</v>
      </c>
      <c r="D10" t="inlineStr">
        <is>
          <t>Small pelagics</t>
        </is>
      </c>
      <c r="E10" t="n">
        <v>327.790917</v>
      </c>
      <c r="F10" t="n">
        <v>148.024912</v>
      </c>
      <c r="G10" t="n">
        <v>44.163101</v>
      </c>
      <c r="H10" t="n">
        <v>58.893278</v>
      </c>
      <c r="I10" t="n">
        <v>29.57747</v>
      </c>
      <c r="J10" t="n">
        <v>29.708263</v>
      </c>
      <c r="K10" t="n">
        <v>26.143271</v>
      </c>
      <c r="L10" t="n">
        <v>37.444032</v>
      </c>
      <c r="M10" t="n">
        <v>37.444032</v>
      </c>
      <c r="N10" t="n">
        <v>37.444032</v>
      </c>
      <c r="O10" t="n">
        <v>26.825837</v>
      </c>
      <c r="P10" t="n">
        <v>12.629082</v>
      </c>
      <c r="Q10" t="n">
        <v>37.444032</v>
      </c>
      <c r="R10" t="n">
        <v>37.444032</v>
      </c>
      <c r="S10" t="n">
        <v>26.825837</v>
      </c>
      <c r="T10" t="n">
        <v>26.825837</v>
      </c>
      <c r="U10" t="n">
        <v>12.629082</v>
      </c>
      <c r="V10" t="n">
        <v>12.629082</v>
      </c>
      <c r="W10" t="n">
        <v>26.643813</v>
      </c>
      <c r="X10" t="n">
        <v>39.607714</v>
      </c>
    </row>
    <row r="11">
      <c r="A11" t="inlineStr">
        <is>
          <t>Pleuronectes platessa</t>
        </is>
      </c>
      <c r="B11" t="n">
        <v>3.26</v>
      </c>
      <c r="C11" t="n">
        <v>181.970086</v>
      </c>
      <c r="D11" t="inlineStr">
        <is>
          <t>Flatfishes</t>
        </is>
      </c>
      <c r="E11" t="n">
        <v>327.790917</v>
      </c>
      <c r="F11" t="n">
        <v>222.264878</v>
      </c>
      <c r="G11" t="n">
        <v>60.099306</v>
      </c>
      <c r="H11" t="n">
        <v>123.58001</v>
      </c>
      <c r="I11" t="n">
        <v>98.981683</v>
      </c>
      <c r="J11" t="n">
        <v>101.310188</v>
      </c>
      <c r="K11" t="n">
        <v>92.19227100000001</v>
      </c>
      <c r="L11" t="n">
        <v>114.167454</v>
      </c>
      <c r="M11" t="n">
        <v>114.167454</v>
      </c>
      <c r="N11" t="n">
        <v>114.167454</v>
      </c>
      <c r="O11" t="n">
        <v>82.349557</v>
      </c>
      <c r="P11" t="n">
        <v>38.756383</v>
      </c>
      <c r="Q11" t="n">
        <v>114.167454</v>
      </c>
      <c r="R11" t="n">
        <v>114.167454</v>
      </c>
      <c r="S11" t="n">
        <v>82.349557</v>
      </c>
      <c r="T11" t="n">
        <v>82.349557</v>
      </c>
      <c r="U11" t="n">
        <v>38.756383</v>
      </c>
      <c r="V11" t="n">
        <v>38.756383</v>
      </c>
      <c r="W11" t="n">
        <v>82.655303</v>
      </c>
      <c r="X11" t="n">
        <v>113.898256</v>
      </c>
    </row>
    <row r="12">
      <c r="A12" t="inlineStr">
        <is>
          <t>Melanogrammus aeglefinus</t>
        </is>
      </c>
      <c r="B12" t="n">
        <v>4.03</v>
      </c>
      <c r="C12" t="n">
        <v>1071.519305</v>
      </c>
      <c r="D12" t="inlineStr">
        <is>
          <t>Haddock</t>
        </is>
      </c>
      <c r="E12" t="n">
        <v>327.790917</v>
      </c>
      <c r="F12" t="n">
        <v>277.618274</v>
      </c>
      <c r="G12" t="n">
        <v>71.133236</v>
      </c>
      <c r="H12" t="n">
        <v>141.133429</v>
      </c>
      <c r="I12" t="n">
        <v>101.684518</v>
      </c>
      <c r="J12" t="n">
        <v>105.679445</v>
      </c>
      <c r="K12" t="n">
        <v>97.22508999999999</v>
      </c>
      <c r="L12" t="n">
        <v>121.373593</v>
      </c>
      <c r="M12" t="n">
        <v>121.373593</v>
      </c>
      <c r="N12" t="n">
        <v>121.373593</v>
      </c>
      <c r="O12" t="n">
        <v>86.54459300000001</v>
      </c>
      <c r="P12" t="n">
        <v>37.95581</v>
      </c>
      <c r="Q12" t="n">
        <v>121.373593</v>
      </c>
      <c r="R12" t="n">
        <v>121.373593</v>
      </c>
      <c r="S12" t="n">
        <v>86.54459300000001</v>
      </c>
      <c r="T12" t="n">
        <v>86.54459300000001</v>
      </c>
      <c r="U12" t="n">
        <v>37.95581</v>
      </c>
      <c r="V12" t="n">
        <v>37.95581</v>
      </c>
      <c r="W12" t="n">
        <v>86.777429</v>
      </c>
      <c r="X12" t="n">
        <v>120.50799</v>
      </c>
    </row>
    <row r="13">
      <c r="A13" t="inlineStr">
        <is>
          <t>Pollachius virens</t>
        </is>
      </c>
      <c r="B13" t="n">
        <v>4.31</v>
      </c>
      <c r="C13" t="n">
        <v>2041.737945</v>
      </c>
      <c r="D13" t="inlineStr">
        <is>
          <t>Saithe</t>
        </is>
      </c>
      <c r="E13" t="n">
        <v>327.790917</v>
      </c>
      <c r="F13" t="n">
        <v>1016.575113</v>
      </c>
      <c r="G13" t="n">
        <v>190.25522</v>
      </c>
      <c r="H13" t="n">
        <v>383.159293</v>
      </c>
      <c r="I13" t="n">
        <v>222.035395</v>
      </c>
      <c r="J13" t="n">
        <v>227.903672</v>
      </c>
      <c r="K13" t="n">
        <v>207.392342</v>
      </c>
      <c r="L13" t="n">
        <v>281.759128</v>
      </c>
      <c r="M13" t="n">
        <v>281.759128</v>
      </c>
      <c r="N13" t="n">
        <v>281.759128</v>
      </c>
      <c r="O13" t="n">
        <v>178.968187</v>
      </c>
      <c r="P13" t="n">
        <v>67.772812</v>
      </c>
      <c r="Q13" t="n">
        <v>281.759128</v>
      </c>
      <c r="R13" t="n">
        <v>281.759128</v>
      </c>
      <c r="S13" t="n">
        <v>178.968187</v>
      </c>
      <c r="T13" t="n">
        <v>178.968187</v>
      </c>
      <c r="U13" t="n">
        <v>67.772812</v>
      </c>
      <c r="V13" t="n">
        <v>67.772812</v>
      </c>
      <c r="W13" t="n">
        <v>177.57024</v>
      </c>
      <c r="X13" t="n">
        <v>297.607844</v>
      </c>
    </row>
    <row r="14">
      <c r="A14" t="inlineStr">
        <is>
          <t>Merlangius merlangus</t>
        </is>
      </c>
      <c r="B14" t="n">
        <v>4.36</v>
      </c>
      <c r="C14" t="n">
        <v>2290.867653</v>
      </c>
      <c r="D14" t="inlineStr">
        <is>
          <t>Whiting</t>
        </is>
      </c>
      <c r="E14" t="n">
        <v>327.790917</v>
      </c>
      <c r="F14" t="n">
        <v>846.004185</v>
      </c>
      <c r="G14" t="n">
        <v>165.529429</v>
      </c>
      <c r="H14" t="n">
        <v>323.753532</v>
      </c>
      <c r="I14" t="n">
        <v>252.276122</v>
      </c>
      <c r="J14" t="n">
        <v>268.755772</v>
      </c>
      <c r="K14" t="n">
        <v>239.192637</v>
      </c>
      <c r="L14" t="n">
        <v>351.703825</v>
      </c>
      <c r="M14" t="n">
        <v>351.703825</v>
      </c>
      <c r="N14" t="n">
        <v>351.703825</v>
      </c>
      <c r="O14" t="n">
        <v>218.809009</v>
      </c>
      <c r="P14" t="n">
        <v>79.803292</v>
      </c>
      <c r="Q14" t="n">
        <v>351.703825</v>
      </c>
      <c r="R14" t="n">
        <v>351.703825</v>
      </c>
      <c r="S14" t="n">
        <v>218.809009</v>
      </c>
      <c r="T14" t="n">
        <v>218.809009</v>
      </c>
      <c r="U14" t="n">
        <v>79.803292</v>
      </c>
      <c r="V14" t="n">
        <v>79.803292</v>
      </c>
      <c r="W14" t="n">
        <v>217.320589</v>
      </c>
      <c r="X14" t="n">
        <v>367.290101</v>
      </c>
    </row>
    <row r="15">
      <c r="A15" t="inlineStr">
        <is>
          <t>Micromesistius poutassou</t>
        </is>
      </c>
      <c r="B15" t="n">
        <v>4.13</v>
      </c>
      <c r="C15" t="n">
        <v>1348.962883</v>
      </c>
      <c r="D15" t="inlineStr">
        <is>
          <t>Large Pelagics</t>
        </is>
      </c>
      <c r="E15" t="n">
        <v>327.790917</v>
      </c>
      <c r="F15" t="n">
        <v>409.325031</v>
      </c>
      <c r="G15" t="n">
        <v>95.473426</v>
      </c>
      <c r="H15" t="n">
        <v>171.971164</v>
      </c>
      <c r="I15" t="n">
        <v>151.710468</v>
      </c>
      <c r="J15" t="n">
        <v>166.941311</v>
      </c>
      <c r="K15" t="n">
        <v>150.24718</v>
      </c>
      <c r="L15" t="n">
        <v>208.675232</v>
      </c>
      <c r="M15" t="n">
        <v>208.675232</v>
      </c>
      <c r="N15" t="n">
        <v>208.675232</v>
      </c>
      <c r="O15" t="n">
        <v>139.225251</v>
      </c>
      <c r="P15" t="n">
        <v>55.587338</v>
      </c>
      <c r="Q15" t="n">
        <v>208.675232</v>
      </c>
      <c r="R15" t="n">
        <v>208.675232</v>
      </c>
      <c r="S15" t="n">
        <v>139.225251</v>
      </c>
      <c r="T15" t="n">
        <v>139.225251</v>
      </c>
      <c r="U15" t="n">
        <v>55.587338</v>
      </c>
      <c r="V15" t="n">
        <v>55.587338</v>
      </c>
      <c r="W15" t="n">
        <v>138.889014</v>
      </c>
      <c r="X15" t="n">
        <v>209.882396</v>
      </c>
    </row>
    <row r="16">
      <c r="A16" t="inlineStr">
        <is>
          <t>Crangon crangon</t>
        </is>
      </c>
      <c r="B16" t="n">
        <v>3.19</v>
      </c>
      <c r="C16" t="n">
        <v>154.881662</v>
      </c>
      <c r="D16" t="inlineStr">
        <is>
          <t>Crustacea</t>
        </is>
      </c>
      <c r="E16" t="n">
        <v>327.790917</v>
      </c>
      <c r="F16" t="n">
        <v>79.403785</v>
      </c>
      <c r="G16" t="n">
        <v>27.544327</v>
      </c>
      <c r="H16" t="n">
        <v>45.837748</v>
      </c>
      <c r="I16" t="n">
        <v>38.918317</v>
      </c>
      <c r="J16" t="n">
        <v>38.964516</v>
      </c>
      <c r="K16" t="n">
        <v>31.561258</v>
      </c>
      <c r="L16" t="n">
        <v>47.671907</v>
      </c>
      <c r="M16" t="n">
        <v>47.671907</v>
      </c>
      <c r="N16" t="n">
        <v>47.671907</v>
      </c>
      <c r="O16" t="n">
        <v>34.575524</v>
      </c>
      <c r="P16" t="n">
        <v>19.020842</v>
      </c>
      <c r="Q16" t="n">
        <v>47.671907</v>
      </c>
      <c r="R16" t="n">
        <v>47.671907</v>
      </c>
      <c r="S16" t="n">
        <v>34.575524</v>
      </c>
      <c r="T16" t="n">
        <v>34.575524</v>
      </c>
      <c r="U16" t="n">
        <v>19.020842</v>
      </c>
      <c r="V16" t="n">
        <v>19.020842</v>
      </c>
      <c r="W16" t="n">
        <v>34.954015</v>
      </c>
      <c r="X16" t="n">
        <v>47.765312</v>
      </c>
    </row>
    <row r="17">
      <c r="A17" t="inlineStr">
        <is>
          <t>Limanda limanda</t>
        </is>
      </c>
      <c r="B17" t="n">
        <v>3.29</v>
      </c>
      <c r="C17" t="n">
        <v>194.98446</v>
      </c>
      <c r="D17" t="inlineStr">
        <is>
          <t>Flatfishes</t>
        </is>
      </c>
      <c r="E17" t="n">
        <v>327.790917</v>
      </c>
      <c r="F17" t="n">
        <v>222.264878</v>
      </c>
      <c r="G17" t="n">
        <v>60.099306</v>
      </c>
      <c r="H17" t="n">
        <v>123.58001</v>
      </c>
      <c r="I17" t="n">
        <v>98.981683</v>
      </c>
      <c r="J17" t="n">
        <v>101.310188</v>
      </c>
      <c r="K17" t="n">
        <v>92.19227100000001</v>
      </c>
      <c r="L17" t="n">
        <v>114.167454</v>
      </c>
      <c r="M17" t="n">
        <v>114.167454</v>
      </c>
      <c r="N17" t="n">
        <v>114.167454</v>
      </c>
      <c r="O17" t="n">
        <v>82.349557</v>
      </c>
      <c r="P17" t="n">
        <v>38.756383</v>
      </c>
      <c r="Q17" t="n">
        <v>114.167454</v>
      </c>
      <c r="R17" t="n">
        <v>114.167454</v>
      </c>
      <c r="S17" t="n">
        <v>82.349557</v>
      </c>
      <c r="T17" t="n">
        <v>82.349557</v>
      </c>
      <c r="U17" t="n">
        <v>38.756383</v>
      </c>
      <c r="V17" t="n">
        <v>38.756383</v>
      </c>
      <c r="W17" t="n">
        <v>82.655303</v>
      </c>
      <c r="X17" t="n">
        <v>113.898256</v>
      </c>
    </row>
    <row r="18">
      <c r="A18" t="inlineStr">
        <is>
          <t>Mytilus edulis</t>
        </is>
      </c>
      <c r="B18" t="n">
        <v>2</v>
      </c>
      <c r="C18" t="n">
        <v>10</v>
      </c>
      <c r="D18" t="inlineStr">
        <is>
          <t>Epifauna</t>
        </is>
      </c>
      <c r="E18" t="n">
        <v>327.790917</v>
      </c>
      <c r="F18" t="n">
        <v>28.994229</v>
      </c>
      <c r="G18" t="n">
        <v>12.834993</v>
      </c>
      <c r="H18" t="n">
        <v>17.954978</v>
      </c>
      <c r="I18" t="n">
        <v>11.374014</v>
      </c>
      <c r="J18" t="n">
        <v>11.374014</v>
      </c>
      <c r="K18" t="n">
        <v>10.009132</v>
      </c>
      <c r="L18" t="n">
        <v>10.950321</v>
      </c>
      <c r="M18" t="n">
        <v>10.950321</v>
      </c>
      <c r="N18" t="n">
        <v>10.950321</v>
      </c>
      <c r="O18" t="n">
        <v>10.041084</v>
      </c>
      <c r="P18" t="n">
        <v>6.846302</v>
      </c>
      <c r="Q18" t="n">
        <v>10.950321</v>
      </c>
      <c r="R18" t="n">
        <v>10.950321</v>
      </c>
      <c r="S18" t="n">
        <v>10.041084</v>
      </c>
      <c r="T18" t="n">
        <v>10.041084</v>
      </c>
      <c r="U18" t="n">
        <v>6.846302</v>
      </c>
      <c r="V18" t="n">
        <v>6.846302</v>
      </c>
      <c r="W18" t="n">
        <v>9.947857000000001</v>
      </c>
      <c r="X18" t="n">
        <v>10.794705</v>
      </c>
    </row>
    <row r="19">
      <c r="A19" t="inlineStr">
        <is>
          <t>Marine finfishes not identified</t>
        </is>
      </c>
      <c r="B19" t="n">
        <v>3.23</v>
      </c>
      <c r="C19" t="n">
        <v>169.824365</v>
      </c>
      <c r="D19" t="inlineStr">
        <is>
          <t>Flatfishes | Monkfish | Large Dem. fish</t>
        </is>
      </c>
      <c r="E19" t="n">
        <v>327.790917</v>
      </c>
      <c r="F19" t="n">
        <v>345.033369</v>
      </c>
      <c r="G19" t="n">
        <v>78.18723</v>
      </c>
      <c r="H19" t="n">
        <v>164.100144</v>
      </c>
      <c r="I19" t="n">
        <v>132.854976</v>
      </c>
      <c r="J19" t="n">
        <v>137.390299</v>
      </c>
      <c r="K19" t="n">
        <v>126.313644</v>
      </c>
      <c r="L19" t="n">
        <v>164.733434</v>
      </c>
      <c r="M19" t="n">
        <v>164.733434</v>
      </c>
      <c r="N19" t="n">
        <v>164.733434</v>
      </c>
      <c r="O19" t="n">
        <v>113.48574</v>
      </c>
      <c r="P19" t="n">
        <v>48.310329</v>
      </c>
      <c r="Q19" t="n">
        <v>164.733434</v>
      </c>
      <c r="R19" t="n">
        <v>164.733434</v>
      </c>
      <c r="S19" t="n">
        <v>113.48574</v>
      </c>
      <c r="T19" t="n">
        <v>113.48574</v>
      </c>
      <c r="U19" t="n">
        <v>48.310329</v>
      </c>
      <c r="V19" t="n">
        <v>48.310329</v>
      </c>
      <c r="W19" t="n">
        <v>114.273159</v>
      </c>
      <c r="X19" t="n">
        <v>165.225716</v>
      </c>
    </row>
    <row r="20">
      <c r="A20" t="inlineStr">
        <is>
          <t>Ammodytes marinus</t>
        </is>
      </c>
      <c r="D20" t="inlineStr">
        <is>
          <t>Small pelagics</t>
        </is>
      </c>
      <c r="E20" t="n">
        <v>327.790917</v>
      </c>
      <c r="F20" t="n">
        <v>148.024912</v>
      </c>
      <c r="G20" t="n">
        <v>44.163101</v>
      </c>
      <c r="H20" t="n">
        <v>58.893278</v>
      </c>
      <c r="I20" t="n">
        <v>29.57747</v>
      </c>
      <c r="J20" t="n">
        <v>29.708263</v>
      </c>
      <c r="K20" t="n">
        <v>26.143271</v>
      </c>
      <c r="L20" t="n">
        <v>37.444032</v>
      </c>
      <c r="M20" t="n">
        <v>37.444032</v>
      </c>
      <c r="N20" t="n">
        <v>37.444032</v>
      </c>
      <c r="O20" t="n">
        <v>26.825837</v>
      </c>
      <c r="P20" t="n">
        <v>12.629082</v>
      </c>
      <c r="Q20" t="n">
        <v>37.444032</v>
      </c>
      <c r="R20" t="n">
        <v>37.444032</v>
      </c>
      <c r="S20" t="n">
        <v>26.825837</v>
      </c>
      <c r="T20" t="n">
        <v>26.825837</v>
      </c>
      <c r="U20" t="n">
        <v>12.629082</v>
      </c>
      <c r="V20" t="n">
        <v>12.629082</v>
      </c>
      <c r="W20" t="n">
        <v>26.643813</v>
      </c>
      <c r="X20" t="n">
        <v>39.607714</v>
      </c>
    </row>
    <row r="21">
      <c r="A21" t="inlineStr">
        <is>
          <t>Trachurus trachurus</t>
        </is>
      </c>
      <c r="B21" t="n">
        <v>3.71</v>
      </c>
      <c r="C21" t="n">
        <v>512.861384</v>
      </c>
      <c r="D21" t="inlineStr">
        <is>
          <t>Large Pelagics</t>
        </is>
      </c>
      <c r="E21" t="n">
        <v>327.790917</v>
      </c>
      <c r="F21" t="n">
        <v>409.325031</v>
      </c>
      <c r="G21" t="n">
        <v>95.473426</v>
      </c>
      <c r="H21" t="n">
        <v>171.971164</v>
      </c>
      <c r="I21" t="n">
        <v>151.710468</v>
      </c>
      <c r="J21" t="n">
        <v>166.941311</v>
      </c>
      <c r="K21" t="n">
        <v>150.24718</v>
      </c>
      <c r="L21" t="n">
        <v>208.675232</v>
      </c>
      <c r="M21" t="n">
        <v>208.675232</v>
      </c>
      <c r="N21" t="n">
        <v>208.675232</v>
      </c>
      <c r="O21" t="n">
        <v>139.225251</v>
      </c>
      <c r="P21" t="n">
        <v>55.587338</v>
      </c>
      <c r="Q21" t="n">
        <v>208.675232</v>
      </c>
      <c r="R21" t="n">
        <v>208.675232</v>
      </c>
      <c r="S21" t="n">
        <v>139.225251</v>
      </c>
      <c r="T21" t="n">
        <v>139.225251</v>
      </c>
      <c r="U21" t="n">
        <v>55.587338</v>
      </c>
      <c r="V21" t="n">
        <v>55.587338</v>
      </c>
      <c r="W21" t="n">
        <v>138.889014</v>
      </c>
      <c r="X21" t="n">
        <v>209.882396</v>
      </c>
    </row>
    <row r="22">
      <c r="A22" t="inlineStr">
        <is>
          <t>Solea solea</t>
        </is>
      </c>
      <c r="B22" t="n">
        <v>3.21</v>
      </c>
      <c r="C22" t="n">
        <v>162.18101</v>
      </c>
      <c r="D22" t="inlineStr">
        <is>
          <t>Flatfishes</t>
        </is>
      </c>
      <c r="E22" t="n">
        <v>327.790917</v>
      </c>
      <c r="F22" t="n">
        <v>222.264878</v>
      </c>
      <c r="G22" t="n">
        <v>60.099306</v>
      </c>
      <c r="H22" t="n">
        <v>123.58001</v>
      </c>
      <c r="I22" t="n">
        <v>98.981683</v>
      </c>
      <c r="J22" t="n">
        <v>101.310188</v>
      </c>
      <c r="K22" t="n">
        <v>92.19227100000001</v>
      </c>
      <c r="L22" t="n">
        <v>114.167454</v>
      </c>
      <c r="M22" t="n">
        <v>114.167454</v>
      </c>
      <c r="N22" t="n">
        <v>114.167454</v>
      </c>
      <c r="O22" t="n">
        <v>82.349557</v>
      </c>
      <c r="P22" t="n">
        <v>38.756383</v>
      </c>
      <c r="Q22" t="n">
        <v>114.167454</v>
      </c>
      <c r="R22" t="n">
        <v>114.167454</v>
      </c>
      <c r="S22" t="n">
        <v>82.349557</v>
      </c>
      <c r="T22" t="n">
        <v>82.349557</v>
      </c>
      <c r="U22" t="n">
        <v>38.756383</v>
      </c>
      <c r="V22" t="n">
        <v>38.756383</v>
      </c>
      <c r="W22" t="n">
        <v>82.655303</v>
      </c>
      <c r="X22" t="n">
        <v>113.898256</v>
      </c>
    </row>
    <row r="23">
      <c r="A23" t="inlineStr">
        <is>
          <t>Cerastoderma edule</t>
        </is>
      </c>
      <c r="B23" t="n">
        <v>2</v>
      </c>
      <c r="C23" t="n">
        <v>10</v>
      </c>
      <c r="D23" t="inlineStr">
        <is>
          <t>Epifauna</t>
        </is>
      </c>
      <c r="E23" t="n">
        <v>327.790917</v>
      </c>
      <c r="F23" t="n">
        <v>28.994229</v>
      </c>
      <c r="G23" t="n">
        <v>12.834993</v>
      </c>
      <c r="H23" t="n">
        <v>17.954978</v>
      </c>
      <c r="I23" t="n">
        <v>11.374014</v>
      </c>
      <c r="J23" t="n">
        <v>11.374014</v>
      </c>
      <c r="K23" t="n">
        <v>10.009132</v>
      </c>
      <c r="L23" t="n">
        <v>10.950321</v>
      </c>
      <c r="M23" t="n">
        <v>10.950321</v>
      </c>
      <c r="N23" t="n">
        <v>10.950321</v>
      </c>
      <c r="O23" t="n">
        <v>10.041084</v>
      </c>
      <c r="P23" t="n">
        <v>6.846302</v>
      </c>
      <c r="Q23" t="n">
        <v>10.950321</v>
      </c>
      <c r="R23" t="n">
        <v>10.950321</v>
      </c>
      <c r="S23" t="n">
        <v>10.041084</v>
      </c>
      <c r="T23" t="n">
        <v>10.041084</v>
      </c>
      <c r="U23" t="n">
        <v>6.846302</v>
      </c>
      <c r="V23" t="n">
        <v>6.846302</v>
      </c>
      <c r="W23" t="n">
        <v>9.947857000000001</v>
      </c>
      <c r="X23" t="n">
        <v>10.794705</v>
      </c>
    </row>
    <row r="24">
      <c r="A24" t="inlineStr">
        <is>
          <t>Nephrops norvegicus</t>
        </is>
      </c>
      <c r="B24" t="n">
        <v>2.87</v>
      </c>
      <c r="C24" t="n">
        <v>74.131024</v>
      </c>
      <c r="D24" t="inlineStr">
        <is>
          <t>Crustacea</t>
        </is>
      </c>
      <c r="E24" t="n">
        <v>327.790917</v>
      </c>
      <c r="F24" t="n">
        <v>79.403785</v>
      </c>
      <c r="G24" t="n">
        <v>27.544327</v>
      </c>
      <c r="H24" t="n">
        <v>45.837748</v>
      </c>
      <c r="I24" t="n">
        <v>38.918317</v>
      </c>
      <c r="J24" t="n">
        <v>38.964516</v>
      </c>
      <c r="K24" t="n">
        <v>31.561258</v>
      </c>
      <c r="L24" t="n">
        <v>47.671907</v>
      </c>
      <c r="M24" t="n">
        <v>47.671907</v>
      </c>
      <c r="N24" t="n">
        <v>47.671907</v>
      </c>
      <c r="O24" t="n">
        <v>34.575524</v>
      </c>
      <c r="P24" t="n">
        <v>19.020842</v>
      </c>
      <c r="Q24" t="n">
        <v>47.671907</v>
      </c>
      <c r="R24" t="n">
        <v>47.671907</v>
      </c>
      <c r="S24" t="n">
        <v>34.575524</v>
      </c>
      <c r="T24" t="n">
        <v>34.575524</v>
      </c>
      <c r="U24" t="n">
        <v>19.020842</v>
      </c>
      <c r="V24" t="n">
        <v>19.020842</v>
      </c>
      <c r="W24" t="n">
        <v>34.954015</v>
      </c>
      <c r="X24" t="n">
        <v>47.765312</v>
      </c>
    </row>
    <row r="25">
      <c r="A25" t="inlineStr">
        <is>
          <t>Squalus acanthias</t>
        </is>
      </c>
      <c r="B25" t="n">
        <v>4.37</v>
      </c>
      <c r="C25" t="n">
        <v>2344.228815</v>
      </c>
      <c r="D25" t="inlineStr">
        <is>
          <t>Sharks &amp; rays</t>
        </is>
      </c>
      <c r="E25" t="n">
        <v>327.790917</v>
      </c>
      <c r="F25" t="n">
        <v>522.28227</v>
      </c>
      <c r="G25" t="n">
        <v>114.842938</v>
      </c>
      <c r="H25" t="n">
        <v>326.928715</v>
      </c>
      <c r="I25" t="n">
        <v>732.255138</v>
      </c>
      <c r="J25" t="n">
        <v>761.48662</v>
      </c>
      <c r="K25" t="n">
        <v>327.439247</v>
      </c>
      <c r="L25" t="n">
        <v>1275.246638</v>
      </c>
      <c r="M25" t="n">
        <v>1275.246638</v>
      </c>
      <c r="N25" t="n">
        <v>1275.246638</v>
      </c>
      <c r="O25" t="n">
        <v>317.659957</v>
      </c>
      <c r="P25" t="n">
        <v>115.247551</v>
      </c>
      <c r="Q25" t="n">
        <v>1275.246638</v>
      </c>
      <c r="R25" t="n">
        <v>1275.246638</v>
      </c>
      <c r="S25" t="n">
        <v>317.659957</v>
      </c>
      <c r="T25" t="n">
        <v>317.659957</v>
      </c>
      <c r="U25" t="n">
        <v>115.247551</v>
      </c>
      <c r="V25" t="n">
        <v>115.247551</v>
      </c>
      <c r="W25" t="n">
        <v>327.701462</v>
      </c>
      <c r="X25" t="n">
        <v>1310.378519</v>
      </c>
    </row>
    <row r="26">
      <c r="A26" t="inlineStr">
        <is>
          <t>Molva molva</t>
        </is>
      </c>
      <c r="B26" t="n">
        <v>4.4</v>
      </c>
      <c r="C26" t="n">
        <v>2511.886432</v>
      </c>
      <c r="D26" t="inlineStr">
        <is>
          <t>Ling</t>
        </is>
      </c>
      <c r="E26" t="n">
        <v>327.790917</v>
      </c>
      <c r="F26" t="n">
        <v>1898.245398</v>
      </c>
      <c r="G26" t="n">
        <v>305.428226</v>
      </c>
      <c r="H26" t="n">
        <v>911.558009</v>
      </c>
      <c r="I26" t="n">
        <v>376.10347</v>
      </c>
      <c r="J26" t="n">
        <v>391.847098</v>
      </c>
      <c r="K26" t="n">
        <v>368.336273</v>
      </c>
      <c r="L26" t="n">
        <v>491.495581</v>
      </c>
      <c r="M26" t="n">
        <v>491.495581</v>
      </c>
      <c r="N26" t="n">
        <v>491.495581</v>
      </c>
      <c r="O26" t="n">
        <v>302.549286</v>
      </c>
      <c r="P26" t="n">
        <v>96.52297900000001</v>
      </c>
      <c r="Q26" t="n">
        <v>491.495581</v>
      </c>
      <c r="R26" t="n">
        <v>491.495581</v>
      </c>
      <c r="S26" t="n">
        <v>302.549286</v>
      </c>
      <c r="T26" t="n">
        <v>302.549286</v>
      </c>
      <c r="U26" t="n">
        <v>96.52297900000001</v>
      </c>
      <c r="V26" t="n">
        <v>96.52297900000001</v>
      </c>
      <c r="W26" t="n">
        <v>307.895008</v>
      </c>
      <c r="X26" t="n">
        <v>544.500349</v>
      </c>
    </row>
    <row r="27">
      <c r="A27" t="inlineStr">
        <is>
          <t>Ammodytidae</t>
        </is>
      </c>
      <c r="D27" t="inlineStr">
        <is>
          <t>Small pelagics</t>
        </is>
      </c>
      <c r="E27" t="n">
        <v>327.790917</v>
      </c>
      <c r="F27" t="n">
        <v>148.024912</v>
      </c>
      <c r="G27" t="n">
        <v>44.163101</v>
      </c>
      <c r="H27" t="n">
        <v>58.893278</v>
      </c>
      <c r="I27" t="n">
        <v>29.57747</v>
      </c>
      <c r="J27" t="n">
        <v>29.708263</v>
      </c>
      <c r="K27" t="n">
        <v>26.143271</v>
      </c>
      <c r="L27" t="n">
        <v>37.444032</v>
      </c>
      <c r="M27" t="n">
        <v>37.444032</v>
      </c>
      <c r="N27" t="n">
        <v>37.444032</v>
      </c>
      <c r="O27" t="n">
        <v>26.825837</v>
      </c>
      <c r="P27" t="n">
        <v>12.629082</v>
      </c>
      <c r="Q27" t="n">
        <v>37.444032</v>
      </c>
      <c r="R27" t="n">
        <v>37.444032</v>
      </c>
      <c r="S27" t="n">
        <v>26.825837</v>
      </c>
      <c r="T27" t="n">
        <v>26.825837</v>
      </c>
      <c r="U27" t="n">
        <v>12.629082</v>
      </c>
      <c r="V27" t="n">
        <v>12.629082</v>
      </c>
      <c r="W27" t="n">
        <v>26.643813</v>
      </c>
      <c r="X27" t="n">
        <v>39.607714</v>
      </c>
    </row>
    <row r="28">
      <c r="A28" t="inlineStr">
        <is>
          <t>Cancer pagurus</t>
        </is>
      </c>
      <c r="B28" t="n">
        <v>3.1</v>
      </c>
      <c r="C28" t="n">
        <v>125.892541</v>
      </c>
      <c r="D28" t="inlineStr">
        <is>
          <t>Crustacea</t>
        </is>
      </c>
      <c r="E28" t="n">
        <v>327.790917</v>
      </c>
      <c r="F28" t="n">
        <v>79.403785</v>
      </c>
      <c r="G28" t="n">
        <v>27.544327</v>
      </c>
      <c r="H28" t="n">
        <v>45.837748</v>
      </c>
      <c r="I28" t="n">
        <v>38.918317</v>
      </c>
      <c r="J28" t="n">
        <v>38.964516</v>
      </c>
      <c r="K28" t="n">
        <v>31.561258</v>
      </c>
      <c r="L28" t="n">
        <v>47.671907</v>
      </c>
      <c r="M28" t="n">
        <v>47.671907</v>
      </c>
      <c r="N28" t="n">
        <v>47.671907</v>
      </c>
      <c r="O28" t="n">
        <v>34.575524</v>
      </c>
      <c r="P28" t="n">
        <v>19.020842</v>
      </c>
      <c r="Q28" t="n">
        <v>47.671907</v>
      </c>
      <c r="R28" t="n">
        <v>47.671907</v>
      </c>
      <c r="S28" t="n">
        <v>34.575524</v>
      </c>
      <c r="T28" t="n">
        <v>34.575524</v>
      </c>
      <c r="U28" t="n">
        <v>19.020842</v>
      </c>
      <c r="V28" t="n">
        <v>19.020842</v>
      </c>
      <c r="W28" t="n">
        <v>34.954015</v>
      </c>
      <c r="X28" t="n">
        <v>47.765312</v>
      </c>
    </row>
    <row r="29">
      <c r="A29" t="inlineStr">
        <is>
          <t>Eutrigla gurnardus</t>
        </is>
      </c>
      <c r="B29" t="n">
        <v>3.87</v>
      </c>
      <c r="C29" t="n">
        <v>741.310241</v>
      </c>
      <c r="D29" t="inlineStr">
        <is>
          <t>Large Dem. fish</t>
        </is>
      </c>
      <c r="E29" t="n">
        <v>327.790917</v>
      </c>
      <c r="F29" t="n">
        <v>665.972772</v>
      </c>
      <c r="G29" t="n">
        <v>138.073221</v>
      </c>
      <c r="H29" t="n">
        <v>328.210407</v>
      </c>
      <c r="I29" t="n">
        <v>321.185641</v>
      </c>
      <c r="J29" t="n">
        <v>337.306601</v>
      </c>
      <c r="K29" t="n">
        <v>317.068205</v>
      </c>
      <c r="L29" t="n">
        <v>461.958282</v>
      </c>
      <c r="M29" t="n">
        <v>461.958282</v>
      </c>
      <c r="N29" t="n">
        <v>461.958282</v>
      </c>
      <c r="O29" t="n">
        <v>304.533157</v>
      </c>
      <c r="P29" t="n">
        <v>108.42706</v>
      </c>
      <c r="Q29" t="n">
        <v>461.958282</v>
      </c>
      <c r="R29" t="n">
        <v>461.958282</v>
      </c>
      <c r="S29" t="n">
        <v>304.533157</v>
      </c>
      <c r="T29" t="n">
        <v>304.533157</v>
      </c>
      <c r="U29" t="n">
        <v>108.42706</v>
      </c>
      <c r="V29" t="n">
        <v>108.42706</v>
      </c>
      <c r="W29" t="n">
        <v>306.991308</v>
      </c>
      <c r="X29" t="n">
        <v>468.161038</v>
      </c>
    </row>
    <row r="30">
      <c r="A30" t="inlineStr">
        <is>
          <t>Lophius piscatorius</t>
        </is>
      </c>
      <c r="B30" t="n">
        <v>4.45</v>
      </c>
      <c r="C30" t="n">
        <v>2818.382931</v>
      </c>
      <c r="D30" t="inlineStr">
        <is>
          <t>Monkfish</t>
        </is>
      </c>
      <c r="E30" t="n">
        <v>327.790917</v>
      </c>
      <c r="F30" t="n">
        <v>3156.036008</v>
      </c>
      <c r="G30" t="n">
        <v>449.016361</v>
      </c>
      <c r="H30" t="n">
        <v>891.8267070000001</v>
      </c>
      <c r="I30" t="n">
        <v>565.367315</v>
      </c>
      <c r="J30" t="n">
        <v>600.432108</v>
      </c>
      <c r="K30" t="n">
        <v>558.4018600000001</v>
      </c>
      <c r="L30" t="n">
        <v>755.080363</v>
      </c>
      <c r="M30" t="n">
        <v>755.080363</v>
      </c>
      <c r="N30" t="n">
        <v>755.080363</v>
      </c>
      <c r="O30" t="n">
        <v>449.38351</v>
      </c>
      <c r="P30" t="n">
        <v>146.238125</v>
      </c>
      <c r="Q30" t="n">
        <v>755.080363</v>
      </c>
      <c r="R30" t="n">
        <v>755.080363</v>
      </c>
      <c r="S30" t="n">
        <v>449.38351</v>
      </c>
      <c r="T30" t="n">
        <v>449.38351</v>
      </c>
      <c r="U30" t="n">
        <v>146.238125</v>
      </c>
      <c r="V30" t="n">
        <v>146.238125</v>
      </c>
      <c r="W30" t="n">
        <v>459.784631</v>
      </c>
      <c r="X30" t="n">
        <v>760.218023</v>
      </c>
    </row>
    <row r="31">
      <c r="A31" t="inlineStr">
        <is>
          <t>Platichthys flesus</t>
        </is>
      </c>
      <c r="B31" t="n">
        <v>3.32</v>
      </c>
      <c r="C31" t="n">
        <v>208.929613</v>
      </c>
      <c r="D31" t="inlineStr">
        <is>
          <t>Flatfishes</t>
        </is>
      </c>
      <c r="E31" t="n">
        <v>327.790917</v>
      </c>
      <c r="F31" t="n">
        <v>222.264878</v>
      </c>
      <c r="G31" t="n">
        <v>60.099306</v>
      </c>
      <c r="H31" t="n">
        <v>123.58001</v>
      </c>
      <c r="I31" t="n">
        <v>98.981683</v>
      </c>
      <c r="J31" t="n">
        <v>101.310188</v>
      </c>
      <c r="K31" t="n">
        <v>92.19227100000001</v>
      </c>
      <c r="L31" t="n">
        <v>114.167454</v>
      </c>
      <c r="M31" t="n">
        <v>114.167454</v>
      </c>
      <c r="N31" t="n">
        <v>114.167454</v>
      </c>
      <c r="O31" t="n">
        <v>82.349557</v>
      </c>
      <c r="P31" t="n">
        <v>38.756383</v>
      </c>
      <c r="Q31" t="n">
        <v>114.167454</v>
      </c>
      <c r="R31" t="n">
        <v>114.167454</v>
      </c>
      <c r="S31" t="n">
        <v>82.349557</v>
      </c>
      <c r="T31" t="n">
        <v>82.349557</v>
      </c>
      <c r="U31" t="n">
        <v>38.756383</v>
      </c>
      <c r="V31" t="n">
        <v>38.756383</v>
      </c>
      <c r="W31" t="n">
        <v>82.655303</v>
      </c>
      <c r="X31" t="n">
        <v>113.898256</v>
      </c>
    </row>
    <row r="32">
      <c r="A32" t="inlineStr">
        <is>
          <t>Pandalus borealis</t>
        </is>
      </c>
      <c r="B32" t="n">
        <v>3.07</v>
      </c>
      <c r="C32" t="n">
        <v>117.489755</v>
      </c>
      <c r="D32" t="inlineStr">
        <is>
          <t>Crustacea</t>
        </is>
      </c>
      <c r="E32" t="n">
        <v>327.790917</v>
      </c>
      <c r="F32" t="n">
        <v>79.403785</v>
      </c>
      <c r="G32" t="n">
        <v>27.544327</v>
      </c>
      <c r="H32" t="n">
        <v>45.837748</v>
      </c>
      <c r="I32" t="n">
        <v>38.918317</v>
      </c>
      <c r="J32" t="n">
        <v>38.964516</v>
      </c>
      <c r="K32" t="n">
        <v>31.561258</v>
      </c>
      <c r="L32" t="n">
        <v>47.671907</v>
      </c>
      <c r="M32" t="n">
        <v>47.671907</v>
      </c>
      <c r="N32" t="n">
        <v>47.671907</v>
      </c>
      <c r="O32" t="n">
        <v>34.575524</v>
      </c>
      <c r="P32" t="n">
        <v>19.020842</v>
      </c>
      <c r="Q32" t="n">
        <v>47.671907</v>
      </c>
      <c r="R32" t="n">
        <v>47.671907</v>
      </c>
      <c r="S32" t="n">
        <v>34.575524</v>
      </c>
      <c r="T32" t="n">
        <v>34.575524</v>
      </c>
      <c r="U32" t="n">
        <v>19.020842</v>
      </c>
      <c r="V32" t="n">
        <v>19.020842</v>
      </c>
      <c r="W32" t="n">
        <v>34.954015</v>
      </c>
      <c r="X32" t="n">
        <v>47.765312</v>
      </c>
    </row>
    <row r="33">
      <c r="A33" t="inlineStr">
        <is>
          <t>Coryphaenoides rupestris</t>
        </is>
      </c>
      <c r="B33" t="n">
        <v>3.54</v>
      </c>
      <c r="C33" t="n">
        <v>346.73685</v>
      </c>
      <c r="D33" t="inlineStr">
        <is>
          <t>Unresolved</t>
        </is>
      </c>
    </row>
    <row r="34">
      <c r="A34" t="inlineStr">
        <is>
          <t>Microstomus kitt</t>
        </is>
      </c>
      <c r="B34" t="n">
        <v>3.22</v>
      </c>
      <c r="C34" t="n">
        <v>165.958691</v>
      </c>
      <c r="D34" t="inlineStr">
        <is>
          <t>Flatfishes</t>
        </is>
      </c>
      <c r="E34" t="n">
        <v>327.790917</v>
      </c>
      <c r="F34" t="n">
        <v>222.264878</v>
      </c>
      <c r="G34" t="n">
        <v>60.099306</v>
      </c>
      <c r="H34" t="n">
        <v>123.58001</v>
      </c>
      <c r="I34" t="n">
        <v>98.981683</v>
      </c>
      <c r="J34" t="n">
        <v>101.310188</v>
      </c>
      <c r="K34" t="n">
        <v>92.19227100000001</v>
      </c>
      <c r="L34" t="n">
        <v>114.167454</v>
      </c>
      <c r="M34" t="n">
        <v>114.167454</v>
      </c>
      <c r="N34" t="n">
        <v>114.167454</v>
      </c>
      <c r="O34" t="n">
        <v>82.349557</v>
      </c>
      <c r="P34" t="n">
        <v>38.756383</v>
      </c>
      <c r="Q34" t="n">
        <v>114.167454</v>
      </c>
      <c r="R34" t="n">
        <v>114.167454</v>
      </c>
      <c r="S34" t="n">
        <v>82.349557</v>
      </c>
      <c r="T34" t="n">
        <v>82.349557</v>
      </c>
      <c r="U34" t="n">
        <v>38.756383</v>
      </c>
      <c r="V34" t="n">
        <v>38.756383</v>
      </c>
      <c r="W34" t="n">
        <v>82.655303</v>
      </c>
      <c r="X34" t="n">
        <v>113.898256</v>
      </c>
    </row>
    <row r="35">
      <c r="A35" t="inlineStr">
        <is>
          <t>Merluccius merluccius</t>
        </is>
      </c>
      <c r="B35" t="n">
        <v>4.42</v>
      </c>
      <c r="C35" t="n">
        <v>2630.267992</v>
      </c>
      <c r="D35" t="inlineStr">
        <is>
          <t>Hake</t>
        </is>
      </c>
      <c r="E35" t="n">
        <v>327.790917</v>
      </c>
      <c r="F35" t="n">
        <v>3460.403727</v>
      </c>
      <c r="G35" t="n">
        <v>481.470476</v>
      </c>
      <c r="H35" t="n">
        <v>916.217923</v>
      </c>
      <c r="I35" t="n">
        <v>505.277782</v>
      </c>
      <c r="J35" t="n">
        <v>553.81095</v>
      </c>
      <c r="K35" t="n">
        <v>509.506074</v>
      </c>
      <c r="L35" t="n">
        <v>696.576775</v>
      </c>
      <c r="M35" t="n">
        <v>696.576775</v>
      </c>
      <c r="N35" t="n">
        <v>696.576775</v>
      </c>
      <c r="O35" t="n">
        <v>427.075473</v>
      </c>
      <c r="P35" t="n">
        <v>136.464814</v>
      </c>
      <c r="Q35" t="n">
        <v>696.576775</v>
      </c>
      <c r="R35" t="n">
        <v>696.576775</v>
      </c>
      <c r="S35" t="n">
        <v>427.075473</v>
      </c>
      <c r="T35" t="n">
        <v>427.075473</v>
      </c>
      <c r="U35" t="n">
        <v>136.464814</v>
      </c>
      <c r="V35" t="n">
        <v>136.464814</v>
      </c>
      <c r="W35" t="n">
        <v>429.835101</v>
      </c>
      <c r="X35" t="n">
        <v>722.871201</v>
      </c>
    </row>
    <row r="36">
      <c r="A36" t="inlineStr">
        <is>
          <t>Scophthalmus maximus</t>
        </is>
      </c>
      <c r="B36" t="n">
        <v>4.36</v>
      </c>
      <c r="C36" t="n">
        <v>2290.867653</v>
      </c>
      <c r="D36" t="inlineStr">
        <is>
          <t>Turbot</t>
        </is>
      </c>
      <c r="E36" t="n">
        <v>327.790917</v>
      </c>
      <c r="F36" t="n">
        <v>313.661078</v>
      </c>
      <c r="G36" t="n">
        <v>78.028773</v>
      </c>
      <c r="H36" t="n">
        <v>173.783269</v>
      </c>
      <c r="I36" t="n">
        <v>125.902727</v>
      </c>
      <c r="J36" t="n">
        <v>126.240259</v>
      </c>
      <c r="K36" t="n">
        <v>103.517013</v>
      </c>
      <c r="L36" t="n">
        <v>148.298511</v>
      </c>
      <c r="M36" t="n">
        <v>148.298511</v>
      </c>
      <c r="N36" t="n">
        <v>148.298511</v>
      </c>
      <c r="O36" t="n">
        <v>92.320391</v>
      </c>
      <c r="P36" t="n">
        <v>41.231981</v>
      </c>
      <c r="Q36" t="n">
        <v>148.298511</v>
      </c>
      <c r="R36" t="n">
        <v>148.298511</v>
      </c>
      <c r="S36" t="n">
        <v>92.320391</v>
      </c>
      <c r="T36" t="n">
        <v>92.320391</v>
      </c>
      <c r="U36" t="n">
        <v>41.231981</v>
      </c>
      <c r="V36" t="n">
        <v>41.231981</v>
      </c>
      <c r="W36" t="n">
        <v>93.952403</v>
      </c>
      <c r="X36" t="n">
        <v>152.987929</v>
      </c>
    </row>
    <row r="37">
      <c r="A37" t="inlineStr">
        <is>
          <t>Raja</t>
        </is>
      </c>
      <c r="B37" t="n">
        <v>3.8</v>
      </c>
      <c r="C37" t="n">
        <v>630.957344</v>
      </c>
      <c r="D37" t="inlineStr">
        <is>
          <t>Sharks &amp; rays</t>
        </is>
      </c>
      <c r="E37" t="n">
        <v>327.790917</v>
      </c>
      <c r="F37" t="n">
        <v>522.28227</v>
      </c>
      <c r="G37" t="n">
        <v>114.842938</v>
      </c>
      <c r="H37" t="n">
        <v>326.928715</v>
      </c>
      <c r="I37" t="n">
        <v>732.255138</v>
      </c>
      <c r="J37" t="n">
        <v>761.48662</v>
      </c>
      <c r="K37" t="n">
        <v>327.439247</v>
      </c>
      <c r="L37" t="n">
        <v>1275.246638</v>
      </c>
      <c r="M37" t="n">
        <v>1275.246638</v>
      </c>
      <c r="N37" t="n">
        <v>1275.246638</v>
      </c>
      <c r="O37" t="n">
        <v>317.659957</v>
      </c>
      <c r="P37" t="n">
        <v>115.247551</v>
      </c>
      <c r="Q37" t="n">
        <v>1275.246638</v>
      </c>
      <c r="R37" t="n">
        <v>1275.246638</v>
      </c>
      <c r="S37" t="n">
        <v>317.659957</v>
      </c>
      <c r="T37" t="n">
        <v>317.659957</v>
      </c>
      <c r="U37" t="n">
        <v>115.247551</v>
      </c>
      <c r="V37" t="n">
        <v>115.247551</v>
      </c>
      <c r="W37" t="n">
        <v>327.701462</v>
      </c>
      <c r="X37" t="n">
        <v>1310.378519</v>
      </c>
    </row>
    <row r="38">
      <c r="A38" t="inlineStr">
        <is>
          <t>Brosme brosme</t>
        </is>
      </c>
      <c r="B38" t="n">
        <v>3.9</v>
      </c>
      <c r="C38" t="n">
        <v>794.3282349999999</v>
      </c>
      <c r="D38" t="inlineStr">
        <is>
          <t>Large Dem. fish</t>
        </is>
      </c>
      <c r="E38" t="n">
        <v>327.790917</v>
      </c>
      <c r="F38" t="n">
        <v>665.972772</v>
      </c>
      <c r="G38" t="n">
        <v>138.073221</v>
      </c>
      <c r="H38" t="n">
        <v>328.210407</v>
      </c>
      <c r="I38" t="n">
        <v>321.185641</v>
      </c>
      <c r="J38" t="n">
        <v>337.306601</v>
      </c>
      <c r="K38" t="n">
        <v>317.068205</v>
      </c>
      <c r="L38" t="n">
        <v>461.958282</v>
      </c>
      <c r="M38" t="n">
        <v>461.958282</v>
      </c>
      <c r="N38" t="n">
        <v>461.958282</v>
      </c>
      <c r="O38" t="n">
        <v>304.533157</v>
      </c>
      <c r="P38" t="n">
        <v>108.42706</v>
      </c>
      <c r="Q38" t="n">
        <v>461.958282</v>
      </c>
      <c r="R38" t="n">
        <v>461.958282</v>
      </c>
      <c r="S38" t="n">
        <v>304.533157</v>
      </c>
      <c r="T38" t="n">
        <v>304.533157</v>
      </c>
      <c r="U38" t="n">
        <v>108.42706</v>
      </c>
      <c r="V38" t="n">
        <v>108.42706</v>
      </c>
      <c r="W38" t="n">
        <v>306.991308</v>
      </c>
      <c r="X38" t="n">
        <v>468.161038</v>
      </c>
    </row>
    <row r="39">
      <c r="A39" t="inlineStr">
        <is>
          <t>Glyptocephalus cynoglossus</t>
        </is>
      </c>
      <c r="B39" t="n">
        <v>3.17</v>
      </c>
      <c r="C39" t="n">
        <v>147.910839</v>
      </c>
      <c r="D39" t="inlineStr">
        <is>
          <t>Flatfishes</t>
        </is>
      </c>
      <c r="E39" t="n">
        <v>327.790917</v>
      </c>
      <c r="F39" t="n">
        <v>222.264878</v>
      </c>
      <c r="G39" t="n">
        <v>60.099306</v>
      </c>
      <c r="H39" t="n">
        <v>123.58001</v>
      </c>
      <c r="I39" t="n">
        <v>98.981683</v>
      </c>
      <c r="J39" t="n">
        <v>101.310188</v>
      </c>
      <c r="K39" t="n">
        <v>92.19227100000001</v>
      </c>
      <c r="L39" t="n">
        <v>114.167454</v>
      </c>
      <c r="M39" t="n">
        <v>114.167454</v>
      </c>
      <c r="N39" t="n">
        <v>114.167454</v>
      </c>
      <c r="O39" t="n">
        <v>82.349557</v>
      </c>
      <c r="P39" t="n">
        <v>38.756383</v>
      </c>
      <c r="Q39" t="n">
        <v>114.167454</v>
      </c>
      <c r="R39" t="n">
        <v>114.167454</v>
      </c>
      <c r="S39" t="n">
        <v>82.349557</v>
      </c>
      <c r="T39" t="n">
        <v>82.349557</v>
      </c>
      <c r="U39" t="n">
        <v>38.756383</v>
      </c>
      <c r="V39" t="n">
        <v>38.756383</v>
      </c>
      <c r="W39" t="n">
        <v>82.655303</v>
      </c>
      <c r="X39" t="n">
        <v>113.898256</v>
      </c>
    </row>
    <row r="40">
      <c r="A40" t="inlineStr">
        <is>
          <t>Asterias rubens</t>
        </is>
      </c>
      <c r="B40" t="n">
        <v>3</v>
      </c>
      <c r="C40" t="n">
        <v>100</v>
      </c>
      <c r="D40" t="inlineStr">
        <is>
          <t>Epifauna</t>
        </is>
      </c>
      <c r="E40" t="n">
        <v>327.790917</v>
      </c>
      <c r="F40" t="n">
        <v>28.994229</v>
      </c>
      <c r="G40" t="n">
        <v>12.834993</v>
      </c>
      <c r="H40" t="n">
        <v>17.954978</v>
      </c>
      <c r="I40" t="n">
        <v>11.374014</v>
      </c>
      <c r="J40" t="n">
        <v>11.374014</v>
      </c>
      <c r="K40" t="n">
        <v>10.009132</v>
      </c>
      <c r="L40" t="n">
        <v>10.950321</v>
      </c>
      <c r="M40" t="n">
        <v>10.950321</v>
      </c>
      <c r="N40" t="n">
        <v>10.950321</v>
      </c>
      <c r="O40" t="n">
        <v>10.041084</v>
      </c>
      <c r="P40" t="n">
        <v>6.846302</v>
      </c>
      <c r="Q40" t="n">
        <v>10.950321</v>
      </c>
      <c r="R40" t="n">
        <v>10.950321</v>
      </c>
      <c r="S40" t="n">
        <v>10.041084</v>
      </c>
      <c r="T40" t="n">
        <v>10.041084</v>
      </c>
      <c r="U40" t="n">
        <v>6.846302</v>
      </c>
      <c r="V40" t="n">
        <v>6.846302</v>
      </c>
      <c r="W40" t="n">
        <v>9.947857000000001</v>
      </c>
      <c r="X40" t="n">
        <v>10.794705</v>
      </c>
    </row>
    <row r="41">
      <c r="A41" t="inlineStr">
        <is>
          <t>Buccinum undatum</t>
        </is>
      </c>
      <c r="B41" t="n">
        <v>3.75</v>
      </c>
      <c r="C41" t="n">
        <v>562.341325</v>
      </c>
      <c r="D41" t="inlineStr">
        <is>
          <t>Epifauna</t>
        </is>
      </c>
      <c r="E41" t="n">
        <v>327.790917</v>
      </c>
      <c r="F41" t="n">
        <v>28.994229</v>
      </c>
      <c r="G41" t="n">
        <v>12.834993</v>
      </c>
      <c r="H41" t="n">
        <v>17.954978</v>
      </c>
      <c r="I41" t="n">
        <v>11.374014</v>
      </c>
      <c r="J41" t="n">
        <v>11.374014</v>
      </c>
      <c r="K41" t="n">
        <v>10.009132</v>
      </c>
      <c r="L41" t="n">
        <v>10.950321</v>
      </c>
      <c r="M41" t="n">
        <v>10.950321</v>
      </c>
      <c r="N41" t="n">
        <v>10.950321</v>
      </c>
      <c r="O41" t="n">
        <v>10.041084</v>
      </c>
      <c r="P41" t="n">
        <v>6.846302</v>
      </c>
      <c r="Q41" t="n">
        <v>10.950321</v>
      </c>
      <c r="R41" t="n">
        <v>10.950321</v>
      </c>
      <c r="S41" t="n">
        <v>10.041084</v>
      </c>
      <c r="T41" t="n">
        <v>10.041084</v>
      </c>
      <c r="U41" t="n">
        <v>6.846302</v>
      </c>
      <c r="V41" t="n">
        <v>6.846302</v>
      </c>
      <c r="W41" t="n">
        <v>9.947857000000001</v>
      </c>
      <c r="X41" t="n">
        <v>10.794705</v>
      </c>
    </row>
    <row r="42">
      <c r="A42" t="inlineStr">
        <is>
          <t>Triglidae</t>
        </is>
      </c>
      <c r="B42" t="n">
        <v>3.74</v>
      </c>
      <c r="C42" t="n">
        <v>549.540874</v>
      </c>
      <c r="D42" t="inlineStr">
        <is>
          <t>Large Dem. fish</t>
        </is>
      </c>
      <c r="E42" t="n">
        <v>327.790917</v>
      </c>
      <c r="F42" t="n">
        <v>665.972772</v>
      </c>
      <c r="G42" t="n">
        <v>138.073221</v>
      </c>
      <c r="H42" t="n">
        <v>328.210407</v>
      </c>
      <c r="I42" t="n">
        <v>321.185641</v>
      </c>
      <c r="J42" t="n">
        <v>337.306601</v>
      </c>
      <c r="K42" t="n">
        <v>317.068205</v>
      </c>
      <c r="L42" t="n">
        <v>461.958282</v>
      </c>
      <c r="M42" t="n">
        <v>461.958282</v>
      </c>
      <c r="N42" t="n">
        <v>461.958282</v>
      </c>
      <c r="O42" t="n">
        <v>304.533157</v>
      </c>
      <c r="P42" t="n">
        <v>108.42706</v>
      </c>
      <c r="Q42" t="n">
        <v>461.958282</v>
      </c>
      <c r="R42" t="n">
        <v>461.958282</v>
      </c>
      <c r="S42" t="n">
        <v>304.533157</v>
      </c>
      <c r="T42" t="n">
        <v>304.533157</v>
      </c>
      <c r="U42" t="n">
        <v>108.42706</v>
      </c>
      <c r="V42" t="n">
        <v>108.42706</v>
      </c>
      <c r="W42" t="n">
        <v>306.991308</v>
      </c>
      <c r="X42" t="n">
        <v>468.161038</v>
      </c>
    </row>
    <row r="43">
      <c r="A43" t="inlineStr">
        <is>
          <t>Sardina pilchardus</t>
        </is>
      </c>
      <c r="B43" t="n">
        <v>3.06</v>
      </c>
      <c r="C43" t="n">
        <v>114.815362</v>
      </c>
      <c r="D43" t="inlineStr">
        <is>
          <t>Small pelagics</t>
        </is>
      </c>
      <c r="E43" t="n">
        <v>327.790917</v>
      </c>
      <c r="F43" t="n">
        <v>148.024912</v>
      </c>
      <c r="G43" t="n">
        <v>44.163101</v>
      </c>
      <c r="H43" t="n">
        <v>58.893278</v>
      </c>
      <c r="I43" t="n">
        <v>29.57747</v>
      </c>
      <c r="J43" t="n">
        <v>29.708263</v>
      </c>
      <c r="K43" t="n">
        <v>26.143271</v>
      </c>
      <c r="L43" t="n">
        <v>37.444032</v>
      </c>
      <c r="M43" t="n">
        <v>37.444032</v>
      </c>
      <c r="N43" t="n">
        <v>37.444032</v>
      </c>
      <c r="O43" t="n">
        <v>26.825837</v>
      </c>
      <c r="P43" t="n">
        <v>12.629082</v>
      </c>
      <c r="Q43" t="n">
        <v>37.444032</v>
      </c>
      <c r="R43" t="n">
        <v>37.444032</v>
      </c>
      <c r="S43" t="n">
        <v>26.825837</v>
      </c>
      <c r="T43" t="n">
        <v>26.825837</v>
      </c>
      <c r="U43" t="n">
        <v>12.629082</v>
      </c>
      <c r="V43" t="n">
        <v>12.629082</v>
      </c>
      <c r="W43" t="n">
        <v>26.643813</v>
      </c>
      <c r="X43" t="n">
        <v>39.607714</v>
      </c>
    </row>
    <row r="44">
      <c r="A44" t="inlineStr">
        <is>
          <t>Pecten maximus</t>
        </is>
      </c>
      <c r="B44" t="n">
        <v>2</v>
      </c>
      <c r="C44" t="n">
        <v>10</v>
      </c>
      <c r="D44" t="inlineStr">
        <is>
          <t>Epifauna</t>
        </is>
      </c>
      <c r="E44" t="n">
        <v>327.790917</v>
      </c>
      <c r="F44" t="n">
        <v>28.994229</v>
      </c>
      <c r="G44" t="n">
        <v>12.834993</v>
      </c>
      <c r="H44" t="n">
        <v>17.954978</v>
      </c>
      <c r="I44" t="n">
        <v>11.374014</v>
      </c>
      <c r="J44" t="n">
        <v>11.374014</v>
      </c>
      <c r="K44" t="n">
        <v>10.009132</v>
      </c>
      <c r="L44" t="n">
        <v>10.950321</v>
      </c>
      <c r="M44" t="n">
        <v>10.950321</v>
      </c>
      <c r="N44" t="n">
        <v>10.950321</v>
      </c>
      <c r="O44" t="n">
        <v>10.041084</v>
      </c>
      <c r="P44" t="n">
        <v>6.846302</v>
      </c>
      <c r="Q44" t="n">
        <v>10.950321</v>
      </c>
      <c r="R44" t="n">
        <v>10.950321</v>
      </c>
      <c r="S44" t="n">
        <v>10.041084</v>
      </c>
      <c r="T44" t="n">
        <v>10.041084</v>
      </c>
      <c r="U44" t="n">
        <v>6.846302</v>
      </c>
      <c r="V44" t="n">
        <v>6.846302</v>
      </c>
      <c r="W44" t="n">
        <v>9.947857000000001</v>
      </c>
      <c r="X44" t="n">
        <v>10.794705</v>
      </c>
    </row>
    <row r="45">
      <c r="A45" t="inlineStr">
        <is>
          <t>Pollachius pollachius</t>
        </is>
      </c>
      <c r="B45" t="n">
        <v>4.32</v>
      </c>
      <c r="C45" t="n">
        <v>2089.296131</v>
      </c>
      <c r="D45" t="inlineStr">
        <is>
          <t>Large Dem. fish</t>
        </is>
      </c>
      <c r="E45" t="n">
        <v>327.790917</v>
      </c>
      <c r="F45" t="n">
        <v>665.972772</v>
      </c>
      <c r="G45" t="n">
        <v>138.073221</v>
      </c>
      <c r="H45" t="n">
        <v>328.210407</v>
      </c>
      <c r="I45" t="n">
        <v>321.185641</v>
      </c>
      <c r="J45" t="n">
        <v>337.306601</v>
      </c>
      <c r="K45" t="n">
        <v>317.068205</v>
      </c>
      <c r="L45" t="n">
        <v>461.958282</v>
      </c>
      <c r="M45" t="n">
        <v>461.958282</v>
      </c>
      <c r="N45" t="n">
        <v>461.958282</v>
      </c>
      <c r="O45" t="n">
        <v>304.533157</v>
      </c>
      <c r="P45" t="n">
        <v>108.42706</v>
      </c>
      <c r="Q45" t="n">
        <v>461.958282</v>
      </c>
      <c r="R45" t="n">
        <v>461.958282</v>
      </c>
      <c r="S45" t="n">
        <v>304.533157</v>
      </c>
      <c r="T45" t="n">
        <v>304.533157</v>
      </c>
      <c r="U45" t="n">
        <v>108.42706</v>
      </c>
      <c r="V45" t="n">
        <v>108.42706</v>
      </c>
      <c r="W45" t="n">
        <v>306.991308</v>
      </c>
      <c r="X45" t="n">
        <v>468.161038</v>
      </c>
    </row>
    <row r="46">
      <c r="A46" t="inlineStr">
        <is>
          <t>Asterozoa</t>
        </is>
      </c>
      <c r="B46" t="n">
        <v>2.38</v>
      </c>
      <c r="C46" t="n">
        <v>23.988329</v>
      </c>
      <c r="D46" t="inlineStr">
        <is>
          <t>Epifauna</t>
        </is>
      </c>
      <c r="E46" t="n">
        <v>327.790917</v>
      </c>
      <c r="F46" t="n">
        <v>28.994229</v>
      </c>
      <c r="G46" t="n">
        <v>12.834993</v>
      </c>
      <c r="H46" t="n">
        <v>17.954978</v>
      </c>
      <c r="I46" t="n">
        <v>11.374014</v>
      </c>
      <c r="J46" t="n">
        <v>11.374014</v>
      </c>
      <c r="K46" t="n">
        <v>10.009132</v>
      </c>
      <c r="L46" t="n">
        <v>10.950321</v>
      </c>
      <c r="M46" t="n">
        <v>10.950321</v>
      </c>
      <c r="N46" t="n">
        <v>10.950321</v>
      </c>
      <c r="O46" t="n">
        <v>10.041084</v>
      </c>
      <c r="P46" t="n">
        <v>6.846302</v>
      </c>
      <c r="Q46" t="n">
        <v>10.950321</v>
      </c>
      <c r="R46" t="n">
        <v>10.950321</v>
      </c>
      <c r="S46" t="n">
        <v>10.041084</v>
      </c>
      <c r="T46" t="n">
        <v>10.041084</v>
      </c>
      <c r="U46" t="n">
        <v>6.846302</v>
      </c>
      <c r="V46" t="n">
        <v>6.846302</v>
      </c>
      <c r="W46" t="n">
        <v>9.947857000000001</v>
      </c>
      <c r="X46" t="n">
        <v>10.794705</v>
      </c>
    </row>
    <row r="47">
      <c r="A47" t="inlineStr">
        <is>
          <t>Elasmobranchii</t>
        </is>
      </c>
      <c r="B47" t="n">
        <v>4.05</v>
      </c>
      <c r="C47" t="n">
        <v>1122.018454</v>
      </c>
      <c r="D47" t="inlineStr">
        <is>
          <t>Sharks &amp; rays</t>
        </is>
      </c>
      <c r="E47" t="n">
        <v>327.790917</v>
      </c>
      <c r="F47" t="n">
        <v>522.28227</v>
      </c>
      <c r="G47" t="n">
        <v>114.842938</v>
      </c>
      <c r="H47" t="n">
        <v>326.928715</v>
      </c>
      <c r="I47" t="n">
        <v>732.255138</v>
      </c>
      <c r="J47" t="n">
        <v>761.48662</v>
      </c>
      <c r="K47" t="n">
        <v>327.439247</v>
      </c>
      <c r="L47" t="n">
        <v>1275.246638</v>
      </c>
      <c r="M47" t="n">
        <v>1275.246638</v>
      </c>
      <c r="N47" t="n">
        <v>1275.246638</v>
      </c>
      <c r="O47" t="n">
        <v>317.659957</v>
      </c>
      <c r="P47" t="n">
        <v>115.247551</v>
      </c>
      <c r="Q47" t="n">
        <v>1275.246638</v>
      </c>
      <c r="R47" t="n">
        <v>1275.246638</v>
      </c>
      <c r="S47" t="n">
        <v>317.659957</v>
      </c>
      <c r="T47" t="n">
        <v>317.659957</v>
      </c>
      <c r="U47" t="n">
        <v>115.247551</v>
      </c>
      <c r="V47" t="n">
        <v>115.247551</v>
      </c>
      <c r="W47" t="n">
        <v>327.701462</v>
      </c>
      <c r="X47" t="n">
        <v>1310.378519</v>
      </c>
    </row>
    <row r="48">
      <c r="A48" t="inlineStr">
        <is>
          <t>Miscellaneous aquatic invertebrates</t>
        </is>
      </c>
      <c r="B48" t="n">
        <v>2.43</v>
      </c>
      <c r="C48" t="n">
        <v>26.915348</v>
      </c>
      <c r="D48" t="inlineStr">
        <is>
          <t>Infauna | Epifauna</t>
        </is>
      </c>
      <c r="E48" t="n">
        <v>327.790917</v>
      </c>
      <c r="F48" t="n">
        <v>28.765706</v>
      </c>
      <c r="G48" t="n">
        <v>12.749483</v>
      </c>
      <c r="H48" t="n">
        <v>17.8078</v>
      </c>
      <c r="I48" t="n">
        <v>11.29059</v>
      </c>
      <c r="J48" t="n">
        <v>11.29059</v>
      </c>
      <c r="K48" t="n">
        <v>9.936787000000001</v>
      </c>
      <c r="L48" t="n">
        <v>10.865076</v>
      </c>
      <c r="M48" t="n">
        <v>10.865076</v>
      </c>
      <c r="N48" t="n">
        <v>10.865076</v>
      </c>
      <c r="O48" t="n">
        <v>9.971377</v>
      </c>
      <c r="P48" t="n">
        <v>6.808206</v>
      </c>
      <c r="Q48" t="n">
        <v>10.865076</v>
      </c>
      <c r="R48" t="n">
        <v>10.865076</v>
      </c>
      <c r="S48" t="n">
        <v>9.971377</v>
      </c>
      <c r="T48" t="n">
        <v>9.971377</v>
      </c>
      <c r="U48" t="n">
        <v>6.808206</v>
      </c>
      <c r="V48" t="n">
        <v>6.808206</v>
      </c>
      <c r="W48" t="n">
        <v>9.878553999999999</v>
      </c>
      <c r="X48" t="n">
        <v>10.712101</v>
      </c>
    </row>
    <row r="49">
      <c r="A49" t="inlineStr">
        <is>
          <t>Anguilla anguilla</t>
        </is>
      </c>
      <c r="B49" t="n">
        <v>3.55</v>
      </c>
      <c r="C49" t="n">
        <v>354.813389</v>
      </c>
      <c r="D49" t="inlineStr">
        <is>
          <t>Unresolved</t>
        </is>
      </c>
    </row>
    <row r="50">
      <c r="A50" t="inlineStr">
        <is>
          <t>Squalidae</t>
        </is>
      </c>
      <c r="B50" t="n">
        <v>4.23</v>
      </c>
      <c r="C50" t="n">
        <v>1698.243652</v>
      </c>
      <c r="D50" t="inlineStr">
        <is>
          <t>Sharks &amp; rays</t>
        </is>
      </c>
      <c r="E50" t="n">
        <v>327.790917</v>
      </c>
      <c r="F50" t="n">
        <v>522.28227</v>
      </c>
      <c r="G50" t="n">
        <v>114.842938</v>
      </c>
      <c r="H50" t="n">
        <v>326.928715</v>
      </c>
      <c r="I50" t="n">
        <v>732.255138</v>
      </c>
      <c r="J50" t="n">
        <v>761.48662</v>
      </c>
      <c r="K50" t="n">
        <v>327.439247</v>
      </c>
      <c r="L50" t="n">
        <v>1275.246638</v>
      </c>
      <c r="M50" t="n">
        <v>1275.246638</v>
      </c>
      <c r="N50" t="n">
        <v>1275.246638</v>
      </c>
      <c r="O50" t="n">
        <v>317.659957</v>
      </c>
      <c r="P50" t="n">
        <v>115.247551</v>
      </c>
      <c r="Q50" t="n">
        <v>1275.246638</v>
      </c>
      <c r="R50" t="n">
        <v>1275.246638</v>
      </c>
      <c r="S50" t="n">
        <v>317.659957</v>
      </c>
      <c r="T50" t="n">
        <v>317.659957</v>
      </c>
      <c r="U50" t="n">
        <v>115.247551</v>
      </c>
      <c r="V50" t="n">
        <v>115.247551</v>
      </c>
      <c r="W50" t="n">
        <v>327.701462</v>
      </c>
      <c r="X50" t="n">
        <v>1310.378519</v>
      </c>
    </row>
    <row r="51">
      <c r="A51" t="inlineStr">
        <is>
          <t>Cyclopterus lumpus</t>
        </is>
      </c>
      <c r="B51" t="n">
        <v>3.89</v>
      </c>
      <c r="C51" t="n">
        <v>776.247117</v>
      </c>
      <c r="D51" t="inlineStr">
        <is>
          <t>Large Dem. fish</t>
        </is>
      </c>
      <c r="E51" t="n">
        <v>327.790917</v>
      </c>
      <c r="F51" t="n">
        <v>665.972772</v>
      </c>
      <c r="G51" t="n">
        <v>138.073221</v>
      </c>
      <c r="H51" t="n">
        <v>328.210407</v>
      </c>
      <c r="I51" t="n">
        <v>321.185641</v>
      </c>
      <c r="J51" t="n">
        <v>337.306601</v>
      </c>
      <c r="K51" t="n">
        <v>317.068205</v>
      </c>
      <c r="L51" t="n">
        <v>461.958282</v>
      </c>
      <c r="M51" t="n">
        <v>461.958282</v>
      </c>
      <c r="N51" t="n">
        <v>461.958282</v>
      </c>
      <c r="O51" t="n">
        <v>304.533157</v>
      </c>
      <c r="P51" t="n">
        <v>108.42706</v>
      </c>
      <c r="Q51" t="n">
        <v>461.958282</v>
      </c>
      <c r="R51" t="n">
        <v>461.958282</v>
      </c>
      <c r="S51" t="n">
        <v>304.533157</v>
      </c>
      <c r="T51" t="n">
        <v>304.533157</v>
      </c>
      <c r="U51" t="n">
        <v>108.42706</v>
      </c>
      <c r="V51" t="n">
        <v>108.42706</v>
      </c>
      <c r="W51" t="n">
        <v>306.991308</v>
      </c>
      <c r="X51" t="n">
        <v>468.161038</v>
      </c>
    </row>
    <row r="52">
      <c r="A52" t="inlineStr">
        <is>
          <t>Thunnus thynnus</t>
        </is>
      </c>
      <c r="B52" t="n">
        <v>4.45</v>
      </c>
      <c r="C52" t="n">
        <v>2818.382931</v>
      </c>
      <c r="D52" t="inlineStr">
        <is>
          <t>Unresolved</t>
        </is>
      </c>
    </row>
    <row r="53">
      <c r="A53" t="inlineStr">
        <is>
          <t>Marine pelagic fishes not identified</t>
        </is>
      </c>
      <c r="B53" t="n">
        <v>3.35</v>
      </c>
      <c r="C53" t="n">
        <v>223.872114</v>
      </c>
      <c r="D53" t="inlineStr">
        <is>
          <t>Small pelagics | Large Pelagics</t>
        </is>
      </c>
      <c r="E53" t="n">
        <v>327.790917</v>
      </c>
      <c r="F53" t="n">
        <v>269.671803</v>
      </c>
      <c r="G53" t="n">
        <v>68.050352</v>
      </c>
      <c r="H53" t="n">
        <v>111.536091</v>
      </c>
      <c r="I53" t="n">
        <v>86.43584300000001</v>
      </c>
      <c r="J53" t="n">
        <v>93.596384</v>
      </c>
      <c r="K53" t="n">
        <v>83.919191</v>
      </c>
      <c r="L53" t="n">
        <v>117.159813</v>
      </c>
      <c r="M53" t="n">
        <v>117.159813</v>
      </c>
      <c r="N53" t="n">
        <v>117.159813</v>
      </c>
      <c r="O53" t="n">
        <v>79.15279099999999</v>
      </c>
      <c r="P53" t="n">
        <v>32.628071</v>
      </c>
      <c r="Q53" t="n">
        <v>117.159813</v>
      </c>
      <c r="R53" t="n">
        <v>117.159813</v>
      </c>
      <c r="S53" t="n">
        <v>79.15279099999999</v>
      </c>
      <c r="T53" t="n">
        <v>79.15279099999999</v>
      </c>
      <c r="U53" t="n">
        <v>32.628071</v>
      </c>
      <c r="V53" t="n">
        <v>32.628071</v>
      </c>
      <c r="W53" t="n">
        <v>78.898974</v>
      </c>
      <c r="X53" t="n">
        <v>118.878193</v>
      </c>
    </row>
    <row r="54">
      <c r="A54" t="inlineStr">
        <is>
          <t>Carcinus maenas</t>
        </is>
      </c>
      <c r="B54" t="n">
        <v>3.5</v>
      </c>
      <c r="C54" t="n">
        <v>316.227766</v>
      </c>
      <c r="D54" t="inlineStr">
        <is>
          <t>Crustacea</t>
        </is>
      </c>
      <c r="E54" t="n">
        <v>327.790917</v>
      </c>
      <c r="F54" t="n">
        <v>79.403785</v>
      </c>
      <c r="G54" t="n">
        <v>27.544327</v>
      </c>
      <c r="H54" t="n">
        <v>45.837748</v>
      </c>
      <c r="I54" t="n">
        <v>38.918317</v>
      </c>
      <c r="J54" t="n">
        <v>38.964516</v>
      </c>
      <c r="K54" t="n">
        <v>31.561258</v>
      </c>
      <c r="L54" t="n">
        <v>47.671907</v>
      </c>
      <c r="M54" t="n">
        <v>47.671907</v>
      </c>
      <c r="N54" t="n">
        <v>47.671907</v>
      </c>
      <c r="O54" t="n">
        <v>34.575524</v>
      </c>
      <c r="P54" t="n">
        <v>19.020842</v>
      </c>
      <c r="Q54" t="n">
        <v>47.671907</v>
      </c>
      <c r="R54" t="n">
        <v>47.671907</v>
      </c>
      <c r="S54" t="n">
        <v>34.575524</v>
      </c>
      <c r="T54" t="n">
        <v>34.575524</v>
      </c>
      <c r="U54" t="n">
        <v>19.020842</v>
      </c>
      <c r="V54" t="n">
        <v>19.020842</v>
      </c>
      <c r="W54" t="n">
        <v>34.954015</v>
      </c>
      <c r="X54" t="n">
        <v>47.765312</v>
      </c>
    </row>
    <row r="55">
      <c r="A55" t="inlineStr">
        <is>
          <t>Rajiformes</t>
        </is>
      </c>
      <c r="B55" t="n">
        <v>3.61</v>
      </c>
      <c r="C55" t="n">
        <v>407.380278</v>
      </c>
      <c r="D55" t="inlineStr">
        <is>
          <t>Sharks &amp; rays</t>
        </is>
      </c>
      <c r="E55" t="n">
        <v>327.790917</v>
      </c>
      <c r="F55" t="n">
        <v>522.28227</v>
      </c>
      <c r="G55" t="n">
        <v>114.842938</v>
      </c>
      <c r="H55" t="n">
        <v>326.928715</v>
      </c>
      <c r="I55" t="n">
        <v>732.255138</v>
      </c>
      <c r="J55" t="n">
        <v>761.48662</v>
      </c>
      <c r="K55" t="n">
        <v>327.439247</v>
      </c>
      <c r="L55" t="n">
        <v>1275.246638</v>
      </c>
      <c r="M55" t="n">
        <v>1275.246638</v>
      </c>
      <c r="N55" t="n">
        <v>1275.246638</v>
      </c>
      <c r="O55" t="n">
        <v>317.659957</v>
      </c>
      <c r="P55" t="n">
        <v>115.247551</v>
      </c>
      <c r="Q55" t="n">
        <v>1275.246638</v>
      </c>
      <c r="R55" t="n">
        <v>1275.246638</v>
      </c>
      <c r="S55" t="n">
        <v>317.659957</v>
      </c>
      <c r="T55" t="n">
        <v>317.659957</v>
      </c>
      <c r="U55" t="n">
        <v>115.247551</v>
      </c>
      <c r="V55" t="n">
        <v>115.247551</v>
      </c>
      <c r="W55" t="n">
        <v>327.701462</v>
      </c>
      <c r="X55" t="n">
        <v>1310.378519</v>
      </c>
    </row>
    <row r="56">
      <c r="A56" t="inlineStr">
        <is>
          <t>Buglossidium luteum</t>
        </is>
      </c>
      <c r="B56" t="n">
        <v>3.31</v>
      </c>
      <c r="C56" t="n">
        <v>204.173794</v>
      </c>
      <c r="D56" t="inlineStr">
        <is>
          <t>Flatfishes</t>
        </is>
      </c>
      <c r="E56" t="n">
        <v>327.790917</v>
      </c>
      <c r="F56" t="n">
        <v>222.264878</v>
      </c>
      <c r="G56" t="n">
        <v>60.099306</v>
      </c>
      <c r="H56" t="n">
        <v>123.58001</v>
      </c>
      <c r="I56" t="n">
        <v>98.981683</v>
      </c>
      <c r="J56" t="n">
        <v>101.310188</v>
      </c>
      <c r="K56" t="n">
        <v>92.19227100000001</v>
      </c>
      <c r="L56" t="n">
        <v>114.167454</v>
      </c>
      <c r="M56" t="n">
        <v>114.167454</v>
      </c>
      <c r="N56" t="n">
        <v>114.167454</v>
      </c>
      <c r="O56" t="n">
        <v>82.349557</v>
      </c>
      <c r="P56" t="n">
        <v>38.756383</v>
      </c>
      <c r="Q56" t="n">
        <v>114.167454</v>
      </c>
      <c r="R56" t="n">
        <v>114.167454</v>
      </c>
      <c r="S56" t="n">
        <v>82.349557</v>
      </c>
      <c r="T56" t="n">
        <v>82.349557</v>
      </c>
      <c r="U56" t="n">
        <v>38.756383</v>
      </c>
      <c r="V56" t="n">
        <v>38.756383</v>
      </c>
      <c r="W56" t="n">
        <v>82.655303</v>
      </c>
      <c r="X56" t="n">
        <v>113.898256</v>
      </c>
    </row>
    <row r="57">
      <c r="A57" t="inlineStr">
        <is>
          <t>Trisopterus luscus</t>
        </is>
      </c>
      <c r="B57" t="n">
        <v>3.73</v>
      </c>
      <c r="C57" t="n">
        <v>537.031796</v>
      </c>
      <c r="D57" t="inlineStr">
        <is>
          <t>Small pelagics</t>
        </is>
      </c>
      <c r="E57" t="n">
        <v>327.790917</v>
      </c>
      <c r="F57" t="n">
        <v>148.024912</v>
      </c>
      <c r="G57" t="n">
        <v>44.163101</v>
      </c>
      <c r="H57" t="n">
        <v>58.893278</v>
      </c>
      <c r="I57" t="n">
        <v>29.57747</v>
      </c>
      <c r="J57" t="n">
        <v>29.708263</v>
      </c>
      <c r="K57" t="n">
        <v>26.143271</v>
      </c>
      <c r="L57" t="n">
        <v>37.444032</v>
      </c>
      <c r="M57" t="n">
        <v>37.444032</v>
      </c>
      <c r="N57" t="n">
        <v>37.444032</v>
      </c>
      <c r="O57" t="n">
        <v>26.825837</v>
      </c>
      <c r="P57" t="n">
        <v>12.629082</v>
      </c>
      <c r="Q57" t="n">
        <v>37.444032</v>
      </c>
      <c r="R57" t="n">
        <v>37.444032</v>
      </c>
      <c r="S57" t="n">
        <v>26.825837</v>
      </c>
      <c r="T57" t="n">
        <v>26.825837</v>
      </c>
      <c r="U57" t="n">
        <v>12.629082</v>
      </c>
      <c r="V57" t="n">
        <v>12.629082</v>
      </c>
      <c r="W57" t="n">
        <v>26.643813</v>
      </c>
      <c r="X57" t="n">
        <v>39.607714</v>
      </c>
    </row>
    <row r="58">
      <c r="A58" t="inlineStr">
        <is>
          <t>Miscellaneous marine crustaceans</t>
        </is>
      </c>
      <c r="B58" t="n">
        <v>2.7</v>
      </c>
      <c r="C58" t="n">
        <v>50.118723</v>
      </c>
      <c r="D58" t="inlineStr">
        <is>
          <t>Crustacea</t>
        </is>
      </c>
      <c r="E58" t="n">
        <v>327.790917</v>
      </c>
      <c r="F58" t="n">
        <v>79.403785</v>
      </c>
      <c r="G58" t="n">
        <v>27.544327</v>
      </c>
      <c r="H58" t="n">
        <v>45.837748</v>
      </c>
      <c r="I58" t="n">
        <v>38.918317</v>
      </c>
      <c r="J58" t="n">
        <v>38.964516</v>
      </c>
      <c r="K58" t="n">
        <v>31.561258</v>
      </c>
      <c r="L58" t="n">
        <v>47.671907</v>
      </c>
      <c r="M58" t="n">
        <v>47.671907</v>
      </c>
      <c r="N58" t="n">
        <v>47.671907</v>
      </c>
      <c r="O58" t="n">
        <v>34.575524</v>
      </c>
      <c r="P58" t="n">
        <v>19.020842</v>
      </c>
      <c r="Q58" t="n">
        <v>47.671907</v>
      </c>
      <c r="R58" t="n">
        <v>47.671907</v>
      </c>
      <c r="S58" t="n">
        <v>34.575524</v>
      </c>
      <c r="T58" t="n">
        <v>34.575524</v>
      </c>
      <c r="U58" t="n">
        <v>19.020842</v>
      </c>
      <c r="V58" t="n">
        <v>19.020842</v>
      </c>
      <c r="W58" t="n">
        <v>34.954015</v>
      </c>
      <c r="X58" t="n">
        <v>47.765312</v>
      </c>
    </row>
    <row r="59">
      <c r="A59" t="inlineStr">
        <is>
          <t>Chelidonichthys lucerna</t>
        </is>
      </c>
      <c r="B59" t="n">
        <v>3.98</v>
      </c>
      <c r="C59" t="n">
        <v>954.992586</v>
      </c>
      <c r="D59" t="inlineStr">
        <is>
          <t>Large Dem. fish</t>
        </is>
      </c>
      <c r="E59" t="n">
        <v>327.790917</v>
      </c>
      <c r="F59" t="n">
        <v>665.972772</v>
      </c>
      <c r="G59" t="n">
        <v>138.073221</v>
      </c>
      <c r="H59" t="n">
        <v>328.210407</v>
      </c>
      <c r="I59" t="n">
        <v>321.185641</v>
      </c>
      <c r="J59" t="n">
        <v>337.306601</v>
      </c>
      <c r="K59" t="n">
        <v>317.068205</v>
      </c>
      <c r="L59" t="n">
        <v>461.958282</v>
      </c>
      <c r="M59" t="n">
        <v>461.958282</v>
      </c>
      <c r="N59" t="n">
        <v>461.958282</v>
      </c>
      <c r="O59" t="n">
        <v>304.533157</v>
      </c>
      <c r="P59" t="n">
        <v>108.42706</v>
      </c>
      <c r="Q59" t="n">
        <v>461.958282</v>
      </c>
      <c r="R59" t="n">
        <v>461.958282</v>
      </c>
      <c r="S59" t="n">
        <v>304.533157</v>
      </c>
      <c r="T59" t="n">
        <v>304.533157</v>
      </c>
      <c r="U59" t="n">
        <v>108.42706</v>
      </c>
      <c r="V59" t="n">
        <v>108.42706</v>
      </c>
      <c r="W59" t="n">
        <v>306.991308</v>
      </c>
      <c r="X59" t="n">
        <v>468.161038</v>
      </c>
    </row>
    <row r="60">
      <c r="A60" t="inlineStr">
        <is>
          <t>Scophthalmus rhombus</t>
        </is>
      </c>
      <c r="B60" t="n">
        <v>4.42</v>
      </c>
      <c r="C60" t="n">
        <v>2630.267992</v>
      </c>
      <c r="D60" t="inlineStr">
        <is>
          <t>Flatfishes</t>
        </is>
      </c>
      <c r="E60" t="n">
        <v>327.790917</v>
      </c>
      <c r="F60" t="n">
        <v>222.264878</v>
      </c>
      <c r="G60" t="n">
        <v>60.099306</v>
      </c>
      <c r="H60" t="n">
        <v>123.58001</v>
      </c>
      <c r="I60" t="n">
        <v>98.981683</v>
      </c>
      <c r="J60" t="n">
        <v>101.310188</v>
      </c>
      <c r="K60" t="n">
        <v>92.19227100000001</v>
      </c>
      <c r="L60" t="n">
        <v>114.167454</v>
      </c>
      <c r="M60" t="n">
        <v>114.167454</v>
      </c>
      <c r="N60" t="n">
        <v>114.167454</v>
      </c>
      <c r="O60" t="n">
        <v>82.349557</v>
      </c>
      <c r="P60" t="n">
        <v>38.756383</v>
      </c>
      <c r="Q60" t="n">
        <v>114.167454</v>
      </c>
      <c r="R60" t="n">
        <v>114.167454</v>
      </c>
      <c r="S60" t="n">
        <v>82.349557</v>
      </c>
      <c r="T60" t="n">
        <v>82.349557</v>
      </c>
      <c r="U60" t="n">
        <v>38.756383</v>
      </c>
      <c r="V60" t="n">
        <v>38.756383</v>
      </c>
      <c r="W60" t="n">
        <v>82.655303</v>
      </c>
      <c r="X60" t="n">
        <v>113.898256</v>
      </c>
    </row>
    <row r="61">
      <c r="A61" t="inlineStr">
        <is>
          <t>Gadidae</t>
        </is>
      </c>
      <c r="B61" t="n">
        <v>3.84</v>
      </c>
      <c r="C61" t="n">
        <v>691.830971</v>
      </c>
      <c r="D61" t="inlineStr">
        <is>
          <t>Cod | Haddock | Whiting | Saithe | Large Dem. fish | Small pelagics | Large Pelagics</t>
        </is>
      </c>
      <c r="E61" t="n">
        <v>327.790917</v>
      </c>
      <c r="F61" t="n">
        <v>459.536555</v>
      </c>
      <c r="G61" t="n">
        <v>100.42589</v>
      </c>
      <c r="H61" t="n">
        <v>190.320617</v>
      </c>
      <c r="I61" t="n">
        <v>132.890628</v>
      </c>
      <c r="J61" t="n">
        <v>140.662278</v>
      </c>
      <c r="K61" t="n">
        <v>125.897485</v>
      </c>
      <c r="L61" t="n">
        <v>176.096118</v>
      </c>
      <c r="M61" t="n">
        <v>176.096118</v>
      </c>
      <c r="N61" t="n">
        <v>176.096118</v>
      </c>
      <c r="O61" t="n">
        <v>114.49676</v>
      </c>
      <c r="P61" t="n">
        <v>45.010968</v>
      </c>
      <c r="Q61" t="n">
        <v>176.096118</v>
      </c>
      <c r="R61" t="n">
        <v>176.096118</v>
      </c>
      <c r="S61" t="n">
        <v>114.49676</v>
      </c>
      <c r="T61" t="n">
        <v>114.49676</v>
      </c>
      <c r="U61" t="n">
        <v>45.010968</v>
      </c>
      <c r="V61" t="n">
        <v>45.010968</v>
      </c>
      <c r="W61" t="n">
        <v>114.679147</v>
      </c>
      <c r="X61" t="n">
        <v>180.86106</v>
      </c>
    </row>
    <row r="62">
      <c r="A62" t="inlineStr">
        <is>
          <t>Lophiidae</t>
        </is>
      </c>
      <c r="B62" t="n">
        <v>4.46</v>
      </c>
      <c r="C62" t="n">
        <v>2884.031503</v>
      </c>
      <c r="D62" t="inlineStr">
        <is>
          <t>Monkfish</t>
        </is>
      </c>
      <c r="E62" t="n">
        <v>327.790917</v>
      </c>
      <c r="F62" t="n">
        <v>3156.036008</v>
      </c>
      <c r="G62" t="n">
        <v>449.016361</v>
      </c>
      <c r="H62" t="n">
        <v>891.8267070000001</v>
      </c>
      <c r="I62" t="n">
        <v>565.367315</v>
      </c>
      <c r="J62" t="n">
        <v>600.432108</v>
      </c>
      <c r="K62" t="n">
        <v>558.4018600000001</v>
      </c>
      <c r="L62" t="n">
        <v>755.080363</v>
      </c>
      <c r="M62" t="n">
        <v>755.080363</v>
      </c>
      <c r="N62" t="n">
        <v>755.080363</v>
      </c>
      <c r="O62" t="n">
        <v>449.38351</v>
      </c>
      <c r="P62" t="n">
        <v>146.238125</v>
      </c>
      <c r="Q62" t="n">
        <v>755.080363</v>
      </c>
      <c r="R62" t="n">
        <v>755.080363</v>
      </c>
      <c r="S62" t="n">
        <v>449.38351</v>
      </c>
      <c r="T62" t="n">
        <v>449.38351</v>
      </c>
      <c r="U62" t="n">
        <v>146.238125</v>
      </c>
      <c r="V62" t="n">
        <v>146.238125</v>
      </c>
      <c r="W62" t="n">
        <v>459.784631</v>
      </c>
      <c r="X62" t="n">
        <v>760.218023</v>
      </c>
    </row>
    <row r="63">
      <c r="A63" t="inlineStr">
        <is>
          <t>Portunidae</t>
        </is>
      </c>
      <c r="B63" t="n">
        <v>3.56</v>
      </c>
      <c r="C63" t="n">
        <v>363.078055</v>
      </c>
      <c r="D63" t="inlineStr">
        <is>
          <t>Crustacea</t>
        </is>
      </c>
      <c r="E63" t="n">
        <v>327.790917</v>
      </c>
      <c r="F63" t="n">
        <v>79.403785</v>
      </c>
      <c r="G63" t="n">
        <v>27.544327</v>
      </c>
      <c r="H63" t="n">
        <v>45.837748</v>
      </c>
      <c r="I63" t="n">
        <v>38.918317</v>
      </c>
      <c r="J63" t="n">
        <v>38.964516</v>
      </c>
      <c r="K63" t="n">
        <v>31.561258</v>
      </c>
      <c r="L63" t="n">
        <v>47.671907</v>
      </c>
      <c r="M63" t="n">
        <v>47.671907</v>
      </c>
      <c r="N63" t="n">
        <v>47.671907</v>
      </c>
      <c r="O63" t="n">
        <v>34.575524</v>
      </c>
      <c r="P63" t="n">
        <v>19.020842</v>
      </c>
      <c r="Q63" t="n">
        <v>47.671907</v>
      </c>
      <c r="R63" t="n">
        <v>47.671907</v>
      </c>
      <c r="S63" t="n">
        <v>34.575524</v>
      </c>
      <c r="T63" t="n">
        <v>34.575524</v>
      </c>
      <c r="U63" t="n">
        <v>19.020842</v>
      </c>
      <c r="V63" t="n">
        <v>19.020842</v>
      </c>
      <c r="W63" t="n">
        <v>34.954015</v>
      </c>
      <c r="X63" t="n">
        <v>47.765312</v>
      </c>
    </row>
    <row r="64">
      <c r="A64" t="inlineStr">
        <is>
          <t>Callionymus lyra</t>
        </is>
      </c>
      <c r="B64" t="n">
        <v>3.27</v>
      </c>
      <c r="C64" t="n">
        <v>186.208714</v>
      </c>
      <c r="D64" t="inlineStr">
        <is>
          <t>Large Dem. fish</t>
        </is>
      </c>
      <c r="E64" t="n">
        <v>327.790917</v>
      </c>
      <c r="F64" t="n">
        <v>665.972772</v>
      </c>
      <c r="G64" t="n">
        <v>138.073221</v>
      </c>
      <c r="H64" t="n">
        <v>328.210407</v>
      </c>
      <c r="I64" t="n">
        <v>321.185641</v>
      </c>
      <c r="J64" t="n">
        <v>337.306601</v>
      </c>
      <c r="K64" t="n">
        <v>317.068205</v>
      </c>
      <c r="L64" t="n">
        <v>461.958282</v>
      </c>
      <c r="M64" t="n">
        <v>461.958282</v>
      </c>
      <c r="N64" t="n">
        <v>461.958282</v>
      </c>
      <c r="O64" t="n">
        <v>304.533157</v>
      </c>
      <c r="P64" t="n">
        <v>108.42706</v>
      </c>
      <c r="Q64" t="n">
        <v>461.958282</v>
      </c>
      <c r="R64" t="n">
        <v>461.958282</v>
      </c>
      <c r="S64" t="n">
        <v>304.533157</v>
      </c>
      <c r="T64" t="n">
        <v>304.533157</v>
      </c>
      <c r="U64" t="n">
        <v>108.42706</v>
      </c>
      <c r="V64" t="n">
        <v>108.42706</v>
      </c>
      <c r="W64" t="n">
        <v>306.991308</v>
      </c>
      <c r="X64" t="n">
        <v>468.161038</v>
      </c>
    </row>
    <row r="65">
      <c r="A65" t="inlineStr">
        <is>
          <t>Lepidorhombus whiffiagonis</t>
        </is>
      </c>
      <c r="B65" t="n">
        <v>4.34</v>
      </c>
      <c r="C65" t="n">
        <v>2187.761624</v>
      </c>
      <c r="D65" t="inlineStr">
        <is>
          <t>Flatfishes</t>
        </is>
      </c>
      <c r="E65" t="n">
        <v>327.790917</v>
      </c>
      <c r="F65" t="n">
        <v>222.264878</v>
      </c>
      <c r="G65" t="n">
        <v>60.099306</v>
      </c>
      <c r="H65" t="n">
        <v>123.58001</v>
      </c>
      <c r="I65" t="n">
        <v>98.981683</v>
      </c>
      <c r="J65" t="n">
        <v>101.310188</v>
      </c>
      <c r="K65" t="n">
        <v>92.19227100000001</v>
      </c>
      <c r="L65" t="n">
        <v>114.167454</v>
      </c>
      <c r="M65" t="n">
        <v>114.167454</v>
      </c>
      <c r="N65" t="n">
        <v>114.167454</v>
      </c>
      <c r="O65" t="n">
        <v>82.349557</v>
      </c>
      <c r="P65" t="n">
        <v>38.756383</v>
      </c>
      <c r="Q65" t="n">
        <v>114.167454</v>
      </c>
      <c r="R65" t="n">
        <v>114.167454</v>
      </c>
      <c r="S65" t="n">
        <v>82.349557</v>
      </c>
      <c r="T65" t="n">
        <v>82.349557</v>
      </c>
      <c r="U65" t="n">
        <v>38.756383</v>
      </c>
      <c r="V65" t="n">
        <v>38.756383</v>
      </c>
      <c r="W65" t="n">
        <v>82.655303</v>
      </c>
      <c r="X65" t="n">
        <v>113.898256</v>
      </c>
    </row>
    <row r="66">
      <c r="A66" t="inlineStr">
        <is>
          <t>Marine groundfishes not identified</t>
        </is>
      </c>
      <c r="D66" t="inlineStr">
        <is>
          <t>Flatfishes | Monkfish | Large Dem. fish</t>
        </is>
      </c>
      <c r="E66" t="n">
        <v>327.790917</v>
      </c>
      <c r="F66" t="n">
        <v>345.033369</v>
      </c>
      <c r="G66" t="n">
        <v>78.18723</v>
      </c>
      <c r="H66" t="n">
        <v>164.100144</v>
      </c>
      <c r="I66" t="n">
        <v>132.854976</v>
      </c>
      <c r="J66" t="n">
        <v>137.390299</v>
      </c>
      <c r="K66" t="n">
        <v>126.313644</v>
      </c>
      <c r="L66" t="n">
        <v>164.733434</v>
      </c>
      <c r="M66" t="n">
        <v>164.733434</v>
      </c>
      <c r="N66" t="n">
        <v>164.733434</v>
      </c>
      <c r="O66" t="n">
        <v>113.48574</v>
      </c>
      <c r="P66" t="n">
        <v>48.310329</v>
      </c>
      <c r="Q66" t="n">
        <v>164.733434</v>
      </c>
      <c r="R66" t="n">
        <v>164.733434</v>
      </c>
      <c r="S66" t="n">
        <v>113.48574</v>
      </c>
      <c r="T66" t="n">
        <v>113.48574</v>
      </c>
      <c r="U66" t="n">
        <v>48.310329</v>
      </c>
      <c r="V66" t="n">
        <v>48.310329</v>
      </c>
      <c r="W66" t="n">
        <v>114.273159</v>
      </c>
      <c r="X66" t="n">
        <v>165.225716</v>
      </c>
    </row>
    <row r="67">
      <c r="A67" t="inlineStr">
        <is>
          <t>Scombridae</t>
        </is>
      </c>
      <c r="B67" t="n">
        <v>4.26</v>
      </c>
      <c r="C67" t="n">
        <v>1819.700859</v>
      </c>
      <c r="D67" t="inlineStr">
        <is>
          <t>Large Pelagics</t>
        </is>
      </c>
      <c r="E67" t="n">
        <v>327.790917</v>
      </c>
      <c r="F67" t="n">
        <v>409.325031</v>
      </c>
      <c r="G67" t="n">
        <v>95.473426</v>
      </c>
      <c r="H67" t="n">
        <v>171.971164</v>
      </c>
      <c r="I67" t="n">
        <v>151.710468</v>
      </c>
      <c r="J67" t="n">
        <v>166.941311</v>
      </c>
      <c r="K67" t="n">
        <v>150.24718</v>
      </c>
      <c r="L67" t="n">
        <v>208.675232</v>
      </c>
      <c r="M67" t="n">
        <v>208.675232</v>
      </c>
      <c r="N67" t="n">
        <v>208.675232</v>
      </c>
      <c r="O67" t="n">
        <v>139.225251</v>
      </c>
      <c r="P67" t="n">
        <v>55.587338</v>
      </c>
      <c r="Q67" t="n">
        <v>208.675232</v>
      </c>
      <c r="R67" t="n">
        <v>208.675232</v>
      </c>
      <c r="S67" t="n">
        <v>139.225251</v>
      </c>
      <c r="T67" t="n">
        <v>139.225251</v>
      </c>
      <c r="U67" t="n">
        <v>55.587338</v>
      </c>
      <c r="V67" t="n">
        <v>55.587338</v>
      </c>
      <c r="W67" t="n">
        <v>138.889014</v>
      </c>
      <c r="X67" t="n">
        <v>209.882396</v>
      </c>
    </row>
    <row r="68">
      <c r="A68" t="inlineStr">
        <is>
          <t>Crangon</t>
        </is>
      </c>
      <c r="B68" t="n">
        <v>3.19</v>
      </c>
      <c r="C68" t="n">
        <v>154.881662</v>
      </c>
      <c r="D68" t="inlineStr">
        <is>
          <t>Crustacea</t>
        </is>
      </c>
      <c r="E68" t="n">
        <v>327.790917</v>
      </c>
      <c r="F68" t="n">
        <v>79.403785</v>
      </c>
      <c r="G68" t="n">
        <v>27.544327</v>
      </c>
      <c r="H68" t="n">
        <v>45.837748</v>
      </c>
      <c r="I68" t="n">
        <v>38.918317</v>
      </c>
      <c r="J68" t="n">
        <v>38.964516</v>
      </c>
      <c r="K68" t="n">
        <v>31.561258</v>
      </c>
      <c r="L68" t="n">
        <v>47.671907</v>
      </c>
      <c r="M68" t="n">
        <v>47.671907</v>
      </c>
      <c r="N68" t="n">
        <v>47.671907</v>
      </c>
      <c r="O68" t="n">
        <v>34.575524</v>
      </c>
      <c r="P68" t="n">
        <v>19.020842</v>
      </c>
      <c r="Q68" t="n">
        <v>47.671907</v>
      </c>
      <c r="R68" t="n">
        <v>47.671907</v>
      </c>
      <c r="S68" t="n">
        <v>34.575524</v>
      </c>
      <c r="T68" t="n">
        <v>34.575524</v>
      </c>
      <c r="U68" t="n">
        <v>19.020842</v>
      </c>
      <c r="V68" t="n">
        <v>19.020842</v>
      </c>
      <c r="W68" t="n">
        <v>34.954015</v>
      </c>
      <c r="X68" t="n">
        <v>47.765312</v>
      </c>
    </row>
    <row r="69">
      <c r="A69" t="inlineStr">
        <is>
          <t>Squaliformes</t>
        </is>
      </c>
      <c r="B69" t="n">
        <v>4.19</v>
      </c>
      <c r="C69" t="n">
        <v>1548.816619</v>
      </c>
      <c r="D69" t="inlineStr">
        <is>
          <t>Sharks &amp; rays</t>
        </is>
      </c>
      <c r="E69" t="n">
        <v>327.790917</v>
      </c>
      <c r="F69" t="n">
        <v>522.28227</v>
      </c>
      <c r="G69" t="n">
        <v>114.842938</v>
      </c>
      <c r="H69" t="n">
        <v>326.928715</v>
      </c>
      <c r="I69" t="n">
        <v>732.255138</v>
      </c>
      <c r="J69" t="n">
        <v>761.48662</v>
      </c>
      <c r="K69" t="n">
        <v>327.439247</v>
      </c>
      <c r="L69" t="n">
        <v>1275.246638</v>
      </c>
      <c r="M69" t="n">
        <v>1275.246638</v>
      </c>
      <c r="N69" t="n">
        <v>1275.246638</v>
      </c>
      <c r="O69" t="n">
        <v>317.659957</v>
      </c>
      <c r="P69" t="n">
        <v>115.247551</v>
      </c>
      <c r="Q69" t="n">
        <v>1275.246638</v>
      </c>
      <c r="R69" t="n">
        <v>1275.246638</v>
      </c>
      <c r="S69" t="n">
        <v>317.659957</v>
      </c>
      <c r="T69" t="n">
        <v>317.659957</v>
      </c>
      <c r="U69" t="n">
        <v>115.247551</v>
      </c>
      <c r="V69" t="n">
        <v>115.247551</v>
      </c>
      <c r="W69" t="n">
        <v>327.701462</v>
      </c>
      <c r="X69" t="n">
        <v>1310.378519</v>
      </c>
    </row>
    <row r="70">
      <c r="A70" t="inlineStr">
        <is>
          <t>Dicentrarchus labrax</t>
        </is>
      </c>
      <c r="B70" t="n">
        <v>3.79</v>
      </c>
      <c r="C70" t="n">
        <v>616.595002</v>
      </c>
      <c r="D70" t="inlineStr">
        <is>
          <t>Large Dem. fish</t>
        </is>
      </c>
      <c r="E70" t="n">
        <v>327.790917</v>
      </c>
      <c r="F70" t="n">
        <v>665.972772</v>
      </c>
      <c r="G70" t="n">
        <v>138.073221</v>
      </c>
      <c r="H70" t="n">
        <v>328.210407</v>
      </c>
      <c r="I70" t="n">
        <v>321.185641</v>
      </c>
      <c r="J70" t="n">
        <v>337.306601</v>
      </c>
      <c r="K70" t="n">
        <v>317.068205</v>
      </c>
      <c r="L70" t="n">
        <v>461.958282</v>
      </c>
      <c r="M70" t="n">
        <v>461.958282</v>
      </c>
      <c r="N70" t="n">
        <v>461.958282</v>
      </c>
      <c r="O70" t="n">
        <v>304.533157</v>
      </c>
      <c r="P70" t="n">
        <v>108.42706</v>
      </c>
      <c r="Q70" t="n">
        <v>461.958282</v>
      </c>
      <c r="R70" t="n">
        <v>461.958282</v>
      </c>
      <c r="S70" t="n">
        <v>304.533157</v>
      </c>
      <c r="T70" t="n">
        <v>304.533157</v>
      </c>
      <c r="U70" t="n">
        <v>108.42706</v>
      </c>
      <c r="V70" t="n">
        <v>108.42706</v>
      </c>
      <c r="W70" t="n">
        <v>306.991308</v>
      </c>
      <c r="X70" t="n">
        <v>468.161038</v>
      </c>
    </row>
    <row r="71">
      <c r="A71" t="inlineStr">
        <is>
          <t>Homarus gammarus</t>
        </is>
      </c>
      <c r="B71" t="n">
        <v>3.7</v>
      </c>
      <c r="C71" t="n">
        <v>501.187234</v>
      </c>
      <c r="D71" t="inlineStr">
        <is>
          <t>Crustacea</t>
        </is>
      </c>
      <c r="E71" t="n">
        <v>327.790917</v>
      </c>
      <c r="F71" t="n">
        <v>79.403785</v>
      </c>
      <c r="G71" t="n">
        <v>27.544327</v>
      </c>
      <c r="H71" t="n">
        <v>45.837748</v>
      </c>
      <c r="I71" t="n">
        <v>38.918317</v>
      </c>
      <c r="J71" t="n">
        <v>38.964516</v>
      </c>
      <c r="K71" t="n">
        <v>31.561258</v>
      </c>
      <c r="L71" t="n">
        <v>47.671907</v>
      </c>
      <c r="M71" t="n">
        <v>47.671907</v>
      </c>
      <c r="N71" t="n">
        <v>47.671907</v>
      </c>
      <c r="O71" t="n">
        <v>34.575524</v>
      </c>
      <c r="P71" t="n">
        <v>19.020842</v>
      </c>
      <c r="Q71" t="n">
        <v>47.671907</v>
      </c>
      <c r="R71" t="n">
        <v>47.671907</v>
      </c>
      <c r="S71" t="n">
        <v>34.575524</v>
      </c>
      <c r="T71" t="n">
        <v>34.575524</v>
      </c>
      <c r="U71" t="n">
        <v>19.020842</v>
      </c>
      <c r="V71" t="n">
        <v>19.020842</v>
      </c>
      <c r="W71" t="n">
        <v>34.954015</v>
      </c>
      <c r="X71" t="n">
        <v>47.765312</v>
      </c>
    </row>
    <row r="72">
      <c r="A72" t="inlineStr">
        <is>
          <t>Pleuronectidae</t>
        </is>
      </c>
      <c r="B72" t="n">
        <v>3.49</v>
      </c>
      <c r="C72" t="n">
        <v>309.029543</v>
      </c>
      <c r="D72" t="inlineStr">
        <is>
          <t>Flatfishes</t>
        </is>
      </c>
      <c r="E72" t="n">
        <v>327.790917</v>
      </c>
      <c r="F72" t="n">
        <v>222.264878</v>
      </c>
      <c r="G72" t="n">
        <v>60.099306</v>
      </c>
      <c r="H72" t="n">
        <v>123.58001</v>
      </c>
      <c r="I72" t="n">
        <v>98.981683</v>
      </c>
      <c r="J72" t="n">
        <v>101.310188</v>
      </c>
      <c r="K72" t="n">
        <v>92.19227100000001</v>
      </c>
      <c r="L72" t="n">
        <v>114.167454</v>
      </c>
      <c r="M72" t="n">
        <v>114.167454</v>
      </c>
      <c r="N72" t="n">
        <v>114.167454</v>
      </c>
      <c r="O72" t="n">
        <v>82.349557</v>
      </c>
      <c r="P72" t="n">
        <v>38.756383</v>
      </c>
      <c r="Q72" t="n">
        <v>114.167454</v>
      </c>
      <c r="R72" t="n">
        <v>114.167454</v>
      </c>
      <c r="S72" t="n">
        <v>82.349557</v>
      </c>
      <c r="T72" t="n">
        <v>82.349557</v>
      </c>
      <c r="U72" t="n">
        <v>38.756383</v>
      </c>
      <c r="V72" t="n">
        <v>38.756383</v>
      </c>
      <c r="W72" t="n">
        <v>82.655303</v>
      </c>
      <c r="X72" t="n">
        <v>113.898256</v>
      </c>
    </row>
    <row r="73">
      <c r="A73" t="inlineStr">
        <is>
          <t>Ostrea edulis</t>
        </is>
      </c>
      <c r="B73" t="n">
        <v>2</v>
      </c>
      <c r="C73" t="n">
        <v>10</v>
      </c>
      <c r="D73" t="inlineStr">
        <is>
          <t>Epifauna</t>
        </is>
      </c>
      <c r="E73" t="n">
        <v>327.790917</v>
      </c>
      <c r="F73" t="n">
        <v>28.994229</v>
      </c>
      <c r="G73" t="n">
        <v>12.834993</v>
      </c>
      <c r="H73" t="n">
        <v>17.954978</v>
      </c>
      <c r="I73" t="n">
        <v>11.374014</v>
      </c>
      <c r="J73" t="n">
        <v>11.374014</v>
      </c>
      <c r="K73" t="n">
        <v>10.009132</v>
      </c>
      <c r="L73" t="n">
        <v>10.950321</v>
      </c>
      <c r="M73" t="n">
        <v>10.950321</v>
      </c>
      <c r="N73" t="n">
        <v>10.950321</v>
      </c>
      <c r="O73" t="n">
        <v>10.041084</v>
      </c>
      <c r="P73" t="n">
        <v>6.846302</v>
      </c>
      <c r="Q73" t="n">
        <v>10.950321</v>
      </c>
      <c r="R73" t="n">
        <v>10.950321</v>
      </c>
      <c r="S73" t="n">
        <v>10.041084</v>
      </c>
      <c r="T73" t="n">
        <v>10.041084</v>
      </c>
      <c r="U73" t="n">
        <v>6.846302</v>
      </c>
      <c r="V73" t="n">
        <v>6.846302</v>
      </c>
      <c r="W73" t="n">
        <v>9.947857000000001</v>
      </c>
      <c r="X73" t="n">
        <v>10.794705</v>
      </c>
    </row>
    <row r="74">
      <c r="A74" t="inlineStr">
        <is>
          <t>Argentina</t>
        </is>
      </c>
      <c r="B74" t="n">
        <v>3.35</v>
      </c>
      <c r="C74" t="n">
        <v>223.872114</v>
      </c>
      <c r="D74" t="inlineStr">
        <is>
          <t>Small pelagics</t>
        </is>
      </c>
      <c r="E74" t="n">
        <v>327.790917</v>
      </c>
      <c r="F74" t="n">
        <v>148.024912</v>
      </c>
      <c r="G74" t="n">
        <v>44.163101</v>
      </c>
      <c r="H74" t="n">
        <v>58.893278</v>
      </c>
      <c r="I74" t="n">
        <v>29.57747</v>
      </c>
      <c r="J74" t="n">
        <v>29.708263</v>
      </c>
      <c r="K74" t="n">
        <v>26.143271</v>
      </c>
      <c r="L74" t="n">
        <v>37.444032</v>
      </c>
      <c r="M74" t="n">
        <v>37.444032</v>
      </c>
      <c r="N74" t="n">
        <v>37.444032</v>
      </c>
      <c r="O74" t="n">
        <v>26.825837</v>
      </c>
      <c r="P74" t="n">
        <v>12.629082</v>
      </c>
      <c r="Q74" t="n">
        <v>37.444032</v>
      </c>
      <c r="R74" t="n">
        <v>37.444032</v>
      </c>
      <c r="S74" t="n">
        <v>26.825837</v>
      </c>
      <c r="T74" t="n">
        <v>26.825837</v>
      </c>
      <c r="U74" t="n">
        <v>12.629082</v>
      </c>
      <c r="V74" t="n">
        <v>12.629082</v>
      </c>
      <c r="W74" t="n">
        <v>26.643813</v>
      </c>
      <c r="X74" t="n">
        <v>39.607714</v>
      </c>
    </row>
    <row r="75">
      <c r="A75" t="inlineStr">
        <is>
          <t>Pleuronectiformes</t>
        </is>
      </c>
      <c r="B75" t="n">
        <v>3.57</v>
      </c>
      <c r="C75" t="n">
        <v>371.535229</v>
      </c>
      <c r="D75" t="inlineStr">
        <is>
          <t>Flatfishes | Turbot</t>
        </is>
      </c>
      <c r="E75" t="n">
        <v>327.790917</v>
      </c>
      <c r="F75" t="n">
        <v>223.818437</v>
      </c>
      <c r="G75" t="n">
        <v>60.404072</v>
      </c>
      <c r="H75" t="n">
        <v>124.433368</v>
      </c>
      <c r="I75" t="n">
        <v>99.439289</v>
      </c>
      <c r="J75" t="n">
        <v>101.733951</v>
      </c>
      <c r="K75" t="n">
        <v>92.38477</v>
      </c>
      <c r="L75" t="n">
        <v>114.747616</v>
      </c>
      <c r="M75" t="n">
        <v>114.747616</v>
      </c>
      <c r="N75" t="n">
        <v>114.747616</v>
      </c>
      <c r="O75" t="n">
        <v>82.519042</v>
      </c>
      <c r="P75" t="n">
        <v>38.798464</v>
      </c>
      <c r="Q75" t="n">
        <v>114.747616</v>
      </c>
      <c r="R75" t="n">
        <v>114.747616</v>
      </c>
      <c r="S75" t="n">
        <v>82.519042</v>
      </c>
      <c r="T75" t="n">
        <v>82.519042</v>
      </c>
      <c r="U75" t="n">
        <v>38.798464</v>
      </c>
      <c r="V75" t="n">
        <v>38.798464</v>
      </c>
      <c r="W75" t="n">
        <v>82.84733199999999</v>
      </c>
      <c r="X75" t="n">
        <v>114.562705</v>
      </c>
    </row>
    <row r="76">
      <c r="A76" t="inlineStr">
        <is>
          <t>Anarhichas lupus</t>
        </is>
      </c>
      <c r="B76" t="n">
        <v>3.55</v>
      </c>
      <c r="C76" t="n">
        <v>354.813389</v>
      </c>
      <c r="D76" t="inlineStr">
        <is>
          <t>Large Dem. fish</t>
        </is>
      </c>
      <c r="E76" t="n">
        <v>327.790917</v>
      </c>
      <c r="F76" t="n">
        <v>665.972772</v>
      </c>
      <c r="G76" t="n">
        <v>138.073221</v>
      </c>
      <c r="H76" t="n">
        <v>328.210407</v>
      </c>
      <c r="I76" t="n">
        <v>321.185641</v>
      </c>
      <c r="J76" t="n">
        <v>337.306601</v>
      </c>
      <c r="K76" t="n">
        <v>317.068205</v>
      </c>
      <c r="L76" t="n">
        <v>461.958282</v>
      </c>
      <c r="M76" t="n">
        <v>461.958282</v>
      </c>
      <c r="N76" t="n">
        <v>461.958282</v>
      </c>
      <c r="O76" t="n">
        <v>304.533157</v>
      </c>
      <c r="P76" t="n">
        <v>108.42706</v>
      </c>
      <c r="Q76" t="n">
        <v>461.958282</v>
      </c>
      <c r="R76" t="n">
        <v>461.958282</v>
      </c>
      <c r="S76" t="n">
        <v>304.533157</v>
      </c>
      <c r="T76" t="n">
        <v>304.533157</v>
      </c>
      <c r="U76" t="n">
        <v>108.42706</v>
      </c>
      <c r="V76" t="n">
        <v>108.42706</v>
      </c>
      <c r="W76" t="n">
        <v>306.991308</v>
      </c>
      <c r="X76" t="n">
        <v>468.161038</v>
      </c>
    </row>
    <row r="77">
      <c r="A77" t="inlineStr">
        <is>
          <t>Merlucciidae</t>
        </is>
      </c>
      <c r="B77" t="n">
        <v>4.35</v>
      </c>
      <c r="C77" t="n">
        <v>2238.721139</v>
      </c>
      <c r="D77" t="inlineStr">
        <is>
          <t>Hake</t>
        </is>
      </c>
      <c r="E77" t="n">
        <v>327.790917</v>
      </c>
      <c r="F77" t="n">
        <v>3460.403727</v>
      </c>
      <c r="G77" t="n">
        <v>481.470476</v>
      </c>
      <c r="H77" t="n">
        <v>916.217923</v>
      </c>
      <c r="I77" t="n">
        <v>505.277782</v>
      </c>
      <c r="J77" t="n">
        <v>553.81095</v>
      </c>
      <c r="K77" t="n">
        <v>509.506074</v>
      </c>
      <c r="L77" t="n">
        <v>696.576775</v>
      </c>
      <c r="M77" t="n">
        <v>696.576775</v>
      </c>
      <c r="N77" t="n">
        <v>696.576775</v>
      </c>
      <c r="O77" t="n">
        <v>427.075473</v>
      </c>
      <c r="P77" t="n">
        <v>136.464814</v>
      </c>
      <c r="Q77" t="n">
        <v>696.576775</v>
      </c>
      <c r="R77" t="n">
        <v>696.576775</v>
      </c>
      <c r="S77" t="n">
        <v>427.075473</v>
      </c>
      <c r="T77" t="n">
        <v>427.075473</v>
      </c>
      <c r="U77" t="n">
        <v>136.464814</v>
      </c>
      <c r="V77" t="n">
        <v>136.464814</v>
      </c>
      <c r="W77" t="n">
        <v>429.835101</v>
      </c>
      <c r="X77" t="n">
        <v>722.871201</v>
      </c>
    </row>
    <row r="78">
      <c r="A78" t="inlineStr">
        <is>
          <t>Clupeidae</t>
        </is>
      </c>
      <c r="B78" t="n">
        <v>3.16</v>
      </c>
      <c r="C78" t="n">
        <v>144.543977</v>
      </c>
      <c r="D78" t="inlineStr">
        <is>
          <t>Herring | Small pelagics</t>
        </is>
      </c>
      <c r="E78" t="n">
        <v>327.790917</v>
      </c>
      <c r="F78" t="n">
        <v>186.736249</v>
      </c>
      <c r="G78" t="n">
        <v>52.535339</v>
      </c>
      <c r="H78" t="n">
        <v>74.14608800000001</v>
      </c>
      <c r="I78" t="n">
        <v>36.101934</v>
      </c>
      <c r="J78" t="n">
        <v>36.167334</v>
      </c>
      <c r="K78" t="n">
        <v>32.326352</v>
      </c>
      <c r="L78" t="n">
        <v>46.762497</v>
      </c>
      <c r="M78" t="n">
        <v>46.762497</v>
      </c>
      <c r="N78" t="n">
        <v>46.762497</v>
      </c>
      <c r="O78" t="n">
        <v>33.099579</v>
      </c>
      <c r="P78" t="n">
        <v>14.938245</v>
      </c>
      <c r="Q78" t="n">
        <v>46.762497</v>
      </c>
      <c r="R78" t="n">
        <v>46.762497</v>
      </c>
      <c r="S78" t="n">
        <v>33.099579</v>
      </c>
      <c r="T78" t="n">
        <v>33.099579</v>
      </c>
      <c r="U78" t="n">
        <v>14.938245</v>
      </c>
      <c r="V78" t="n">
        <v>14.938245</v>
      </c>
      <c r="W78" t="n">
        <v>33.746209</v>
      </c>
      <c r="X78" t="n">
        <v>49.739782</v>
      </c>
    </row>
    <row r="79">
      <c r="A79" t="inlineStr">
        <is>
          <t>Molva</t>
        </is>
      </c>
      <c r="B79" t="n">
        <v>4.19</v>
      </c>
      <c r="C79" t="n">
        <v>1548.816619</v>
      </c>
      <c r="D79" t="inlineStr">
        <is>
          <t>Ling</t>
        </is>
      </c>
      <c r="E79" t="n">
        <v>327.790917</v>
      </c>
      <c r="F79" t="n">
        <v>1898.245398</v>
      </c>
      <c r="G79" t="n">
        <v>305.428226</v>
      </c>
      <c r="H79" t="n">
        <v>911.558009</v>
      </c>
      <c r="I79" t="n">
        <v>376.10347</v>
      </c>
      <c r="J79" t="n">
        <v>391.847098</v>
      </c>
      <c r="K79" t="n">
        <v>368.336273</v>
      </c>
      <c r="L79" t="n">
        <v>491.495581</v>
      </c>
      <c r="M79" t="n">
        <v>491.495581</v>
      </c>
      <c r="N79" t="n">
        <v>491.495581</v>
      </c>
      <c r="O79" t="n">
        <v>302.549286</v>
      </c>
      <c r="P79" t="n">
        <v>96.52297900000001</v>
      </c>
      <c r="Q79" t="n">
        <v>491.495581</v>
      </c>
      <c r="R79" t="n">
        <v>491.495581</v>
      </c>
      <c r="S79" t="n">
        <v>302.549286</v>
      </c>
      <c r="T79" t="n">
        <v>302.549286</v>
      </c>
      <c r="U79" t="n">
        <v>96.52297900000001</v>
      </c>
      <c r="V79" t="n">
        <v>96.52297900000001</v>
      </c>
      <c r="W79" t="n">
        <v>307.895008</v>
      </c>
      <c r="X79" t="n">
        <v>544.500349</v>
      </c>
    </row>
    <row r="80">
      <c r="A80" t="inlineStr">
        <is>
          <t>Cetorhinus maximus</t>
        </is>
      </c>
      <c r="D80" t="inlineStr">
        <is>
          <t>Sharks &amp; rays</t>
        </is>
      </c>
      <c r="E80" t="n">
        <v>327.790917</v>
      </c>
      <c r="F80" t="n">
        <v>522.28227</v>
      </c>
      <c r="G80" t="n">
        <v>114.842938</v>
      </c>
      <c r="H80" t="n">
        <v>326.928715</v>
      </c>
      <c r="I80" t="n">
        <v>732.255138</v>
      </c>
      <c r="J80" t="n">
        <v>761.48662</v>
      </c>
      <c r="K80" t="n">
        <v>327.439247</v>
      </c>
      <c r="L80" t="n">
        <v>1275.246638</v>
      </c>
      <c r="M80" t="n">
        <v>1275.246638</v>
      </c>
      <c r="N80" t="n">
        <v>1275.246638</v>
      </c>
      <c r="O80" t="n">
        <v>317.659957</v>
      </c>
      <c r="P80" t="n">
        <v>115.247551</v>
      </c>
      <c r="Q80" t="n">
        <v>1275.246638</v>
      </c>
      <c r="R80" t="n">
        <v>1275.246638</v>
      </c>
      <c r="S80" t="n">
        <v>317.659957</v>
      </c>
      <c r="T80" t="n">
        <v>317.659957</v>
      </c>
      <c r="U80" t="n">
        <v>115.247551</v>
      </c>
      <c r="V80" t="n">
        <v>115.247551</v>
      </c>
      <c r="W80" t="n">
        <v>327.701462</v>
      </c>
      <c r="X80" t="n">
        <v>1310.378519</v>
      </c>
    </row>
    <row r="81">
      <c r="A81" t="inlineStr">
        <is>
          <t>Trachinus draco</t>
        </is>
      </c>
      <c r="B81" t="n">
        <v>4.18</v>
      </c>
      <c r="C81" t="n">
        <v>1513.561248</v>
      </c>
      <c r="D81" t="inlineStr">
        <is>
          <t>Large Dem. fish</t>
        </is>
      </c>
      <c r="E81" t="n">
        <v>327.790917</v>
      </c>
      <c r="F81" t="n">
        <v>665.972772</v>
      </c>
      <c r="G81" t="n">
        <v>138.073221</v>
      </c>
      <c r="H81" t="n">
        <v>328.210407</v>
      </c>
      <c r="I81" t="n">
        <v>321.185641</v>
      </c>
      <c r="J81" t="n">
        <v>337.306601</v>
      </c>
      <c r="K81" t="n">
        <v>317.068205</v>
      </c>
      <c r="L81" t="n">
        <v>461.958282</v>
      </c>
      <c r="M81" t="n">
        <v>461.958282</v>
      </c>
      <c r="N81" t="n">
        <v>461.958282</v>
      </c>
      <c r="O81" t="n">
        <v>304.533157</v>
      </c>
      <c r="P81" t="n">
        <v>108.42706</v>
      </c>
      <c r="Q81" t="n">
        <v>461.958282</v>
      </c>
      <c r="R81" t="n">
        <v>461.958282</v>
      </c>
      <c r="S81" t="n">
        <v>304.533157</v>
      </c>
      <c r="T81" t="n">
        <v>304.533157</v>
      </c>
      <c r="U81" t="n">
        <v>108.42706</v>
      </c>
      <c r="V81" t="n">
        <v>108.42706</v>
      </c>
      <c r="W81" t="n">
        <v>306.991308</v>
      </c>
      <c r="X81" t="n">
        <v>468.161038</v>
      </c>
    </row>
    <row r="82">
      <c r="A82" t="inlineStr">
        <is>
          <t>Belone belone</t>
        </is>
      </c>
      <c r="B82" t="n">
        <v>4.16</v>
      </c>
      <c r="C82" t="n">
        <v>1445.439771</v>
      </c>
      <c r="D82" t="inlineStr">
        <is>
          <t>Large Pelagics</t>
        </is>
      </c>
      <c r="E82" t="n">
        <v>327.790917</v>
      </c>
      <c r="F82" t="n">
        <v>409.325031</v>
      </c>
      <c r="G82" t="n">
        <v>95.473426</v>
      </c>
      <c r="H82" t="n">
        <v>171.971164</v>
      </c>
      <c r="I82" t="n">
        <v>151.710468</v>
      </c>
      <c r="J82" t="n">
        <v>166.941311</v>
      </c>
      <c r="K82" t="n">
        <v>150.24718</v>
      </c>
      <c r="L82" t="n">
        <v>208.675232</v>
      </c>
      <c r="M82" t="n">
        <v>208.675232</v>
      </c>
      <c r="N82" t="n">
        <v>208.675232</v>
      </c>
      <c r="O82" t="n">
        <v>139.225251</v>
      </c>
      <c r="P82" t="n">
        <v>55.587338</v>
      </c>
      <c r="Q82" t="n">
        <v>208.675232</v>
      </c>
      <c r="R82" t="n">
        <v>208.675232</v>
      </c>
      <c r="S82" t="n">
        <v>139.225251</v>
      </c>
      <c r="T82" t="n">
        <v>139.225251</v>
      </c>
      <c r="U82" t="n">
        <v>55.587338</v>
      </c>
      <c r="V82" t="n">
        <v>55.587338</v>
      </c>
      <c r="W82" t="n">
        <v>138.889014</v>
      </c>
      <c r="X82" t="n">
        <v>209.882396</v>
      </c>
    </row>
    <row r="83">
      <c r="A83" t="inlineStr">
        <is>
          <t>Lamna nasus</t>
        </is>
      </c>
      <c r="B83" t="n">
        <v>4.57</v>
      </c>
      <c r="C83" t="n">
        <v>3715.352291</v>
      </c>
      <c r="D83" t="inlineStr">
        <is>
          <t>Sharks &amp; rays</t>
        </is>
      </c>
      <c r="E83" t="n">
        <v>327.790917</v>
      </c>
      <c r="F83" t="n">
        <v>522.28227</v>
      </c>
      <c r="G83" t="n">
        <v>114.842938</v>
      </c>
      <c r="H83" t="n">
        <v>326.928715</v>
      </c>
      <c r="I83" t="n">
        <v>732.255138</v>
      </c>
      <c r="J83" t="n">
        <v>761.48662</v>
      </c>
      <c r="K83" t="n">
        <v>327.439247</v>
      </c>
      <c r="L83" t="n">
        <v>1275.246638</v>
      </c>
      <c r="M83" t="n">
        <v>1275.246638</v>
      </c>
      <c r="N83" t="n">
        <v>1275.246638</v>
      </c>
      <c r="O83" t="n">
        <v>317.659957</v>
      </c>
      <c r="P83" t="n">
        <v>115.247551</v>
      </c>
      <c r="Q83" t="n">
        <v>1275.246638</v>
      </c>
      <c r="R83" t="n">
        <v>1275.246638</v>
      </c>
      <c r="S83" t="n">
        <v>317.659957</v>
      </c>
      <c r="T83" t="n">
        <v>317.659957</v>
      </c>
      <c r="U83" t="n">
        <v>115.247551</v>
      </c>
      <c r="V83" t="n">
        <v>115.247551</v>
      </c>
      <c r="W83" t="n">
        <v>327.701462</v>
      </c>
      <c r="X83" t="n">
        <v>1310.378519</v>
      </c>
    </row>
    <row r="84">
      <c r="A84" t="inlineStr">
        <is>
          <t>Crangonidae</t>
        </is>
      </c>
      <c r="B84" t="n">
        <v>3.19</v>
      </c>
      <c r="C84" t="n">
        <v>154.881662</v>
      </c>
      <c r="D84" t="inlineStr">
        <is>
          <t>Crustacea</t>
        </is>
      </c>
      <c r="E84" t="n">
        <v>327.790917</v>
      </c>
      <c r="F84" t="n">
        <v>79.403785</v>
      </c>
      <c r="G84" t="n">
        <v>27.544327</v>
      </c>
      <c r="H84" t="n">
        <v>45.837748</v>
      </c>
      <c r="I84" t="n">
        <v>38.918317</v>
      </c>
      <c r="J84" t="n">
        <v>38.964516</v>
      </c>
      <c r="K84" t="n">
        <v>31.561258</v>
      </c>
      <c r="L84" t="n">
        <v>47.671907</v>
      </c>
      <c r="M84" t="n">
        <v>47.671907</v>
      </c>
      <c r="N84" t="n">
        <v>47.671907</v>
      </c>
      <c r="O84" t="n">
        <v>34.575524</v>
      </c>
      <c r="P84" t="n">
        <v>19.020842</v>
      </c>
      <c r="Q84" t="n">
        <v>47.671907</v>
      </c>
      <c r="R84" t="n">
        <v>47.671907</v>
      </c>
      <c r="S84" t="n">
        <v>34.575524</v>
      </c>
      <c r="T84" t="n">
        <v>34.575524</v>
      </c>
      <c r="U84" t="n">
        <v>19.020842</v>
      </c>
      <c r="V84" t="n">
        <v>19.020842</v>
      </c>
      <c r="W84" t="n">
        <v>34.954015</v>
      </c>
      <c r="X84" t="n">
        <v>47.765312</v>
      </c>
    </row>
    <row r="85">
      <c r="A85" t="inlineStr">
        <is>
          <t>Soleidae</t>
        </is>
      </c>
      <c r="B85" t="n">
        <v>3.15</v>
      </c>
      <c r="C85" t="n">
        <v>141.253754</v>
      </c>
      <c r="D85" t="inlineStr">
        <is>
          <t>Flatfishes</t>
        </is>
      </c>
      <c r="E85" t="n">
        <v>327.790917</v>
      </c>
      <c r="F85" t="n">
        <v>222.264878</v>
      </c>
      <c r="G85" t="n">
        <v>60.099306</v>
      </c>
      <c r="H85" t="n">
        <v>123.58001</v>
      </c>
      <c r="I85" t="n">
        <v>98.981683</v>
      </c>
      <c r="J85" t="n">
        <v>101.310188</v>
      </c>
      <c r="K85" t="n">
        <v>92.19227100000001</v>
      </c>
      <c r="L85" t="n">
        <v>114.167454</v>
      </c>
      <c r="M85" t="n">
        <v>114.167454</v>
      </c>
      <c r="N85" t="n">
        <v>114.167454</v>
      </c>
      <c r="O85" t="n">
        <v>82.349557</v>
      </c>
      <c r="P85" t="n">
        <v>38.756383</v>
      </c>
      <c r="Q85" t="n">
        <v>114.167454</v>
      </c>
      <c r="R85" t="n">
        <v>114.167454</v>
      </c>
      <c r="S85" t="n">
        <v>82.349557</v>
      </c>
      <c r="T85" t="n">
        <v>82.349557</v>
      </c>
      <c r="U85" t="n">
        <v>38.756383</v>
      </c>
      <c r="V85" t="n">
        <v>38.756383</v>
      </c>
      <c r="W85" t="n">
        <v>82.655303</v>
      </c>
      <c r="X85" t="n">
        <v>113.898256</v>
      </c>
    </row>
    <row r="86">
      <c r="A86" t="inlineStr">
        <is>
          <t>Sebastidae</t>
        </is>
      </c>
      <c r="B86" t="n">
        <v>3.74</v>
      </c>
      <c r="C86" t="n">
        <v>549.540874</v>
      </c>
      <c r="D86" t="inlineStr">
        <is>
          <t>Large Dem. fish</t>
        </is>
      </c>
      <c r="E86" t="n">
        <v>327.790917</v>
      </c>
      <c r="F86" t="n">
        <v>665.972772</v>
      </c>
      <c r="G86" t="n">
        <v>138.073221</v>
      </c>
      <c r="H86" t="n">
        <v>328.210407</v>
      </c>
      <c r="I86" t="n">
        <v>321.185641</v>
      </c>
      <c r="J86" t="n">
        <v>337.306601</v>
      </c>
      <c r="K86" t="n">
        <v>317.068205</v>
      </c>
      <c r="L86" t="n">
        <v>461.958282</v>
      </c>
      <c r="M86" t="n">
        <v>461.958282</v>
      </c>
      <c r="N86" t="n">
        <v>461.958282</v>
      </c>
      <c r="O86" t="n">
        <v>304.533157</v>
      </c>
      <c r="P86" t="n">
        <v>108.42706</v>
      </c>
      <c r="Q86" t="n">
        <v>461.958282</v>
      </c>
      <c r="R86" t="n">
        <v>461.958282</v>
      </c>
      <c r="S86" t="n">
        <v>304.533157</v>
      </c>
      <c r="T86" t="n">
        <v>304.533157</v>
      </c>
      <c r="U86" t="n">
        <v>108.42706</v>
      </c>
      <c r="V86" t="n">
        <v>108.42706</v>
      </c>
      <c r="W86" t="n">
        <v>306.991308</v>
      </c>
      <c r="X86" t="n">
        <v>468.161038</v>
      </c>
    </row>
    <row r="87">
      <c r="A87" t="inlineStr">
        <is>
          <t>Loliginidae</t>
        </is>
      </c>
      <c r="B87" t="n">
        <v>3.9</v>
      </c>
      <c r="C87" t="n">
        <v>794.3282349999999</v>
      </c>
      <c r="D87" t="inlineStr">
        <is>
          <t>Squid &amp; Octopus</t>
        </is>
      </c>
      <c r="E87" t="n">
        <v>327.790917</v>
      </c>
      <c r="F87" t="n">
        <v>160.967585</v>
      </c>
      <c r="G87" t="n">
        <v>47.060072</v>
      </c>
      <c r="H87" t="n">
        <v>88.258037</v>
      </c>
      <c r="I87" t="n">
        <v>77.00034599999999</v>
      </c>
      <c r="J87" t="n">
        <v>77.34926</v>
      </c>
      <c r="K87" t="n">
        <v>73.481797</v>
      </c>
      <c r="L87" t="n">
        <v>94.097724</v>
      </c>
      <c r="M87" t="n">
        <v>94.097724</v>
      </c>
      <c r="N87" t="n">
        <v>94.097724</v>
      </c>
      <c r="O87" t="n">
        <v>70.413555</v>
      </c>
      <c r="P87" t="n">
        <v>31.50612</v>
      </c>
      <c r="Q87" t="n">
        <v>94.097724</v>
      </c>
      <c r="R87" t="n">
        <v>94.097724</v>
      </c>
      <c r="S87" t="n">
        <v>70.413555</v>
      </c>
      <c r="T87" t="n">
        <v>70.413555</v>
      </c>
      <c r="U87" t="n">
        <v>31.50612</v>
      </c>
      <c r="V87" t="n">
        <v>31.50612</v>
      </c>
      <c r="W87" t="n">
        <v>71.270959</v>
      </c>
      <c r="X87" t="n">
        <v>97.60397</v>
      </c>
    </row>
    <row r="88">
      <c r="A88" t="inlineStr">
        <is>
          <t>Carangidae</t>
        </is>
      </c>
      <c r="B88" t="n">
        <v>4.05</v>
      </c>
      <c r="C88" t="n">
        <v>1122.018454</v>
      </c>
      <c r="D88" t="inlineStr">
        <is>
          <t>Large Pelagics</t>
        </is>
      </c>
      <c r="E88" t="n">
        <v>327.790917</v>
      </c>
      <c r="F88" t="n">
        <v>409.325031</v>
      </c>
      <c r="G88" t="n">
        <v>95.473426</v>
      </c>
      <c r="H88" t="n">
        <v>171.971164</v>
      </c>
      <c r="I88" t="n">
        <v>151.710468</v>
      </c>
      <c r="J88" t="n">
        <v>166.941311</v>
      </c>
      <c r="K88" t="n">
        <v>150.24718</v>
      </c>
      <c r="L88" t="n">
        <v>208.675232</v>
      </c>
      <c r="M88" t="n">
        <v>208.675232</v>
      </c>
      <c r="N88" t="n">
        <v>208.675232</v>
      </c>
      <c r="O88" t="n">
        <v>139.225251</v>
      </c>
      <c r="P88" t="n">
        <v>55.587338</v>
      </c>
      <c r="Q88" t="n">
        <v>208.675232</v>
      </c>
      <c r="R88" t="n">
        <v>208.675232</v>
      </c>
      <c r="S88" t="n">
        <v>139.225251</v>
      </c>
      <c r="T88" t="n">
        <v>139.225251</v>
      </c>
      <c r="U88" t="n">
        <v>55.587338</v>
      </c>
      <c r="V88" t="n">
        <v>55.587338</v>
      </c>
      <c r="W88" t="n">
        <v>138.889014</v>
      </c>
      <c r="X88" t="n">
        <v>209.882396</v>
      </c>
    </row>
    <row r="89">
      <c r="A89" t="inlineStr">
        <is>
          <t>Lophius</t>
        </is>
      </c>
      <c r="B89" t="n">
        <v>4.46</v>
      </c>
      <c r="C89" t="n">
        <v>2884.031503</v>
      </c>
      <c r="D89" t="inlineStr">
        <is>
          <t>Monkfish</t>
        </is>
      </c>
      <c r="E89" t="n">
        <v>327.790917</v>
      </c>
      <c r="F89" t="n">
        <v>3156.036008</v>
      </c>
      <c r="G89" t="n">
        <v>449.016361</v>
      </c>
      <c r="H89" t="n">
        <v>891.8267070000001</v>
      </c>
      <c r="I89" t="n">
        <v>565.367315</v>
      </c>
      <c r="J89" t="n">
        <v>600.432108</v>
      </c>
      <c r="K89" t="n">
        <v>558.4018600000001</v>
      </c>
      <c r="L89" t="n">
        <v>755.080363</v>
      </c>
      <c r="M89" t="n">
        <v>755.080363</v>
      </c>
      <c r="N89" t="n">
        <v>755.080363</v>
      </c>
      <c r="O89" t="n">
        <v>449.38351</v>
      </c>
      <c r="P89" t="n">
        <v>146.238125</v>
      </c>
      <c r="Q89" t="n">
        <v>755.080363</v>
      </c>
      <c r="R89" t="n">
        <v>755.080363</v>
      </c>
      <c r="S89" t="n">
        <v>449.38351</v>
      </c>
      <c r="T89" t="n">
        <v>449.38351</v>
      </c>
      <c r="U89" t="n">
        <v>146.238125</v>
      </c>
      <c r="V89" t="n">
        <v>146.238125</v>
      </c>
      <c r="W89" t="n">
        <v>459.784631</v>
      </c>
      <c r="X89" t="n">
        <v>760.218023</v>
      </c>
    </row>
    <row r="90">
      <c r="A90" t="inlineStr">
        <is>
          <t>Brachyura</t>
        </is>
      </c>
      <c r="B90" t="n">
        <v>2.6</v>
      </c>
      <c r="C90" t="n">
        <v>39.810717</v>
      </c>
      <c r="D90" t="inlineStr">
        <is>
          <t>Crustacea</t>
        </is>
      </c>
      <c r="E90" t="n">
        <v>327.790917</v>
      </c>
      <c r="F90" t="n">
        <v>79.403785</v>
      </c>
      <c r="G90" t="n">
        <v>27.544327</v>
      </c>
      <c r="H90" t="n">
        <v>45.837748</v>
      </c>
      <c r="I90" t="n">
        <v>38.918317</v>
      </c>
      <c r="J90" t="n">
        <v>38.964516</v>
      </c>
      <c r="K90" t="n">
        <v>31.561258</v>
      </c>
      <c r="L90" t="n">
        <v>47.671907</v>
      </c>
      <c r="M90" t="n">
        <v>47.671907</v>
      </c>
      <c r="N90" t="n">
        <v>47.671907</v>
      </c>
      <c r="O90" t="n">
        <v>34.575524</v>
      </c>
      <c r="P90" t="n">
        <v>19.020842</v>
      </c>
      <c r="Q90" t="n">
        <v>47.671907</v>
      </c>
      <c r="R90" t="n">
        <v>47.671907</v>
      </c>
      <c r="S90" t="n">
        <v>34.575524</v>
      </c>
      <c r="T90" t="n">
        <v>34.575524</v>
      </c>
      <c r="U90" t="n">
        <v>19.020842</v>
      </c>
      <c r="V90" t="n">
        <v>19.020842</v>
      </c>
      <c r="W90" t="n">
        <v>34.954015</v>
      </c>
      <c r="X90" t="n">
        <v>47.765312</v>
      </c>
    </row>
    <row r="91">
      <c r="A91" t="inlineStr">
        <is>
          <t>Hippoglossoides platessoides</t>
        </is>
      </c>
      <c r="B91" t="n">
        <v>4.08</v>
      </c>
      <c r="C91" t="n">
        <v>1202.264435</v>
      </c>
      <c r="D91" t="inlineStr">
        <is>
          <t>Flatfishes</t>
        </is>
      </c>
      <c r="E91" t="n">
        <v>327.790917</v>
      </c>
      <c r="F91" t="n">
        <v>222.264878</v>
      </c>
      <c r="G91" t="n">
        <v>60.099306</v>
      </c>
      <c r="H91" t="n">
        <v>123.58001</v>
      </c>
      <c r="I91" t="n">
        <v>98.981683</v>
      </c>
      <c r="J91" t="n">
        <v>101.310188</v>
      </c>
      <c r="K91" t="n">
        <v>92.19227100000001</v>
      </c>
      <c r="L91" t="n">
        <v>114.167454</v>
      </c>
      <c r="M91" t="n">
        <v>114.167454</v>
      </c>
      <c r="N91" t="n">
        <v>114.167454</v>
      </c>
      <c r="O91" t="n">
        <v>82.349557</v>
      </c>
      <c r="P91" t="n">
        <v>38.756383</v>
      </c>
      <c r="Q91" t="n">
        <v>114.167454</v>
      </c>
      <c r="R91" t="n">
        <v>114.167454</v>
      </c>
      <c r="S91" t="n">
        <v>82.349557</v>
      </c>
      <c r="T91" t="n">
        <v>82.349557</v>
      </c>
      <c r="U91" t="n">
        <v>38.756383</v>
      </c>
      <c r="V91" t="n">
        <v>38.756383</v>
      </c>
      <c r="W91" t="n">
        <v>82.655303</v>
      </c>
      <c r="X91" t="n">
        <v>113.898256</v>
      </c>
    </row>
    <row r="92">
      <c r="A92" t="inlineStr">
        <is>
          <t>Ensis siliqua</t>
        </is>
      </c>
      <c r="B92" t="n">
        <v>2</v>
      </c>
      <c r="C92" t="n">
        <v>10</v>
      </c>
      <c r="D92" t="inlineStr">
        <is>
          <t>Infauna</t>
        </is>
      </c>
      <c r="E92" t="n">
        <v>327.790917</v>
      </c>
      <c r="F92" t="n">
        <v>10</v>
      </c>
      <c r="G92" t="n">
        <v>5.727631</v>
      </c>
      <c r="H92" t="n">
        <v>5.721903</v>
      </c>
      <c r="I92" t="n">
        <v>4.44</v>
      </c>
      <c r="J92" t="n">
        <v>4.44</v>
      </c>
      <c r="K92" t="n">
        <v>3.996</v>
      </c>
      <c r="L92" t="n">
        <v>3.864936</v>
      </c>
      <c r="M92" t="n">
        <v>3.864936</v>
      </c>
      <c r="N92" t="n">
        <v>3.864936</v>
      </c>
      <c r="O92" t="n">
        <v>4.247203</v>
      </c>
      <c r="P92" t="n">
        <v>3.679841</v>
      </c>
      <c r="Q92" t="n">
        <v>3.864936</v>
      </c>
      <c r="R92" t="n">
        <v>3.864936</v>
      </c>
      <c r="S92" t="n">
        <v>4.247203</v>
      </c>
      <c r="T92" t="n">
        <v>4.247203</v>
      </c>
      <c r="U92" t="n">
        <v>3.679841</v>
      </c>
      <c r="V92" t="n">
        <v>3.679841</v>
      </c>
      <c r="W92" t="n">
        <v>4.187569</v>
      </c>
      <c r="X92" t="n">
        <v>3.928919</v>
      </c>
    </row>
    <row r="93">
      <c r="A93" t="inlineStr">
        <is>
          <t>Scophthalmidae</t>
        </is>
      </c>
      <c r="B93" t="n">
        <v>3.71</v>
      </c>
      <c r="C93" t="n">
        <v>512.861384</v>
      </c>
      <c r="D93" t="inlineStr">
        <is>
          <t>Flatfishes | Turbot</t>
        </is>
      </c>
      <c r="E93" t="n">
        <v>327.790917</v>
      </c>
      <c r="F93" t="n">
        <v>223.818437</v>
      </c>
      <c r="G93" t="n">
        <v>60.404072</v>
      </c>
      <c r="H93" t="n">
        <v>124.433368</v>
      </c>
      <c r="I93" t="n">
        <v>99.439289</v>
      </c>
      <c r="J93" t="n">
        <v>101.733951</v>
      </c>
      <c r="K93" t="n">
        <v>92.38477</v>
      </c>
      <c r="L93" t="n">
        <v>114.747616</v>
      </c>
      <c r="M93" t="n">
        <v>114.747616</v>
      </c>
      <c r="N93" t="n">
        <v>114.747616</v>
      </c>
      <c r="O93" t="n">
        <v>82.519042</v>
      </c>
      <c r="P93" t="n">
        <v>38.798464</v>
      </c>
      <c r="Q93" t="n">
        <v>114.747616</v>
      </c>
      <c r="R93" t="n">
        <v>114.747616</v>
      </c>
      <c r="S93" t="n">
        <v>82.519042</v>
      </c>
      <c r="T93" t="n">
        <v>82.519042</v>
      </c>
      <c r="U93" t="n">
        <v>38.798464</v>
      </c>
      <c r="V93" t="n">
        <v>38.798464</v>
      </c>
      <c r="W93" t="n">
        <v>82.84733199999999</v>
      </c>
      <c r="X93" t="n">
        <v>114.562705</v>
      </c>
    </row>
    <row r="94">
      <c r="A94" t="inlineStr">
        <is>
          <t>Reinhardtius hippoglossoides</t>
        </is>
      </c>
      <c r="B94" t="n">
        <v>4.38</v>
      </c>
      <c r="C94" t="n">
        <v>2398.832919</v>
      </c>
      <c r="D94" t="inlineStr">
        <is>
          <t>Flatfishes</t>
        </is>
      </c>
      <c r="E94" t="n">
        <v>327.790917</v>
      </c>
      <c r="F94" t="n">
        <v>222.264878</v>
      </c>
      <c r="G94" t="n">
        <v>60.099306</v>
      </c>
      <c r="H94" t="n">
        <v>123.58001</v>
      </c>
      <c r="I94" t="n">
        <v>98.981683</v>
      </c>
      <c r="J94" t="n">
        <v>101.310188</v>
      </c>
      <c r="K94" t="n">
        <v>92.19227100000001</v>
      </c>
      <c r="L94" t="n">
        <v>114.167454</v>
      </c>
      <c r="M94" t="n">
        <v>114.167454</v>
      </c>
      <c r="N94" t="n">
        <v>114.167454</v>
      </c>
      <c r="O94" t="n">
        <v>82.349557</v>
      </c>
      <c r="P94" t="n">
        <v>38.756383</v>
      </c>
      <c r="Q94" t="n">
        <v>114.167454</v>
      </c>
      <c r="R94" t="n">
        <v>114.167454</v>
      </c>
      <c r="S94" t="n">
        <v>82.349557</v>
      </c>
      <c r="T94" t="n">
        <v>82.349557</v>
      </c>
      <c r="U94" t="n">
        <v>38.756383</v>
      </c>
      <c r="V94" t="n">
        <v>38.756383</v>
      </c>
      <c r="W94" t="n">
        <v>82.655303</v>
      </c>
      <c r="X94" t="n">
        <v>113.898256</v>
      </c>
    </row>
    <row r="95">
      <c r="A95" t="inlineStr">
        <is>
          <t>Engraulis encrasicolus</t>
        </is>
      </c>
      <c r="B95" t="n">
        <v>3.11</v>
      </c>
      <c r="C95" t="n">
        <v>128.824955</v>
      </c>
      <c r="D95" t="inlineStr">
        <is>
          <t>Small pelagics</t>
        </is>
      </c>
      <c r="E95" t="n">
        <v>327.790917</v>
      </c>
      <c r="F95" t="n">
        <v>148.024912</v>
      </c>
      <c r="G95" t="n">
        <v>44.163101</v>
      </c>
      <c r="H95" t="n">
        <v>58.893278</v>
      </c>
      <c r="I95" t="n">
        <v>29.57747</v>
      </c>
      <c r="J95" t="n">
        <v>29.708263</v>
      </c>
      <c r="K95" t="n">
        <v>26.143271</v>
      </c>
      <c r="L95" t="n">
        <v>37.444032</v>
      </c>
      <c r="M95" t="n">
        <v>37.444032</v>
      </c>
      <c r="N95" t="n">
        <v>37.444032</v>
      </c>
      <c r="O95" t="n">
        <v>26.825837</v>
      </c>
      <c r="P95" t="n">
        <v>12.629082</v>
      </c>
      <c r="Q95" t="n">
        <v>37.444032</v>
      </c>
      <c r="R95" t="n">
        <v>37.444032</v>
      </c>
      <c r="S95" t="n">
        <v>26.825837</v>
      </c>
      <c r="T95" t="n">
        <v>26.825837</v>
      </c>
      <c r="U95" t="n">
        <v>12.629082</v>
      </c>
      <c r="V95" t="n">
        <v>12.629082</v>
      </c>
      <c r="W95" t="n">
        <v>26.643813</v>
      </c>
      <c r="X95" t="n">
        <v>39.607714</v>
      </c>
    </row>
    <row r="96">
      <c r="A96" t="inlineStr">
        <is>
          <t>Salmo salar</t>
        </is>
      </c>
      <c r="B96" t="n">
        <v>4.5</v>
      </c>
      <c r="C96" t="n">
        <v>3162.27766</v>
      </c>
      <c r="D96" t="inlineStr">
        <is>
          <t>Unresolved</t>
        </is>
      </c>
    </row>
    <row r="97">
      <c r="A97" t="inlineStr">
        <is>
          <t>Bivalvia</t>
        </is>
      </c>
      <c r="B97" t="n">
        <v>2.23</v>
      </c>
      <c r="C97" t="n">
        <v>16.982437</v>
      </c>
      <c r="D97" t="inlineStr">
        <is>
          <t>Infauna | Epifauna</t>
        </is>
      </c>
      <c r="E97" t="n">
        <v>327.790917</v>
      </c>
      <c r="F97" t="n">
        <v>28.765706</v>
      </c>
      <c r="G97" t="n">
        <v>12.749483</v>
      </c>
      <c r="H97" t="n">
        <v>17.8078</v>
      </c>
      <c r="I97" t="n">
        <v>11.29059</v>
      </c>
      <c r="J97" t="n">
        <v>11.29059</v>
      </c>
      <c r="K97" t="n">
        <v>9.936787000000001</v>
      </c>
      <c r="L97" t="n">
        <v>10.865076</v>
      </c>
      <c r="M97" t="n">
        <v>10.865076</v>
      </c>
      <c r="N97" t="n">
        <v>10.865076</v>
      </c>
      <c r="O97" t="n">
        <v>9.971377</v>
      </c>
      <c r="P97" t="n">
        <v>6.808206</v>
      </c>
      <c r="Q97" t="n">
        <v>10.865076</v>
      </c>
      <c r="R97" t="n">
        <v>10.865076</v>
      </c>
      <c r="S97" t="n">
        <v>9.971377</v>
      </c>
      <c r="T97" t="n">
        <v>9.971377</v>
      </c>
      <c r="U97" t="n">
        <v>6.808206</v>
      </c>
      <c r="V97" t="n">
        <v>6.808206</v>
      </c>
      <c r="W97" t="n">
        <v>9.878553999999999</v>
      </c>
      <c r="X97" t="n">
        <v>10.712101</v>
      </c>
    </row>
    <row r="98">
      <c r="A98" t="inlineStr">
        <is>
          <t>Agonus cataphractus</t>
        </is>
      </c>
      <c r="B98" t="n">
        <v>3.43</v>
      </c>
      <c r="C98" t="n">
        <v>269.15348</v>
      </c>
      <c r="D98" t="inlineStr">
        <is>
          <t>Large Dem. fish</t>
        </is>
      </c>
      <c r="E98" t="n">
        <v>327.790917</v>
      </c>
      <c r="F98" t="n">
        <v>665.972772</v>
      </c>
      <c r="G98" t="n">
        <v>138.073221</v>
      </c>
      <c r="H98" t="n">
        <v>328.210407</v>
      </c>
      <c r="I98" t="n">
        <v>321.185641</v>
      </c>
      <c r="J98" t="n">
        <v>337.306601</v>
      </c>
      <c r="K98" t="n">
        <v>317.068205</v>
      </c>
      <c r="L98" t="n">
        <v>461.958282</v>
      </c>
      <c r="M98" t="n">
        <v>461.958282</v>
      </c>
      <c r="N98" t="n">
        <v>461.958282</v>
      </c>
      <c r="O98" t="n">
        <v>304.533157</v>
      </c>
      <c r="P98" t="n">
        <v>108.42706</v>
      </c>
      <c r="Q98" t="n">
        <v>461.958282</v>
      </c>
      <c r="R98" t="n">
        <v>461.958282</v>
      </c>
      <c r="S98" t="n">
        <v>304.533157</v>
      </c>
      <c r="T98" t="n">
        <v>304.533157</v>
      </c>
      <c r="U98" t="n">
        <v>108.42706</v>
      </c>
      <c r="V98" t="n">
        <v>108.42706</v>
      </c>
      <c r="W98" t="n">
        <v>306.991308</v>
      </c>
      <c r="X98" t="n">
        <v>468.161038</v>
      </c>
    </row>
    <row r="99">
      <c r="A99" t="inlineStr">
        <is>
          <t>Anarhichas</t>
        </is>
      </c>
      <c r="B99" t="n">
        <v>3.35</v>
      </c>
      <c r="C99" t="n">
        <v>223.872114</v>
      </c>
      <c r="D99" t="inlineStr">
        <is>
          <t>Large Dem. fish</t>
        </is>
      </c>
      <c r="E99" t="n">
        <v>327.790917</v>
      </c>
      <c r="F99" t="n">
        <v>665.972772</v>
      </c>
      <c r="G99" t="n">
        <v>138.073221</v>
      </c>
      <c r="H99" t="n">
        <v>328.210407</v>
      </c>
      <c r="I99" t="n">
        <v>321.185641</v>
      </c>
      <c r="J99" t="n">
        <v>337.306601</v>
      </c>
      <c r="K99" t="n">
        <v>317.068205</v>
      </c>
      <c r="L99" t="n">
        <v>461.958282</v>
      </c>
      <c r="M99" t="n">
        <v>461.958282</v>
      </c>
      <c r="N99" t="n">
        <v>461.958282</v>
      </c>
      <c r="O99" t="n">
        <v>304.533157</v>
      </c>
      <c r="P99" t="n">
        <v>108.42706</v>
      </c>
      <c r="Q99" t="n">
        <v>461.958282</v>
      </c>
      <c r="R99" t="n">
        <v>461.958282</v>
      </c>
      <c r="S99" t="n">
        <v>304.533157</v>
      </c>
      <c r="T99" t="n">
        <v>304.533157</v>
      </c>
      <c r="U99" t="n">
        <v>108.42706</v>
      </c>
      <c r="V99" t="n">
        <v>108.42706</v>
      </c>
      <c r="W99" t="n">
        <v>306.991308</v>
      </c>
      <c r="X99" t="n">
        <v>468.161038</v>
      </c>
    </row>
    <row r="100">
      <c r="A100" t="inlineStr">
        <is>
          <t>Asteroidea</t>
        </is>
      </c>
      <c r="D100" t="inlineStr">
        <is>
          <t>Epifauna</t>
        </is>
      </c>
      <c r="E100" t="n">
        <v>327.790917</v>
      </c>
      <c r="F100" t="n">
        <v>28.994229</v>
      </c>
      <c r="G100" t="n">
        <v>12.834993</v>
      </c>
      <c r="H100" t="n">
        <v>17.954978</v>
      </c>
      <c r="I100" t="n">
        <v>11.374014</v>
      </c>
      <c r="J100" t="n">
        <v>11.374014</v>
      </c>
      <c r="K100" t="n">
        <v>10.009132</v>
      </c>
      <c r="L100" t="n">
        <v>10.950321</v>
      </c>
      <c r="M100" t="n">
        <v>10.950321</v>
      </c>
      <c r="N100" t="n">
        <v>10.950321</v>
      </c>
      <c r="O100" t="n">
        <v>10.041084</v>
      </c>
      <c r="P100" t="n">
        <v>6.846302</v>
      </c>
      <c r="Q100" t="n">
        <v>10.950321</v>
      </c>
      <c r="R100" t="n">
        <v>10.950321</v>
      </c>
      <c r="S100" t="n">
        <v>10.041084</v>
      </c>
      <c r="T100" t="n">
        <v>10.041084</v>
      </c>
      <c r="U100" t="n">
        <v>6.846302</v>
      </c>
      <c r="V100" t="n">
        <v>6.846302</v>
      </c>
      <c r="W100" t="n">
        <v>9.947857000000001</v>
      </c>
      <c r="X100" t="n">
        <v>10.794705</v>
      </c>
    </row>
    <row r="101">
      <c r="A101" t="inlineStr">
        <is>
          <t>Anarhichadidae</t>
        </is>
      </c>
      <c r="B101" t="n">
        <v>3.47</v>
      </c>
      <c r="C101" t="n">
        <v>295.120923</v>
      </c>
      <c r="D101" t="inlineStr">
        <is>
          <t>Large Dem. fish</t>
        </is>
      </c>
      <c r="E101" t="n">
        <v>327.790917</v>
      </c>
      <c r="F101" t="n">
        <v>665.972772</v>
      </c>
      <c r="G101" t="n">
        <v>138.073221</v>
      </c>
      <c r="H101" t="n">
        <v>328.210407</v>
      </c>
      <c r="I101" t="n">
        <v>321.185641</v>
      </c>
      <c r="J101" t="n">
        <v>337.306601</v>
      </c>
      <c r="K101" t="n">
        <v>317.068205</v>
      </c>
      <c r="L101" t="n">
        <v>461.958282</v>
      </c>
      <c r="M101" t="n">
        <v>461.958282</v>
      </c>
      <c r="N101" t="n">
        <v>461.958282</v>
      </c>
      <c r="O101" t="n">
        <v>304.533157</v>
      </c>
      <c r="P101" t="n">
        <v>108.42706</v>
      </c>
      <c r="Q101" t="n">
        <v>461.958282</v>
      </c>
      <c r="R101" t="n">
        <v>461.958282</v>
      </c>
      <c r="S101" t="n">
        <v>304.533157</v>
      </c>
      <c r="T101" t="n">
        <v>304.533157</v>
      </c>
      <c r="U101" t="n">
        <v>108.42706</v>
      </c>
      <c r="V101" t="n">
        <v>108.42706</v>
      </c>
      <c r="W101" t="n">
        <v>306.991308</v>
      </c>
      <c r="X101" t="n">
        <v>468.161038</v>
      </c>
    </row>
    <row r="102">
      <c r="A102" t="inlineStr">
        <is>
          <t>Amblyraja radiata</t>
        </is>
      </c>
      <c r="B102" t="n">
        <v>4.2</v>
      </c>
      <c r="C102" t="n">
        <v>1584.893192</v>
      </c>
      <c r="D102" t="inlineStr">
        <is>
          <t>Sharks &amp; rays</t>
        </is>
      </c>
      <c r="E102" t="n">
        <v>327.790917</v>
      </c>
      <c r="F102" t="n">
        <v>522.28227</v>
      </c>
      <c r="G102" t="n">
        <v>114.842938</v>
      </c>
      <c r="H102" t="n">
        <v>326.928715</v>
      </c>
      <c r="I102" t="n">
        <v>732.255138</v>
      </c>
      <c r="J102" t="n">
        <v>761.48662</v>
      </c>
      <c r="K102" t="n">
        <v>327.439247</v>
      </c>
      <c r="L102" t="n">
        <v>1275.246638</v>
      </c>
      <c r="M102" t="n">
        <v>1275.246638</v>
      </c>
      <c r="N102" t="n">
        <v>1275.246638</v>
      </c>
      <c r="O102" t="n">
        <v>317.659957</v>
      </c>
      <c r="P102" t="n">
        <v>115.247551</v>
      </c>
      <c r="Q102" t="n">
        <v>1275.246638</v>
      </c>
      <c r="R102" t="n">
        <v>1275.246638</v>
      </c>
      <c r="S102" t="n">
        <v>317.659957</v>
      </c>
      <c r="T102" t="n">
        <v>317.659957</v>
      </c>
      <c r="U102" t="n">
        <v>115.247551</v>
      </c>
      <c r="V102" t="n">
        <v>115.247551</v>
      </c>
      <c r="W102" t="n">
        <v>327.701462</v>
      </c>
      <c r="X102" t="n">
        <v>1310.378519</v>
      </c>
    </row>
    <row r="103">
      <c r="A103" t="inlineStr">
        <is>
          <t>Osmerus eperlanus</t>
        </is>
      </c>
      <c r="B103" t="n">
        <v>3.46</v>
      </c>
      <c r="C103" t="n">
        <v>288.40315</v>
      </c>
      <c r="D103" t="inlineStr">
        <is>
          <t>Unresolved</t>
        </is>
      </c>
    </row>
    <row r="104">
      <c r="A104" t="inlineStr">
        <is>
          <t>Congridae</t>
        </is>
      </c>
      <c r="B104" t="n">
        <v>4.18</v>
      </c>
      <c r="C104" t="n">
        <v>1513.561248</v>
      </c>
      <c r="D104" t="inlineStr">
        <is>
          <t>Large Dem. fish</t>
        </is>
      </c>
      <c r="E104" t="n">
        <v>327.790917</v>
      </c>
      <c r="F104" t="n">
        <v>665.972772</v>
      </c>
      <c r="G104" t="n">
        <v>138.073221</v>
      </c>
      <c r="H104" t="n">
        <v>328.210407</v>
      </c>
      <c r="I104" t="n">
        <v>321.185641</v>
      </c>
      <c r="J104" t="n">
        <v>337.306601</v>
      </c>
      <c r="K104" t="n">
        <v>317.068205</v>
      </c>
      <c r="L104" t="n">
        <v>461.958282</v>
      </c>
      <c r="M104" t="n">
        <v>461.958282</v>
      </c>
      <c r="N104" t="n">
        <v>461.958282</v>
      </c>
      <c r="O104" t="n">
        <v>304.533157</v>
      </c>
      <c r="P104" t="n">
        <v>108.42706</v>
      </c>
      <c r="Q104" t="n">
        <v>461.958282</v>
      </c>
      <c r="R104" t="n">
        <v>461.958282</v>
      </c>
      <c r="S104" t="n">
        <v>304.533157</v>
      </c>
      <c r="T104" t="n">
        <v>304.533157</v>
      </c>
      <c r="U104" t="n">
        <v>108.42706</v>
      </c>
      <c r="V104" t="n">
        <v>108.42706</v>
      </c>
      <c r="W104" t="n">
        <v>306.991308</v>
      </c>
      <c r="X104" t="n">
        <v>468.161038</v>
      </c>
    </row>
    <row r="105">
      <c r="A105" t="inlineStr">
        <is>
          <t>Sebastes norvegicus</t>
        </is>
      </c>
      <c r="B105" t="n">
        <v>4.04</v>
      </c>
      <c r="C105" t="n">
        <v>1096.478196</v>
      </c>
      <c r="D105" t="inlineStr">
        <is>
          <t>Large Dem. fish</t>
        </is>
      </c>
      <c r="E105" t="n">
        <v>327.790917</v>
      </c>
      <c r="F105" t="n">
        <v>665.972772</v>
      </c>
      <c r="G105" t="n">
        <v>138.073221</v>
      </c>
      <c r="H105" t="n">
        <v>328.210407</v>
      </c>
      <c r="I105" t="n">
        <v>321.185641</v>
      </c>
      <c r="J105" t="n">
        <v>337.306601</v>
      </c>
      <c r="K105" t="n">
        <v>317.068205</v>
      </c>
      <c r="L105" t="n">
        <v>461.958282</v>
      </c>
      <c r="M105" t="n">
        <v>461.958282</v>
      </c>
      <c r="N105" t="n">
        <v>461.958282</v>
      </c>
      <c r="O105" t="n">
        <v>304.533157</v>
      </c>
      <c r="P105" t="n">
        <v>108.42706</v>
      </c>
      <c r="Q105" t="n">
        <v>461.958282</v>
      </c>
      <c r="R105" t="n">
        <v>461.958282</v>
      </c>
      <c r="S105" t="n">
        <v>304.533157</v>
      </c>
      <c r="T105" t="n">
        <v>304.533157</v>
      </c>
      <c r="U105" t="n">
        <v>108.42706</v>
      </c>
      <c r="V105" t="n">
        <v>108.42706</v>
      </c>
      <c r="W105" t="n">
        <v>306.991308</v>
      </c>
      <c r="X105" t="n">
        <v>468.161038</v>
      </c>
    </row>
    <row r="106">
      <c r="A106" t="inlineStr">
        <is>
          <t>Macrouridae</t>
        </is>
      </c>
      <c r="B106" t="n">
        <v>3.88</v>
      </c>
      <c r="C106" t="n">
        <v>758.577575</v>
      </c>
      <c r="D106" t="inlineStr">
        <is>
          <t>Unresolved</t>
        </is>
      </c>
    </row>
    <row r="107">
      <c r="A107" t="inlineStr">
        <is>
          <t>Chelidonichthys cuculus</t>
        </is>
      </c>
      <c r="B107" t="n">
        <v>3.81</v>
      </c>
      <c r="C107" t="n">
        <v>645.654229</v>
      </c>
      <c r="D107" t="inlineStr">
        <is>
          <t>Large Dem. fish</t>
        </is>
      </c>
      <c r="E107" t="n">
        <v>327.790917</v>
      </c>
      <c r="F107" t="n">
        <v>665.972772</v>
      </c>
      <c r="G107" t="n">
        <v>138.073221</v>
      </c>
      <c r="H107" t="n">
        <v>328.210407</v>
      </c>
      <c r="I107" t="n">
        <v>321.185641</v>
      </c>
      <c r="J107" t="n">
        <v>337.306601</v>
      </c>
      <c r="K107" t="n">
        <v>317.068205</v>
      </c>
      <c r="L107" t="n">
        <v>461.958282</v>
      </c>
      <c r="M107" t="n">
        <v>461.958282</v>
      </c>
      <c r="N107" t="n">
        <v>461.958282</v>
      </c>
      <c r="O107" t="n">
        <v>304.533157</v>
      </c>
      <c r="P107" t="n">
        <v>108.42706</v>
      </c>
      <c r="Q107" t="n">
        <v>461.958282</v>
      </c>
      <c r="R107" t="n">
        <v>461.958282</v>
      </c>
      <c r="S107" t="n">
        <v>304.533157</v>
      </c>
      <c r="T107" t="n">
        <v>304.533157</v>
      </c>
      <c r="U107" t="n">
        <v>108.42706</v>
      </c>
      <c r="V107" t="n">
        <v>108.42706</v>
      </c>
      <c r="W107" t="n">
        <v>306.991308</v>
      </c>
      <c r="X107" t="n">
        <v>468.161038</v>
      </c>
    </row>
    <row r="108">
      <c r="A108" t="inlineStr">
        <is>
          <t>Perciformes</t>
        </is>
      </c>
      <c r="B108" t="n">
        <v>3.53</v>
      </c>
      <c r="C108" t="n">
        <v>338.844156</v>
      </c>
      <c r="D108" t="inlineStr">
        <is>
          <t>Large Dem. fish</t>
        </is>
      </c>
      <c r="E108" t="n">
        <v>327.790917</v>
      </c>
      <c r="F108" t="n">
        <v>665.972772</v>
      </c>
      <c r="G108" t="n">
        <v>138.073221</v>
      </c>
      <c r="H108" t="n">
        <v>328.210407</v>
      </c>
      <c r="I108" t="n">
        <v>321.185641</v>
      </c>
      <c r="J108" t="n">
        <v>337.306601</v>
      </c>
      <c r="K108" t="n">
        <v>317.068205</v>
      </c>
      <c r="L108" t="n">
        <v>461.958282</v>
      </c>
      <c r="M108" t="n">
        <v>461.958282</v>
      </c>
      <c r="N108" t="n">
        <v>461.958282</v>
      </c>
      <c r="O108" t="n">
        <v>304.533157</v>
      </c>
      <c r="P108" t="n">
        <v>108.42706</v>
      </c>
      <c r="Q108" t="n">
        <v>461.958282</v>
      </c>
      <c r="R108" t="n">
        <v>461.958282</v>
      </c>
      <c r="S108" t="n">
        <v>304.533157</v>
      </c>
      <c r="T108" t="n">
        <v>304.533157</v>
      </c>
      <c r="U108" t="n">
        <v>108.42706</v>
      </c>
      <c r="V108" t="n">
        <v>108.42706</v>
      </c>
      <c r="W108" t="n">
        <v>306.991308</v>
      </c>
      <c r="X108" t="n">
        <v>468.161038</v>
      </c>
    </row>
    <row r="109">
      <c r="A109" t="inlineStr">
        <is>
          <t>Littorina</t>
        </is>
      </c>
      <c r="B109" t="n">
        <v>2</v>
      </c>
      <c r="C109" t="n">
        <v>10</v>
      </c>
      <c r="D109" t="inlineStr">
        <is>
          <t>Epifauna</t>
        </is>
      </c>
      <c r="E109" t="n">
        <v>327.790917</v>
      </c>
      <c r="F109" t="n">
        <v>28.994229</v>
      </c>
      <c r="G109" t="n">
        <v>12.834993</v>
      </c>
      <c r="H109" t="n">
        <v>17.954978</v>
      </c>
      <c r="I109" t="n">
        <v>11.374014</v>
      </c>
      <c r="J109" t="n">
        <v>11.374014</v>
      </c>
      <c r="K109" t="n">
        <v>10.009132</v>
      </c>
      <c r="L109" t="n">
        <v>10.950321</v>
      </c>
      <c r="M109" t="n">
        <v>10.950321</v>
      </c>
      <c r="N109" t="n">
        <v>10.950321</v>
      </c>
      <c r="O109" t="n">
        <v>10.041084</v>
      </c>
      <c r="P109" t="n">
        <v>6.846302</v>
      </c>
      <c r="Q109" t="n">
        <v>10.950321</v>
      </c>
      <c r="R109" t="n">
        <v>10.950321</v>
      </c>
      <c r="S109" t="n">
        <v>10.041084</v>
      </c>
      <c r="T109" t="n">
        <v>10.041084</v>
      </c>
      <c r="U109" t="n">
        <v>6.846302</v>
      </c>
      <c r="V109" t="n">
        <v>6.846302</v>
      </c>
      <c r="W109" t="n">
        <v>9.947857000000001</v>
      </c>
      <c r="X109" t="n">
        <v>10.794705</v>
      </c>
    </row>
    <row r="110">
      <c r="A110" t="inlineStr">
        <is>
          <t>Hippoglossus hippoglossus</t>
        </is>
      </c>
      <c r="B110" t="n">
        <v>4</v>
      </c>
      <c r="C110" t="n">
        <v>1000</v>
      </c>
      <c r="D110" t="inlineStr">
        <is>
          <t>Flatfishes</t>
        </is>
      </c>
      <c r="E110" t="n">
        <v>327.790917</v>
      </c>
      <c r="F110" t="n">
        <v>222.264878</v>
      </c>
      <c r="G110" t="n">
        <v>60.099306</v>
      </c>
      <c r="H110" t="n">
        <v>123.58001</v>
      </c>
      <c r="I110" t="n">
        <v>98.981683</v>
      </c>
      <c r="J110" t="n">
        <v>101.310188</v>
      </c>
      <c r="K110" t="n">
        <v>92.19227100000001</v>
      </c>
      <c r="L110" t="n">
        <v>114.167454</v>
      </c>
      <c r="M110" t="n">
        <v>114.167454</v>
      </c>
      <c r="N110" t="n">
        <v>114.167454</v>
      </c>
      <c r="O110" t="n">
        <v>82.349557</v>
      </c>
      <c r="P110" t="n">
        <v>38.756383</v>
      </c>
      <c r="Q110" t="n">
        <v>114.167454</v>
      </c>
      <c r="R110" t="n">
        <v>114.167454</v>
      </c>
      <c r="S110" t="n">
        <v>82.349557</v>
      </c>
      <c r="T110" t="n">
        <v>82.349557</v>
      </c>
      <c r="U110" t="n">
        <v>38.756383</v>
      </c>
      <c r="V110" t="n">
        <v>38.756383</v>
      </c>
      <c r="W110" t="n">
        <v>82.655303</v>
      </c>
      <c r="X110" t="n">
        <v>113.898256</v>
      </c>
    </row>
    <row r="111">
      <c r="A111" t="inlineStr">
        <is>
          <t>Raja clavata</t>
        </is>
      </c>
      <c r="B111" t="n">
        <v>3.84</v>
      </c>
      <c r="C111" t="n">
        <v>691.830971</v>
      </c>
      <c r="D111" t="inlineStr">
        <is>
          <t>Sharks &amp; rays</t>
        </is>
      </c>
      <c r="E111" t="n">
        <v>327.790917</v>
      </c>
      <c r="F111" t="n">
        <v>522.28227</v>
      </c>
      <c r="G111" t="n">
        <v>114.842938</v>
      </c>
      <c r="H111" t="n">
        <v>326.928715</v>
      </c>
      <c r="I111" t="n">
        <v>732.255138</v>
      </c>
      <c r="J111" t="n">
        <v>761.48662</v>
      </c>
      <c r="K111" t="n">
        <v>327.439247</v>
      </c>
      <c r="L111" t="n">
        <v>1275.246638</v>
      </c>
      <c r="M111" t="n">
        <v>1275.246638</v>
      </c>
      <c r="N111" t="n">
        <v>1275.246638</v>
      </c>
      <c r="O111" t="n">
        <v>317.659957</v>
      </c>
      <c r="P111" t="n">
        <v>115.247551</v>
      </c>
      <c r="Q111" t="n">
        <v>1275.246638</v>
      </c>
      <c r="R111" t="n">
        <v>1275.246638</v>
      </c>
      <c r="S111" t="n">
        <v>317.659957</v>
      </c>
      <c r="T111" t="n">
        <v>317.659957</v>
      </c>
      <c r="U111" t="n">
        <v>115.247551</v>
      </c>
      <c r="V111" t="n">
        <v>115.247551</v>
      </c>
      <c r="W111" t="n">
        <v>327.701462</v>
      </c>
      <c r="X111" t="n">
        <v>1310.378519</v>
      </c>
    </row>
    <row r="112">
      <c r="A112" t="inlineStr">
        <is>
          <t>Gadiformes</t>
        </is>
      </c>
      <c r="B112" t="n">
        <v>3.91</v>
      </c>
      <c r="C112" t="n">
        <v>812.830516</v>
      </c>
      <c r="D112" t="inlineStr">
        <is>
          <t>Cod | Ling | Haddock | Whiting | Hake | Saithe | Large Dem. fish | Small pelagics | Large Pelagics</t>
        </is>
      </c>
      <c r="E112" t="n">
        <v>327.790917</v>
      </c>
      <c r="F112" t="n">
        <v>485.882846</v>
      </c>
      <c r="G112" t="n">
        <v>103.968442</v>
      </c>
      <c r="H112" t="n">
        <v>199.990593</v>
      </c>
      <c r="I112" t="n">
        <v>136.731378</v>
      </c>
      <c r="J112" t="n">
        <v>144.758687</v>
      </c>
      <c r="K112" t="n">
        <v>129.782392</v>
      </c>
      <c r="L112" t="n">
        <v>181.24754</v>
      </c>
      <c r="M112" t="n">
        <v>181.24754</v>
      </c>
      <c r="N112" t="n">
        <v>181.24754</v>
      </c>
      <c r="O112" t="n">
        <v>117.578446</v>
      </c>
      <c r="P112" t="n">
        <v>45.881613</v>
      </c>
      <c r="Q112" t="n">
        <v>181.24754</v>
      </c>
      <c r="R112" t="n">
        <v>181.24754</v>
      </c>
      <c r="S112" t="n">
        <v>117.578446</v>
      </c>
      <c r="T112" t="n">
        <v>117.578446</v>
      </c>
      <c r="U112" t="n">
        <v>45.881613</v>
      </c>
      <c r="V112" t="n">
        <v>45.881613</v>
      </c>
      <c r="W112" t="n">
        <v>117.818156</v>
      </c>
      <c r="X112" t="n">
        <v>186.536458</v>
      </c>
    </row>
    <row r="113">
      <c r="A113" t="inlineStr">
        <is>
          <t>Molva dypterygia</t>
        </is>
      </c>
      <c r="B113" t="n">
        <v>4.49</v>
      </c>
      <c r="C113" t="n">
        <v>3090.295433</v>
      </c>
      <c r="D113" t="inlineStr">
        <is>
          <t>Ling</t>
        </is>
      </c>
      <c r="E113" t="n">
        <v>327.790917</v>
      </c>
      <c r="F113" t="n">
        <v>1898.245398</v>
      </c>
      <c r="G113" t="n">
        <v>305.428226</v>
      </c>
      <c r="H113" t="n">
        <v>911.558009</v>
      </c>
      <c r="I113" t="n">
        <v>376.10347</v>
      </c>
      <c r="J113" t="n">
        <v>391.847098</v>
      </c>
      <c r="K113" t="n">
        <v>368.336273</v>
      </c>
      <c r="L113" t="n">
        <v>491.495581</v>
      </c>
      <c r="M113" t="n">
        <v>491.495581</v>
      </c>
      <c r="N113" t="n">
        <v>491.495581</v>
      </c>
      <c r="O113" t="n">
        <v>302.549286</v>
      </c>
      <c r="P113" t="n">
        <v>96.52297900000001</v>
      </c>
      <c r="Q113" t="n">
        <v>491.495581</v>
      </c>
      <c r="R113" t="n">
        <v>491.495581</v>
      </c>
      <c r="S113" t="n">
        <v>302.549286</v>
      </c>
      <c r="T113" t="n">
        <v>302.549286</v>
      </c>
      <c r="U113" t="n">
        <v>96.52297900000001</v>
      </c>
      <c r="V113" t="n">
        <v>96.52297900000001</v>
      </c>
      <c r="W113" t="n">
        <v>307.895008</v>
      </c>
      <c r="X113" t="n">
        <v>544.500349</v>
      </c>
    </row>
    <row r="114">
      <c r="A114" t="inlineStr">
        <is>
          <t>Sciaenidae</t>
        </is>
      </c>
      <c r="B114" t="n">
        <v>3.76</v>
      </c>
      <c r="C114" t="n">
        <v>575.439937</v>
      </c>
      <c r="D114" t="inlineStr">
        <is>
          <t>Large Dem. fish</t>
        </is>
      </c>
      <c r="E114" t="n">
        <v>327.790917</v>
      </c>
      <c r="F114" t="n">
        <v>665.972772</v>
      </c>
      <c r="G114" t="n">
        <v>138.073221</v>
      </c>
      <c r="H114" t="n">
        <v>328.210407</v>
      </c>
      <c r="I114" t="n">
        <v>321.185641</v>
      </c>
      <c r="J114" t="n">
        <v>337.306601</v>
      </c>
      <c r="K114" t="n">
        <v>317.068205</v>
      </c>
      <c r="L114" t="n">
        <v>461.958282</v>
      </c>
      <c r="M114" t="n">
        <v>461.958282</v>
      </c>
      <c r="N114" t="n">
        <v>461.958282</v>
      </c>
      <c r="O114" t="n">
        <v>304.533157</v>
      </c>
      <c r="P114" t="n">
        <v>108.42706</v>
      </c>
      <c r="Q114" t="n">
        <v>461.958282</v>
      </c>
      <c r="R114" t="n">
        <v>461.958282</v>
      </c>
      <c r="S114" t="n">
        <v>304.533157</v>
      </c>
      <c r="T114" t="n">
        <v>304.533157</v>
      </c>
      <c r="U114" t="n">
        <v>108.42706</v>
      </c>
      <c r="V114" t="n">
        <v>108.42706</v>
      </c>
      <c r="W114" t="n">
        <v>306.991308</v>
      </c>
      <c r="X114" t="n">
        <v>468.161038</v>
      </c>
    </row>
    <row r="115">
      <c r="A115" t="inlineStr">
        <is>
          <t>Callionymus maculatus</t>
        </is>
      </c>
      <c r="B115" t="n">
        <v>3.25</v>
      </c>
      <c r="C115" t="n">
        <v>177.827941</v>
      </c>
      <c r="D115" t="inlineStr">
        <is>
          <t>Large Dem. fish</t>
        </is>
      </c>
      <c r="E115" t="n">
        <v>327.790917</v>
      </c>
      <c r="F115" t="n">
        <v>665.972772</v>
      </c>
      <c r="G115" t="n">
        <v>138.073221</v>
      </c>
      <c r="H115" t="n">
        <v>328.210407</v>
      </c>
      <c r="I115" t="n">
        <v>321.185641</v>
      </c>
      <c r="J115" t="n">
        <v>337.306601</v>
      </c>
      <c r="K115" t="n">
        <v>317.068205</v>
      </c>
      <c r="L115" t="n">
        <v>461.958282</v>
      </c>
      <c r="M115" t="n">
        <v>461.958282</v>
      </c>
      <c r="N115" t="n">
        <v>461.958282</v>
      </c>
      <c r="O115" t="n">
        <v>304.533157</v>
      </c>
      <c r="P115" t="n">
        <v>108.42706</v>
      </c>
      <c r="Q115" t="n">
        <v>461.958282</v>
      </c>
      <c r="R115" t="n">
        <v>461.958282</v>
      </c>
      <c r="S115" t="n">
        <v>304.533157</v>
      </c>
      <c r="T115" t="n">
        <v>304.533157</v>
      </c>
      <c r="U115" t="n">
        <v>108.42706</v>
      </c>
      <c r="V115" t="n">
        <v>108.42706</v>
      </c>
      <c r="W115" t="n">
        <v>306.991308</v>
      </c>
      <c r="X115" t="n">
        <v>468.161038</v>
      </c>
    </row>
    <row r="116">
      <c r="A116" t="inlineStr">
        <is>
          <t>Lepidorhombus</t>
        </is>
      </c>
      <c r="B116" t="n">
        <v>3.96</v>
      </c>
      <c r="C116" t="n">
        <v>912.010839</v>
      </c>
      <c r="D116" t="inlineStr">
        <is>
          <t>Flatfishes</t>
        </is>
      </c>
      <c r="E116" t="n">
        <v>327.790917</v>
      </c>
      <c r="F116" t="n">
        <v>222.264878</v>
      </c>
      <c r="G116" t="n">
        <v>60.099306</v>
      </c>
      <c r="H116" t="n">
        <v>123.58001</v>
      </c>
      <c r="I116" t="n">
        <v>98.981683</v>
      </c>
      <c r="J116" t="n">
        <v>101.310188</v>
      </c>
      <c r="K116" t="n">
        <v>92.19227100000001</v>
      </c>
      <c r="L116" t="n">
        <v>114.167454</v>
      </c>
      <c r="M116" t="n">
        <v>114.167454</v>
      </c>
      <c r="N116" t="n">
        <v>114.167454</v>
      </c>
      <c r="O116" t="n">
        <v>82.349557</v>
      </c>
      <c r="P116" t="n">
        <v>38.756383</v>
      </c>
      <c r="Q116" t="n">
        <v>114.167454</v>
      </c>
      <c r="R116" t="n">
        <v>114.167454</v>
      </c>
      <c r="S116" t="n">
        <v>82.349557</v>
      </c>
      <c r="T116" t="n">
        <v>82.349557</v>
      </c>
      <c r="U116" t="n">
        <v>38.756383</v>
      </c>
      <c r="V116" t="n">
        <v>38.756383</v>
      </c>
      <c r="W116" t="n">
        <v>82.655303</v>
      </c>
      <c r="X116" t="n">
        <v>113.898256</v>
      </c>
    </row>
    <row r="117">
      <c r="A117" t="inlineStr">
        <is>
          <t>Solen</t>
        </is>
      </c>
      <c r="B117" t="n">
        <v>2</v>
      </c>
      <c r="C117" t="n">
        <v>10</v>
      </c>
      <c r="D117" t="inlineStr">
        <is>
          <t>Infauna</t>
        </is>
      </c>
      <c r="E117" t="n">
        <v>327.790917</v>
      </c>
      <c r="F117" t="n">
        <v>10</v>
      </c>
      <c r="G117" t="n">
        <v>5.727631</v>
      </c>
      <c r="H117" t="n">
        <v>5.721903</v>
      </c>
      <c r="I117" t="n">
        <v>4.44</v>
      </c>
      <c r="J117" t="n">
        <v>4.44</v>
      </c>
      <c r="K117" t="n">
        <v>3.996</v>
      </c>
      <c r="L117" t="n">
        <v>3.864936</v>
      </c>
      <c r="M117" t="n">
        <v>3.864936</v>
      </c>
      <c r="N117" t="n">
        <v>3.864936</v>
      </c>
      <c r="O117" t="n">
        <v>4.247203</v>
      </c>
      <c r="P117" t="n">
        <v>3.679841</v>
      </c>
      <c r="Q117" t="n">
        <v>3.864936</v>
      </c>
      <c r="R117" t="n">
        <v>3.864936</v>
      </c>
      <c r="S117" t="n">
        <v>4.247203</v>
      </c>
      <c r="T117" t="n">
        <v>4.247203</v>
      </c>
      <c r="U117" t="n">
        <v>3.679841</v>
      </c>
      <c r="V117" t="n">
        <v>3.679841</v>
      </c>
      <c r="W117" t="n">
        <v>4.187569</v>
      </c>
      <c r="X117" t="n">
        <v>3.928919</v>
      </c>
    </row>
    <row r="118">
      <c r="A118" t="inlineStr">
        <is>
          <t>Scyliorhinus canicula</t>
        </is>
      </c>
      <c r="B118" t="n">
        <v>3.82</v>
      </c>
      <c r="C118" t="n">
        <v>660.693448</v>
      </c>
      <c r="D118" t="inlineStr">
        <is>
          <t>Sharks &amp; rays</t>
        </is>
      </c>
      <c r="E118" t="n">
        <v>327.790917</v>
      </c>
      <c r="F118" t="n">
        <v>522.28227</v>
      </c>
      <c r="G118" t="n">
        <v>114.842938</v>
      </c>
      <c r="H118" t="n">
        <v>326.928715</v>
      </c>
      <c r="I118" t="n">
        <v>732.255138</v>
      </c>
      <c r="J118" t="n">
        <v>761.48662</v>
      </c>
      <c r="K118" t="n">
        <v>327.439247</v>
      </c>
      <c r="L118" t="n">
        <v>1275.246638</v>
      </c>
      <c r="M118" t="n">
        <v>1275.246638</v>
      </c>
      <c r="N118" t="n">
        <v>1275.246638</v>
      </c>
      <c r="O118" t="n">
        <v>317.659957</v>
      </c>
      <c r="P118" t="n">
        <v>115.247551</v>
      </c>
      <c r="Q118" t="n">
        <v>1275.246638</v>
      </c>
      <c r="R118" t="n">
        <v>1275.246638</v>
      </c>
      <c r="S118" t="n">
        <v>317.659957</v>
      </c>
      <c r="T118" t="n">
        <v>317.659957</v>
      </c>
      <c r="U118" t="n">
        <v>115.247551</v>
      </c>
      <c r="V118" t="n">
        <v>115.247551</v>
      </c>
      <c r="W118" t="n">
        <v>327.701462</v>
      </c>
      <c r="X118" t="n">
        <v>1310.378519</v>
      </c>
    </row>
    <row r="119">
      <c r="A119" t="inlineStr">
        <is>
          <t>Aequipecten opercularis</t>
        </is>
      </c>
      <c r="B119" t="n">
        <v>2</v>
      </c>
      <c r="C119" t="n">
        <v>10</v>
      </c>
      <c r="D119" t="inlineStr">
        <is>
          <t>Epifauna</t>
        </is>
      </c>
      <c r="E119" t="n">
        <v>327.790917</v>
      </c>
      <c r="F119" t="n">
        <v>28.994229</v>
      </c>
      <c r="G119" t="n">
        <v>12.834993</v>
      </c>
      <c r="H119" t="n">
        <v>17.954978</v>
      </c>
      <c r="I119" t="n">
        <v>11.374014</v>
      </c>
      <c r="J119" t="n">
        <v>11.374014</v>
      </c>
      <c r="K119" t="n">
        <v>10.009132</v>
      </c>
      <c r="L119" t="n">
        <v>10.950321</v>
      </c>
      <c r="M119" t="n">
        <v>10.950321</v>
      </c>
      <c r="N119" t="n">
        <v>10.950321</v>
      </c>
      <c r="O119" t="n">
        <v>10.041084</v>
      </c>
      <c r="P119" t="n">
        <v>6.846302</v>
      </c>
      <c r="Q119" t="n">
        <v>10.950321</v>
      </c>
      <c r="R119" t="n">
        <v>10.950321</v>
      </c>
      <c r="S119" t="n">
        <v>10.041084</v>
      </c>
      <c r="T119" t="n">
        <v>10.041084</v>
      </c>
      <c r="U119" t="n">
        <v>6.846302</v>
      </c>
      <c r="V119" t="n">
        <v>6.846302</v>
      </c>
      <c r="W119" t="n">
        <v>9.947857000000001</v>
      </c>
      <c r="X119" t="n">
        <v>10.794705</v>
      </c>
    </row>
    <row r="120">
      <c r="A120" t="inlineStr">
        <is>
          <t>Gobiidae</t>
        </is>
      </c>
      <c r="B120" t="n">
        <v>3.11</v>
      </c>
      <c r="C120" t="n">
        <v>128.824955</v>
      </c>
      <c r="D120" t="inlineStr">
        <is>
          <t>Large Dem. fish</t>
        </is>
      </c>
      <c r="E120" t="n">
        <v>327.790917</v>
      </c>
      <c r="F120" t="n">
        <v>665.972772</v>
      </c>
      <c r="G120" t="n">
        <v>138.073221</v>
      </c>
      <c r="H120" t="n">
        <v>328.210407</v>
      </c>
      <c r="I120" t="n">
        <v>321.185641</v>
      </c>
      <c r="J120" t="n">
        <v>337.306601</v>
      </c>
      <c r="K120" t="n">
        <v>317.068205</v>
      </c>
      <c r="L120" t="n">
        <v>461.958282</v>
      </c>
      <c r="M120" t="n">
        <v>461.958282</v>
      </c>
      <c r="N120" t="n">
        <v>461.958282</v>
      </c>
      <c r="O120" t="n">
        <v>304.533157</v>
      </c>
      <c r="P120" t="n">
        <v>108.42706</v>
      </c>
      <c r="Q120" t="n">
        <v>461.958282</v>
      </c>
      <c r="R120" t="n">
        <v>461.958282</v>
      </c>
      <c r="S120" t="n">
        <v>304.533157</v>
      </c>
      <c r="T120" t="n">
        <v>304.533157</v>
      </c>
      <c r="U120" t="n">
        <v>108.42706</v>
      </c>
      <c r="V120" t="n">
        <v>108.42706</v>
      </c>
      <c r="W120" t="n">
        <v>306.991308</v>
      </c>
      <c r="X120" t="n">
        <v>468.161038</v>
      </c>
    </row>
    <row r="121">
      <c r="A121" t="inlineStr">
        <is>
          <t>Cephalopoda</t>
        </is>
      </c>
      <c r="B121" t="n">
        <v>3.81</v>
      </c>
      <c r="C121" t="n">
        <v>645.654229</v>
      </c>
      <c r="D121" t="inlineStr">
        <is>
          <t>Squid &amp; Octopus</t>
        </is>
      </c>
      <c r="E121" t="n">
        <v>327.790917</v>
      </c>
      <c r="F121" t="n">
        <v>160.967585</v>
      </c>
      <c r="G121" t="n">
        <v>47.060072</v>
      </c>
      <c r="H121" t="n">
        <v>88.258037</v>
      </c>
      <c r="I121" t="n">
        <v>77.00034599999999</v>
      </c>
      <c r="J121" t="n">
        <v>77.34926</v>
      </c>
      <c r="K121" t="n">
        <v>73.481797</v>
      </c>
      <c r="L121" t="n">
        <v>94.097724</v>
      </c>
      <c r="M121" t="n">
        <v>94.097724</v>
      </c>
      <c r="N121" t="n">
        <v>94.097724</v>
      </c>
      <c r="O121" t="n">
        <v>70.413555</v>
      </c>
      <c r="P121" t="n">
        <v>31.50612</v>
      </c>
      <c r="Q121" t="n">
        <v>94.097724</v>
      </c>
      <c r="R121" t="n">
        <v>94.097724</v>
      </c>
      <c r="S121" t="n">
        <v>70.413555</v>
      </c>
      <c r="T121" t="n">
        <v>70.413555</v>
      </c>
      <c r="U121" t="n">
        <v>31.50612</v>
      </c>
      <c r="V121" t="n">
        <v>31.50612</v>
      </c>
      <c r="W121" t="n">
        <v>71.270959</v>
      </c>
      <c r="X121" t="n">
        <v>97.60397</v>
      </c>
    </row>
    <row r="122">
      <c r="A122" t="inlineStr">
        <is>
          <t>Mollusca</t>
        </is>
      </c>
      <c r="B122" t="n">
        <v>2.1</v>
      </c>
      <c r="C122" t="n">
        <v>12.589254</v>
      </c>
      <c r="D122" t="inlineStr">
        <is>
          <t>Infauna | Epifauna</t>
        </is>
      </c>
      <c r="E122" t="n">
        <v>327.790917</v>
      </c>
      <c r="F122" t="n">
        <v>28.765706</v>
      </c>
      <c r="G122" t="n">
        <v>12.749483</v>
      </c>
      <c r="H122" t="n">
        <v>17.8078</v>
      </c>
      <c r="I122" t="n">
        <v>11.29059</v>
      </c>
      <c r="J122" t="n">
        <v>11.29059</v>
      </c>
      <c r="K122" t="n">
        <v>9.936787000000001</v>
      </c>
      <c r="L122" t="n">
        <v>10.865076</v>
      </c>
      <c r="M122" t="n">
        <v>10.865076</v>
      </c>
      <c r="N122" t="n">
        <v>10.865076</v>
      </c>
      <c r="O122" t="n">
        <v>9.971377</v>
      </c>
      <c r="P122" t="n">
        <v>6.808206</v>
      </c>
      <c r="Q122" t="n">
        <v>10.865076</v>
      </c>
      <c r="R122" t="n">
        <v>10.865076</v>
      </c>
      <c r="S122" t="n">
        <v>9.971377</v>
      </c>
      <c r="T122" t="n">
        <v>9.971377</v>
      </c>
      <c r="U122" t="n">
        <v>6.808206</v>
      </c>
      <c r="V122" t="n">
        <v>6.808206</v>
      </c>
      <c r="W122" t="n">
        <v>9.878553999999999</v>
      </c>
      <c r="X122" t="n">
        <v>10.712101</v>
      </c>
    </row>
    <row r="123">
      <c r="A123" t="inlineStr">
        <is>
          <t>Gastropoda</t>
        </is>
      </c>
      <c r="B123" t="n">
        <v>3.06</v>
      </c>
      <c r="C123" t="n">
        <v>114.815362</v>
      </c>
      <c r="D123" t="inlineStr">
        <is>
          <t>Epifauna</t>
        </is>
      </c>
      <c r="E123" t="n">
        <v>327.790917</v>
      </c>
      <c r="F123" t="n">
        <v>28.994229</v>
      </c>
      <c r="G123" t="n">
        <v>12.834993</v>
      </c>
      <c r="H123" t="n">
        <v>17.954978</v>
      </c>
      <c r="I123" t="n">
        <v>11.374014</v>
      </c>
      <c r="J123" t="n">
        <v>11.374014</v>
      </c>
      <c r="K123" t="n">
        <v>10.009132</v>
      </c>
      <c r="L123" t="n">
        <v>10.950321</v>
      </c>
      <c r="M123" t="n">
        <v>10.950321</v>
      </c>
      <c r="N123" t="n">
        <v>10.950321</v>
      </c>
      <c r="O123" t="n">
        <v>10.041084</v>
      </c>
      <c r="P123" t="n">
        <v>6.846302</v>
      </c>
      <c r="Q123" t="n">
        <v>10.950321</v>
      </c>
      <c r="R123" t="n">
        <v>10.950321</v>
      </c>
      <c r="S123" t="n">
        <v>10.041084</v>
      </c>
      <c r="T123" t="n">
        <v>10.041084</v>
      </c>
      <c r="U123" t="n">
        <v>6.846302</v>
      </c>
      <c r="V123" t="n">
        <v>6.846302</v>
      </c>
      <c r="W123" t="n">
        <v>9.947857000000001</v>
      </c>
      <c r="X123" t="n">
        <v>10.794705</v>
      </c>
    </row>
    <row r="124">
      <c r="A124" t="inlineStr">
        <is>
          <t>Necora puber</t>
        </is>
      </c>
      <c r="B124" t="n">
        <v>2.6</v>
      </c>
      <c r="C124" t="n">
        <v>39.810717</v>
      </c>
      <c r="D124" t="inlineStr">
        <is>
          <t>Crustacea</t>
        </is>
      </c>
      <c r="E124" t="n">
        <v>327.790917</v>
      </c>
      <c r="F124" t="n">
        <v>79.403785</v>
      </c>
      <c r="G124" t="n">
        <v>27.544327</v>
      </c>
      <c r="H124" t="n">
        <v>45.837748</v>
      </c>
      <c r="I124" t="n">
        <v>38.918317</v>
      </c>
      <c r="J124" t="n">
        <v>38.964516</v>
      </c>
      <c r="K124" t="n">
        <v>31.561258</v>
      </c>
      <c r="L124" t="n">
        <v>47.671907</v>
      </c>
      <c r="M124" t="n">
        <v>47.671907</v>
      </c>
      <c r="N124" t="n">
        <v>47.671907</v>
      </c>
      <c r="O124" t="n">
        <v>34.575524</v>
      </c>
      <c r="P124" t="n">
        <v>19.020842</v>
      </c>
      <c r="Q124" t="n">
        <v>47.671907</v>
      </c>
      <c r="R124" t="n">
        <v>47.671907</v>
      </c>
      <c r="S124" t="n">
        <v>34.575524</v>
      </c>
      <c r="T124" t="n">
        <v>34.575524</v>
      </c>
      <c r="U124" t="n">
        <v>19.020842</v>
      </c>
      <c r="V124" t="n">
        <v>19.020842</v>
      </c>
      <c r="W124" t="n">
        <v>34.954015</v>
      </c>
      <c r="X124" t="n">
        <v>47.765312</v>
      </c>
    </row>
    <row r="125">
      <c r="A125" t="inlineStr">
        <is>
          <t>Pectinidae</t>
        </is>
      </c>
      <c r="B125" t="n">
        <v>2</v>
      </c>
      <c r="C125" t="n">
        <v>10</v>
      </c>
      <c r="D125" t="inlineStr">
        <is>
          <t>Epifauna</t>
        </is>
      </c>
      <c r="E125" t="n">
        <v>327.790917</v>
      </c>
      <c r="F125" t="n">
        <v>28.994229</v>
      </c>
      <c r="G125" t="n">
        <v>12.834993</v>
      </c>
      <c r="H125" t="n">
        <v>17.954978</v>
      </c>
      <c r="I125" t="n">
        <v>11.374014</v>
      </c>
      <c r="J125" t="n">
        <v>11.374014</v>
      </c>
      <c r="K125" t="n">
        <v>10.009132</v>
      </c>
      <c r="L125" t="n">
        <v>10.950321</v>
      </c>
      <c r="M125" t="n">
        <v>10.950321</v>
      </c>
      <c r="N125" t="n">
        <v>10.950321</v>
      </c>
      <c r="O125" t="n">
        <v>10.041084</v>
      </c>
      <c r="P125" t="n">
        <v>6.846302</v>
      </c>
      <c r="Q125" t="n">
        <v>10.950321</v>
      </c>
      <c r="R125" t="n">
        <v>10.950321</v>
      </c>
      <c r="S125" t="n">
        <v>10.041084</v>
      </c>
      <c r="T125" t="n">
        <v>10.041084</v>
      </c>
      <c r="U125" t="n">
        <v>6.846302</v>
      </c>
      <c r="V125" t="n">
        <v>6.846302</v>
      </c>
      <c r="W125" t="n">
        <v>9.947857000000001</v>
      </c>
      <c r="X125" t="n">
        <v>10.794705</v>
      </c>
    </row>
    <row r="126">
      <c r="A126" t="inlineStr">
        <is>
          <t>Arnoglossus laterna</t>
        </is>
      </c>
      <c r="B126" t="n">
        <v>3.59</v>
      </c>
      <c r="C126" t="n">
        <v>389.045145</v>
      </c>
      <c r="D126" t="inlineStr">
        <is>
          <t>Flatfishes</t>
        </is>
      </c>
      <c r="E126" t="n">
        <v>327.790917</v>
      </c>
      <c r="F126" t="n">
        <v>222.264878</v>
      </c>
      <c r="G126" t="n">
        <v>60.099306</v>
      </c>
      <c r="H126" t="n">
        <v>123.58001</v>
      </c>
      <c r="I126" t="n">
        <v>98.981683</v>
      </c>
      <c r="J126" t="n">
        <v>101.310188</v>
      </c>
      <c r="K126" t="n">
        <v>92.19227100000001</v>
      </c>
      <c r="L126" t="n">
        <v>114.167454</v>
      </c>
      <c r="M126" t="n">
        <v>114.167454</v>
      </c>
      <c r="N126" t="n">
        <v>114.167454</v>
      </c>
      <c r="O126" t="n">
        <v>82.349557</v>
      </c>
      <c r="P126" t="n">
        <v>38.756383</v>
      </c>
      <c r="Q126" t="n">
        <v>114.167454</v>
      </c>
      <c r="R126" t="n">
        <v>114.167454</v>
      </c>
      <c r="S126" t="n">
        <v>82.349557</v>
      </c>
      <c r="T126" t="n">
        <v>82.349557</v>
      </c>
      <c r="U126" t="n">
        <v>38.756383</v>
      </c>
      <c r="V126" t="n">
        <v>38.756383</v>
      </c>
      <c r="W126" t="n">
        <v>82.655303</v>
      </c>
      <c r="X126" t="n">
        <v>113.898256</v>
      </c>
    </row>
    <row r="127">
      <c r="A127" t="inlineStr">
        <is>
          <t>Salmo trutta</t>
        </is>
      </c>
      <c r="B127" t="n">
        <v>3.36</v>
      </c>
      <c r="C127" t="n">
        <v>229.086765</v>
      </c>
      <c r="D127" t="inlineStr">
        <is>
          <t>Unresolved</t>
        </is>
      </c>
    </row>
    <row r="128">
      <c r="A128" t="inlineStr">
        <is>
          <t>Zoarces viviparus</t>
        </is>
      </c>
      <c r="B128" t="n">
        <v>3.47</v>
      </c>
      <c r="C128" t="n">
        <v>295.120923</v>
      </c>
      <c r="D128" t="inlineStr">
        <is>
          <t>Large Dem. fish</t>
        </is>
      </c>
      <c r="E128" t="n">
        <v>327.790917</v>
      </c>
      <c r="F128" t="n">
        <v>665.972772</v>
      </c>
      <c r="G128" t="n">
        <v>138.073221</v>
      </c>
      <c r="H128" t="n">
        <v>328.210407</v>
      </c>
      <c r="I128" t="n">
        <v>321.185641</v>
      </c>
      <c r="J128" t="n">
        <v>337.306601</v>
      </c>
      <c r="K128" t="n">
        <v>317.068205</v>
      </c>
      <c r="L128" t="n">
        <v>461.958282</v>
      </c>
      <c r="M128" t="n">
        <v>461.958282</v>
      </c>
      <c r="N128" t="n">
        <v>461.958282</v>
      </c>
      <c r="O128" t="n">
        <v>304.533157</v>
      </c>
      <c r="P128" t="n">
        <v>108.42706</v>
      </c>
      <c r="Q128" t="n">
        <v>461.958282</v>
      </c>
      <c r="R128" t="n">
        <v>461.958282</v>
      </c>
      <c r="S128" t="n">
        <v>304.533157</v>
      </c>
      <c r="T128" t="n">
        <v>304.533157</v>
      </c>
      <c r="U128" t="n">
        <v>108.42706</v>
      </c>
      <c r="V128" t="n">
        <v>108.42706</v>
      </c>
      <c r="W128" t="n">
        <v>306.991308</v>
      </c>
      <c r="X128" t="n">
        <v>468.161038</v>
      </c>
    </row>
    <row r="129">
      <c r="A129" t="inlineStr">
        <is>
          <t>Centroscymnus coelolepis</t>
        </is>
      </c>
      <c r="D129" t="inlineStr">
        <is>
          <t>Sharks &amp; rays</t>
        </is>
      </c>
      <c r="E129" t="n">
        <v>327.790917</v>
      </c>
      <c r="F129" t="n">
        <v>522.28227</v>
      </c>
      <c r="G129" t="n">
        <v>114.842938</v>
      </c>
      <c r="H129" t="n">
        <v>326.928715</v>
      </c>
      <c r="I129" t="n">
        <v>732.255138</v>
      </c>
      <c r="J129" t="n">
        <v>761.48662</v>
      </c>
      <c r="K129" t="n">
        <v>327.439247</v>
      </c>
      <c r="L129" t="n">
        <v>1275.246638</v>
      </c>
      <c r="M129" t="n">
        <v>1275.246638</v>
      </c>
      <c r="N129" t="n">
        <v>1275.246638</v>
      </c>
      <c r="O129" t="n">
        <v>317.659957</v>
      </c>
      <c r="P129" t="n">
        <v>115.247551</v>
      </c>
      <c r="Q129" t="n">
        <v>1275.246638</v>
      </c>
      <c r="R129" t="n">
        <v>1275.246638</v>
      </c>
      <c r="S129" t="n">
        <v>317.659957</v>
      </c>
      <c r="T129" t="n">
        <v>317.659957</v>
      </c>
      <c r="U129" t="n">
        <v>115.247551</v>
      </c>
      <c r="V129" t="n">
        <v>115.247551</v>
      </c>
      <c r="W129" t="n">
        <v>327.701462</v>
      </c>
      <c r="X129" t="n">
        <v>1310.378519</v>
      </c>
    </row>
    <row r="130">
      <c r="A130" t="inlineStr">
        <is>
          <t>Leucoraja naevus</t>
        </is>
      </c>
      <c r="B130" t="n">
        <v>4.21</v>
      </c>
      <c r="C130" t="n">
        <v>1621.810097</v>
      </c>
      <c r="D130" t="inlineStr">
        <is>
          <t>Sharks &amp; rays</t>
        </is>
      </c>
      <c r="E130" t="n">
        <v>327.790917</v>
      </c>
      <c r="F130" t="n">
        <v>522.28227</v>
      </c>
      <c r="G130" t="n">
        <v>114.842938</v>
      </c>
      <c r="H130" t="n">
        <v>326.928715</v>
      </c>
      <c r="I130" t="n">
        <v>732.255138</v>
      </c>
      <c r="J130" t="n">
        <v>761.48662</v>
      </c>
      <c r="K130" t="n">
        <v>327.439247</v>
      </c>
      <c r="L130" t="n">
        <v>1275.246638</v>
      </c>
      <c r="M130" t="n">
        <v>1275.246638</v>
      </c>
      <c r="N130" t="n">
        <v>1275.246638</v>
      </c>
      <c r="O130" t="n">
        <v>317.659957</v>
      </c>
      <c r="P130" t="n">
        <v>115.247551</v>
      </c>
      <c r="Q130" t="n">
        <v>1275.246638</v>
      </c>
      <c r="R130" t="n">
        <v>1275.246638</v>
      </c>
      <c r="S130" t="n">
        <v>317.659957</v>
      </c>
      <c r="T130" t="n">
        <v>317.659957</v>
      </c>
      <c r="U130" t="n">
        <v>115.247551</v>
      </c>
      <c r="V130" t="n">
        <v>115.247551</v>
      </c>
      <c r="W130" t="n">
        <v>327.701462</v>
      </c>
      <c r="X130" t="n">
        <v>1310.378519</v>
      </c>
    </row>
    <row r="131">
      <c r="A131" t="inlineStr">
        <is>
          <t>Trisopterus minutus</t>
        </is>
      </c>
      <c r="B131" t="n">
        <v>3.73</v>
      </c>
      <c r="C131" t="n">
        <v>537.031796</v>
      </c>
      <c r="D131" t="inlineStr">
        <is>
          <t>Small pelagics</t>
        </is>
      </c>
      <c r="E131" t="n">
        <v>327.790917</v>
      </c>
      <c r="F131" t="n">
        <v>148.024912</v>
      </c>
      <c r="G131" t="n">
        <v>44.163101</v>
      </c>
      <c r="H131" t="n">
        <v>58.893278</v>
      </c>
      <c r="I131" t="n">
        <v>29.57747</v>
      </c>
      <c r="J131" t="n">
        <v>29.708263</v>
      </c>
      <c r="K131" t="n">
        <v>26.143271</v>
      </c>
      <c r="L131" t="n">
        <v>37.444032</v>
      </c>
      <c r="M131" t="n">
        <v>37.444032</v>
      </c>
      <c r="N131" t="n">
        <v>37.444032</v>
      </c>
      <c r="O131" t="n">
        <v>26.825837</v>
      </c>
      <c r="P131" t="n">
        <v>12.629082</v>
      </c>
      <c r="Q131" t="n">
        <v>37.444032</v>
      </c>
      <c r="R131" t="n">
        <v>37.444032</v>
      </c>
      <c r="S131" t="n">
        <v>26.825837</v>
      </c>
      <c r="T131" t="n">
        <v>26.825837</v>
      </c>
      <c r="U131" t="n">
        <v>12.629082</v>
      </c>
      <c r="V131" t="n">
        <v>12.629082</v>
      </c>
      <c r="W131" t="n">
        <v>26.643813</v>
      </c>
      <c r="X131" t="n">
        <v>39.607714</v>
      </c>
    </row>
    <row r="132">
      <c r="A132" t="inlineStr">
        <is>
          <t>Chondrichthyes</t>
        </is>
      </c>
      <c r="B132" t="n">
        <v>4</v>
      </c>
      <c r="C132" t="n">
        <v>1000</v>
      </c>
      <c r="D132" t="inlineStr">
        <is>
          <t>Unresolved</t>
        </is>
      </c>
    </row>
    <row r="133">
      <c r="A133" t="inlineStr">
        <is>
          <t>Macrourus berglax</t>
        </is>
      </c>
      <c r="B133" t="n">
        <v>4.48</v>
      </c>
      <c r="C133" t="n">
        <v>3019.95172</v>
      </c>
      <c r="D133" t="inlineStr">
        <is>
          <t>Unresolved</t>
        </is>
      </c>
    </row>
    <row r="134">
      <c r="A134" t="inlineStr">
        <is>
          <t>Malacostraca</t>
        </is>
      </c>
      <c r="B134" t="n">
        <v>3</v>
      </c>
      <c r="C134" t="n">
        <v>100</v>
      </c>
      <c r="D134" t="inlineStr">
        <is>
          <t>Crustacea</t>
        </is>
      </c>
      <c r="E134" t="n">
        <v>327.790917</v>
      </c>
      <c r="F134" t="n">
        <v>79.403785</v>
      </c>
      <c r="G134" t="n">
        <v>27.544327</v>
      </c>
      <c r="H134" t="n">
        <v>45.837748</v>
      </c>
      <c r="I134" t="n">
        <v>38.918317</v>
      </c>
      <c r="J134" t="n">
        <v>38.964516</v>
      </c>
      <c r="K134" t="n">
        <v>31.561258</v>
      </c>
      <c r="L134" t="n">
        <v>47.671907</v>
      </c>
      <c r="M134" t="n">
        <v>47.671907</v>
      </c>
      <c r="N134" t="n">
        <v>47.671907</v>
      </c>
      <c r="O134" t="n">
        <v>34.575524</v>
      </c>
      <c r="P134" t="n">
        <v>19.020842</v>
      </c>
      <c r="Q134" t="n">
        <v>47.671907</v>
      </c>
      <c r="R134" t="n">
        <v>47.671907</v>
      </c>
      <c r="S134" t="n">
        <v>34.575524</v>
      </c>
      <c r="T134" t="n">
        <v>34.575524</v>
      </c>
      <c r="U134" t="n">
        <v>19.020842</v>
      </c>
      <c r="V134" t="n">
        <v>19.020842</v>
      </c>
      <c r="W134" t="n">
        <v>34.954015</v>
      </c>
      <c r="X134" t="n">
        <v>47.765312</v>
      </c>
    </row>
    <row r="135">
      <c r="A135" t="inlineStr">
        <is>
          <t>Raja brachyura</t>
        </is>
      </c>
      <c r="B135" t="n">
        <v>3.89</v>
      </c>
      <c r="C135" t="n">
        <v>776.247117</v>
      </c>
      <c r="D135" t="inlineStr">
        <is>
          <t>Sharks &amp; rays</t>
        </is>
      </c>
      <c r="E135" t="n">
        <v>327.790917</v>
      </c>
      <c r="F135" t="n">
        <v>522.28227</v>
      </c>
      <c r="G135" t="n">
        <v>114.842938</v>
      </c>
      <c r="H135" t="n">
        <v>326.928715</v>
      </c>
      <c r="I135" t="n">
        <v>732.255138</v>
      </c>
      <c r="J135" t="n">
        <v>761.48662</v>
      </c>
      <c r="K135" t="n">
        <v>327.439247</v>
      </c>
      <c r="L135" t="n">
        <v>1275.246638</v>
      </c>
      <c r="M135" t="n">
        <v>1275.246638</v>
      </c>
      <c r="N135" t="n">
        <v>1275.246638</v>
      </c>
      <c r="O135" t="n">
        <v>317.659957</v>
      </c>
      <c r="P135" t="n">
        <v>115.247551</v>
      </c>
      <c r="Q135" t="n">
        <v>1275.246638</v>
      </c>
      <c r="R135" t="n">
        <v>1275.246638</v>
      </c>
      <c r="S135" t="n">
        <v>317.659957</v>
      </c>
      <c r="T135" t="n">
        <v>317.659957</v>
      </c>
      <c r="U135" t="n">
        <v>115.247551</v>
      </c>
      <c r="V135" t="n">
        <v>115.247551</v>
      </c>
      <c r="W135" t="n">
        <v>327.701462</v>
      </c>
      <c r="X135" t="n">
        <v>1310.378519</v>
      </c>
    </row>
    <row r="136">
      <c r="A136" t="inlineStr">
        <is>
          <t>Spisula solida</t>
        </is>
      </c>
      <c r="B136" t="n">
        <v>2</v>
      </c>
      <c r="C136" t="n">
        <v>10</v>
      </c>
      <c r="D136" t="inlineStr">
        <is>
          <t>Infauna</t>
        </is>
      </c>
      <c r="E136" t="n">
        <v>327.790917</v>
      </c>
      <c r="F136" t="n">
        <v>10</v>
      </c>
      <c r="G136" t="n">
        <v>5.727631</v>
      </c>
      <c r="H136" t="n">
        <v>5.721903</v>
      </c>
      <c r="I136" t="n">
        <v>4.44</v>
      </c>
      <c r="J136" t="n">
        <v>4.44</v>
      </c>
      <c r="K136" t="n">
        <v>3.996</v>
      </c>
      <c r="L136" t="n">
        <v>3.864936</v>
      </c>
      <c r="M136" t="n">
        <v>3.864936</v>
      </c>
      <c r="N136" t="n">
        <v>3.864936</v>
      </c>
      <c r="O136" t="n">
        <v>4.247203</v>
      </c>
      <c r="P136" t="n">
        <v>3.679841</v>
      </c>
      <c r="Q136" t="n">
        <v>3.864936</v>
      </c>
      <c r="R136" t="n">
        <v>3.864936</v>
      </c>
      <c r="S136" t="n">
        <v>4.247203</v>
      </c>
      <c r="T136" t="n">
        <v>4.247203</v>
      </c>
      <c r="U136" t="n">
        <v>3.679841</v>
      </c>
      <c r="V136" t="n">
        <v>3.679841</v>
      </c>
      <c r="W136" t="n">
        <v>4.187569</v>
      </c>
      <c r="X136" t="n">
        <v>3.928919</v>
      </c>
    </row>
    <row r="137">
      <c r="A137" t="inlineStr">
        <is>
          <t>Aphanopus carbo</t>
        </is>
      </c>
      <c r="B137" t="n">
        <v>4.48</v>
      </c>
      <c r="C137" t="n">
        <v>3019.95172</v>
      </c>
      <c r="D137" t="inlineStr">
        <is>
          <t>Unresolved</t>
        </is>
      </c>
    </row>
    <row r="138">
      <c r="A138" t="inlineStr">
        <is>
          <t>Sebastes</t>
        </is>
      </c>
      <c r="B138" t="n">
        <v>3.79</v>
      </c>
      <c r="C138" t="n">
        <v>616.595002</v>
      </c>
      <c r="D138" t="inlineStr">
        <is>
          <t>Large Dem. fish</t>
        </is>
      </c>
      <c r="E138" t="n">
        <v>327.790917</v>
      </c>
      <c r="F138" t="n">
        <v>665.972772</v>
      </c>
      <c r="G138" t="n">
        <v>138.073221</v>
      </c>
      <c r="H138" t="n">
        <v>328.210407</v>
      </c>
      <c r="I138" t="n">
        <v>321.185641</v>
      </c>
      <c r="J138" t="n">
        <v>337.306601</v>
      </c>
      <c r="K138" t="n">
        <v>317.068205</v>
      </c>
      <c r="L138" t="n">
        <v>461.958282</v>
      </c>
      <c r="M138" t="n">
        <v>461.958282</v>
      </c>
      <c r="N138" t="n">
        <v>461.958282</v>
      </c>
      <c r="O138" t="n">
        <v>304.533157</v>
      </c>
      <c r="P138" t="n">
        <v>108.42706</v>
      </c>
      <c r="Q138" t="n">
        <v>461.958282</v>
      </c>
      <c r="R138" t="n">
        <v>461.958282</v>
      </c>
      <c r="S138" t="n">
        <v>304.533157</v>
      </c>
      <c r="T138" t="n">
        <v>304.533157</v>
      </c>
      <c r="U138" t="n">
        <v>108.42706</v>
      </c>
      <c r="V138" t="n">
        <v>108.42706</v>
      </c>
      <c r="W138" t="n">
        <v>306.991308</v>
      </c>
      <c r="X138" t="n">
        <v>468.161038</v>
      </c>
    </row>
    <row r="139">
      <c r="A139" t="inlineStr">
        <is>
          <t>Trigla</t>
        </is>
      </c>
      <c r="B139" t="n">
        <v>3.51</v>
      </c>
      <c r="C139" t="n">
        <v>323.593657</v>
      </c>
      <c r="D139" t="inlineStr">
        <is>
          <t>Large Dem. fish</t>
        </is>
      </c>
      <c r="E139" t="n">
        <v>327.790917</v>
      </c>
      <c r="F139" t="n">
        <v>665.972772</v>
      </c>
      <c r="G139" t="n">
        <v>138.073221</v>
      </c>
      <c r="H139" t="n">
        <v>328.210407</v>
      </c>
      <c r="I139" t="n">
        <v>321.185641</v>
      </c>
      <c r="J139" t="n">
        <v>337.306601</v>
      </c>
      <c r="K139" t="n">
        <v>317.068205</v>
      </c>
      <c r="L139" t="n">
        <v>461.958282</v>
      </c>
      <c r="M139" t="n">
        <v>461.958282</v>
      </c>
      <c r="N139" t="n">
        <v>461.958282</v>
      </c>
      <c r="O139" t="n">
        <v>304.533157</v>
      </c>
      <c r="P139" t="n">
        <v>108.42706</v>
      </c>
      <c r="Q139" t="n">
        <v>461.958282</v>
      </c>
      <c r="R139" t="n">
        <v>461.958282</v>
      </c>
      <c r="S139" t="n">
        <v>304.533157</v>
      </c>
      <c r="T139" t="n">
        <v>304.533157</v>
      </c>
      <c r="U139" t="n">
        <v>108.42706</v>
      </c>
      <c r="V139" t="n">
        <v>108.42706</v>
      </c>
      <c r="W139" t="n">
        <v>306.991308</v>
      </c>
      <c r="X139" t="n">
        <v>468.161038</v>
      </c>
    </row>
    <row r="140">
      <c r="A140" t="inlineStr">
        <is>
          <t>Sparidae</t>
        </is>
      </c>
      <c r="B140" t="n">
        <v>3.31</v>
      </c>
      <c r="C140" t="n">
        <v>204.173794</v>
      </c>
      <c r="D140" t="inlineStr">
        <is>
          <t>Large Dem. fish</t>
        </is>
      </c>
      <c r="E140" t="n">
        <v>327.790917</v>
      </c>
      <c r="F140" t="n">
        <v>665.972772</v>
      </c>
      <c r="G140" t="n">
        <v>138.073221</v>
      </c>
      <c r="H140" t="n">
        <v>328.210407</v>
      </c>
      <c r="I140" t="n">
        <v>321.185641</v>
      </c>
      <c r="J140" t="n">
        <v>337.306601</v>
      </c>
      <c r="K140" t="n">
        <v>317.068205</v>
      </c>
      <c r="L140" t="n">
        <v>461.958282</v>
      </c>
      <c r="M140" t="n">
        <v>461.958282</v>
      </c>
      <c r="N140" t="n">
        <v>461.958282</v>
      </c>
      <c r="O140" t="n">
        <v>304.533157</v>
      </c>
      <c r="P140" t="n">
        <v>108.42706</v>
      </c>
      <c r="Q140" t="n">
        <v>461.958282</v>
      </c>
      <c r="R140" t="n">
        <v>461.958282</v>
      </c>
      <c r="S140" t="n">
        <v>304.533157</v>
      </c>
      <c r="T140" t="n">
        <v>304.533157</v>
      </c>
      <c r="U140" t="n">
        <v>108.42706</v>
      </c>
      <c r="V140" t="n">
        <v>108.42706</v>
      </c>
      <c r="W140" t="n">
        <v>306.991308</v>
      </c>
      <c r="X140" t="n">
        <v>468.161038</v>
      </c>
    </row>
    <row r="141">
      <c r="A141" t="inlineStr">
        <is>
          <t>Mullus barbatus</t>
        </is>
      </c>
      <c r="B141" t="n">
        <v>3.14</v>
      </c>
      <c r="C141" t="n">
        <v>138.038426</v>
      </c>
      <c r="D141" t="inlineStr">
        <is>
          <t>Large Dem. fish</t>
        </is>
      </c>
      <c r="E141" t="n">
        <v>327.790917</v>
      </c>
      <c r="F141" t="n">
        <v>665.972772</v>
      </c>
      <c r="G141" t="n">
        <v>138.073221</v>
      </c>
      <c r="H141" t="n">
        <v>328.210407</v>
      </c>
      <c r="I141" t="n">
        <v>321.185641</v>
      </c>
      <c r="J141" t="n">
        <v>337.306601</v>
      </c>
      <c r="K141" t="n">
        <v>317.068205</v>
      </c>
      <c r="L141" t="n">
        <v>461.958282</v>
      </c>
      <c r="M141" t="n">
        <v>461.958282</v>
      </c>
      <c r="N141" t="n">
        <v>461.958282</v>
      </c>
      <c r="O141" t="n">
        <v>304.533157</v>
      </c>
      <c r="P141" t="n">
        <v>108.42706</v>
      </c>
      <c r="Q141" t="n">
        <v>461.958282</v>
      </c>
      <c r="R141" t="n">
        <v>461.958282</v>
      </c>
      <c r="S141" t="n">
        <v>304.533157</v>
      </c>
      <c r="T141" t="n">
        <v>304.533157</v>
      </c>
      <c r="U141" t="n">
        <v>108.42706</v>
      </c>
      <c r="V141" t="n">
        <v>108.42706</v>
      </c>
      <c r="W141" t="n">
        <v>306.991308</v>
      </c>
      <c r="X141" t="n">
        <v>468.161038</v>
      </c>
    </row>
    <row r="142">
      <c r="A142" t="inlineStr">
        <is>
          <t>Teuthida</t>
        </is>
      </c>
      <c r="B142" t="n">
        <v>4.13</v>
      </c>
      <c r="C142" t="n">
        <v>1348.962883</v>
      </c>
      <c r="D142" t="inlineStr">
        <is>
          <t>Squid &amp; Octopus</t>
        </is>
      </c>
      <c r="E142" t="n">
        <v>327.790917</v>
      </c>
      <c r="F142" t="n">
        <v>160.967585</v>
      </c>
      <c r="G142" t="n">
        <v>47.060072</v>
      </c>
      <c r="H142" t="n">
        <v>88.258037</v>
      </c>
      <c r="I142" t="n">
        <v>77.00034599999999</v>
      </c>
      <c r="J142" t="n">
        <v>77.34926</v>
      </c>
      <c r="K142" t="n">
        <v>73.481797</v>
      </c>
      <c r="L142" t="n">
        <v>94.097724</v>
      </c>
      <c r="M142" t="n">
        <v>94.097724</v>
      </c>
      <c r="N142" t="n">
        <v>94.097724</v>
      </c>
      <c r="O142" t="n">
        <v>70.413555</v>
      </c>
      <c r="P142" t="n">
        <v>31.50612</v>
      </c>
      <c r="Q142" t="n">
        <v>94.097724</v>
      </c>
      <c r="R142" t="n">
        <v>94.097724</v>
      </c>
      <c r="S142" t="n">
        <v>70.413555</v>
      </c>
      <c r="T142" t="n">
        <v>70.413555</v>
      </c>
      <c r="U142" t="n">
        <v>31.50612</v>
      </c>
      <c r="V142" t="n">
        <v>31.50612</v>
      </c>
      <c r="W142" t="n">
        <v>71.270959</v>
      </c>
      <c r="X142" t="n">
        <v>97.60397</v>
      </c>
    </row>
    <row r="143">
      <c r="A143" t="inlineStr">
        <is>
          <t>Trachurus</t>
        </is>
      </c>
      <c r="B143" t="n">
        <v>3.69</v>
      </c>
      <c r="C143" t="n">
        <v>489.778819</v>
      </c>
      <c r="D143" t="inlineStr">
        <is>
          <t>Large Pelagics</t>
        </is>
      </c>
      <c r="E143" t="n">
        <v>327.790917</v>
      </c>
      <c r="F143" t="n">
        <v>409.325031</v>
      </c>
      <c r="G143" t="n">
        <v>95.473426</v>
      </c>
      <c r="H143" t="n">
        <v>171.971164</v>
      </c>
      <c r="I143" t="n">
        <v>151.710468</v>
      </c>
      <c r="J143" t="n">
        <v>166.941311</v>
      </c>
      <c r="K143" t="n">
        <v>150.24718</v>
      </c>
      <c r="L143" t="n">
        <v>208.675232</v>
      </c>
      <c r="M143" t="n">
        <v>208.675232</v>
      </c>
      <c r="N143" t="n">
        <v>208.675232</v>
      </c>
      <c r="O143" t="n">
        <v>139.225251</v>
      </c>
      <c r="P143" t="n">
        <v>55.587338</v>
      </c>
      <c r="Q143" t="n">
        <v>208.675232</v>
      </c>
      <c r="R143" t="n">
        <v>208.675232</v>
      </c>
      <c r="S143" t="n">
        <v>139.225251</v>
      </c>
      <c r="T143" t="n">
        <v>139.225251</v>
      </c>
      <c r="U143" t="n">
        <v>55.587338</v>
      </c>
      <c r="V143" t="n">
        <v>55.587338</v>
      </c>
      <c r="W143" t="n">
        <v>138.889014</v>
      </c>
      <c r="X143" t="n">
        <v>209.882396</v>
      </c>
    </row>
    <row r="144">
      <c r="A144" t="inlineStr">
        <is>
          <t>Argentina silus</t>
        </is>
      </c>
      <c r="B144" t="n">
        <v>3.32</v>
      </c>
      <c r="C144" t="n">
        <v>208.929613</v>
      </c>
      <c r="D144" t="inlineStr">
        <is>
          <t>Small pelagics</t>
        </is>
      </c>
      <c r="E144" t="n">
        <v>327.790917</v>
      </c>
      <c r="F144" t="n">
        <v>148.024912</v>
      </c>
      <c r="G144" t="n">
        <v>44.163101</v>
      </c>
      <c r="H144" t="n">
        <v>58.893278</v>
      </c>
      <c r="I144" t="n">
        <v>29.57747</v>
      </c>
      <c r="J144" t="n">
        <v>29.708263</v>
      </c>
      <c r="K144" t="n">
        <v>26.143271</v>
      </c>
      <c r="L144" t="n">
        <v>37.444032</v>
      </c>
      <c r="M144" t="n">
        <v>37.444032</v>
      </c>
      <c r="N144" t="n">
        <v>37.444032</v>
      </c>
      <c r="O144" t="n">
        <v>26.825837</v>
      </c>
      <c r="P144" t="n">
        <v>12.629082</v>
      </c>
      <c r="Q144" t="n">
        <v>37.444032</v>
      </c>
      <c r="R144" t="n">
        <v>37.444032</v>
      </c>
      <c r="S144" t="n">
        <v>26.825837</v>
      </c>
      <c r="T144" t="n">
        <v>26.825837</v>
      </c>
      <c r="U144" t="n">
        <v>12.629082</v>
      </c>
      <c r="V144" t="n">
        <v>12.629082</v>
      </c>
      <c r="W144" t="n">
        <v>26.643813</v>
      </c>
      <c r="X144" t="n">
        <v>39.607714</v>
      </c>
    </row>
    <row r="145">
      <c r="A145" t="inlineStr">
        <is>
          <t>Raja montagui</t>
        </is>
      </c>
      <c r="B145" t="n">
        <v>3.88</v>
      </c>
      <c r="C145" t="n">
        <v>758.577575</v>
      </c>
      <c r="D145" t="inlineStr">
        <is>
          <t>Sharks &amp; rays</t>
        </is>
      </c>
      <c r="E145" t="n">
        <v>327.790917</v>
      </c>
      <c r="F145" t="n">
        <v>522.28227</v>
      </c>
      <c r="G145" t="n">
        <v>114.842938</v>
      </c>
      <c r="H145" t="n">
        <v>326.928715</v>
      </c>
      <c r="I145" t="n">
        <v>732.255138</v>
      </c>
      <c r="J145" t="n">
        <v>761.48662</v>
      </c>
      <c r="K145" t="n">
        <v>327.439247</v>
      </c>
      <c r="L145" t="n">
        <v>1275.246638</v>
      </c>
      <c r="M145" t="n">
        <v>1275.246638</v>
      </c>
      <c r="N145" t="n">
        <v>1275.246638</v>
      </c>
      <c r="O145" t="n">
        <v>317.659957</v>
      </c>
      <c r="P145" t="n">
        <v>115.247551</v>
      </c>
      <c r="Q145" t="n">
        <v>1275.246638</v>
      </c>
      <c r="R145" t="n">
        <v>1275.246638</v>
      </c>
      <c r="S145" t="n">
        <v>317.659957</v>
      </c>
      <c r="T145" t="n">
        <v>317.659957</v>
      </c>
      <c r="U145" t="n">
        <v>115.247551</v>
      </c>
      <c r="V145" t="n">
        <v>115.247551</v>
      </c>
      <c r="W145" t="n">
        <v>327.701462</v>
      </c>
      <c r="X145" t="n">
        <v>1310.378519</v>
      </c>
    </row>
    <row r="146">
      <c r="A146" t="inlineStr">
        <is>
          <t>Conger conger</t>
        </is>
      </c>
      <c r="B146" t="n">
        <v>4.31</v>
      </c>
      <c r="C146" t="n">
        <v>2041.737945</v>
      </c>
      <c r="D146" t="inlineStr">
        <is>
          <t>Large Dem. fish</t>
        </is>
      </c>
      <c r="E146" t="n">
        <v>327.790917</v>
      </c>
      <c r="F146" t="n">
        <v>665.972772</v>
      </c>
      <c r="G146" t="n">
        <v>138.073221</v>
      </c>
      <c r="H146" t="n">
        <v>328.210407</v>
      </c>
      <c r="I146" t="n">
        <v>321.185641</v>
      </c>
      <c r="J146" t="n">
        <v>337.306601</v>
      </c>
      <c r="K146" t="n">
        <v>317.068205</v>
      </c>
      <c r="L146" t="n">
        <v>461.958282</v>
      </c>
      <c r="M146" t="n">
        <v>461.958282</v>
      </c>
      <c r="N146" t="n">
        <v>461.958282</v>
      </c>
      <c r="O146" t="n">
        <v>304.533157</v>
      </c>
      <c r="P146" t="n">
        <v>108.42706</v>
      </c>
      <c r="Q146" t="n">
        <v>461.958282</v>
      </c>
      <c r="R146" t="n">
        <v>461.958282</v>
      </c>
      <c r="S146" t="n">
        <v>304.533157</v>
      </c>
      <c r="T146" t="n">
        <v>304.533157</v>
      </c>
      <c r="U146" t="n">
        <v>108.42706</v>
      </c>
      <c r="V146" t="n">
        <v>108.42706</v>
      </c>
      <c r="W146" t="n">
        <v>306.991308</v>
      </c>
      <c r="X146" t="n">
        <v>468.161038</v>
      </c>
    </row>
    <row r="147">
      <c r="A147" t="inlineStr">
        <is>
          <t>Sepia officinalis</t>
        </is>
      </c>
      <c r="B147" t="n">
        <v>4.27</v>
      </c>
      <c r="C147" t="n">
        <v>1862.087137</v>
      </c>
      <c r="D147" t="inlineStr">
        <is>
          <t>Squid &amp; Octopus</t>
        </is>
      </c>
      <c r="E147" t="n">
        <v>327.790917</v>
      </c>
      <c r="F147" t="n">
        <v>160.967585</v>
      </c>
      <c r="G147" t="n">
        <v>47.060072</v>
      </c>
      <c r="H147" t="n">
        <v>88.258037</v>
      </c>
      <c r="I147" t="n">
        <v>77.00034599999999</v>
      </c>
      <c r="J147" t="n">
        <v>77.34926</v>
      </c>
      <c r="K147" t="n">
        <v>73.481797</v>
      </c>
      <c r="L147" t="n">
        <v>94.097724</v>
      </c>
      <c r="M147" t="n">
        <v>94.097724</v>
      </c>
      <c r="N147" t="n">
        <v>94.097724</v>
      </c>
      <c r="O147" t="n">
        <v>70.413555</v>
      </c>
      <c r="P147" t="n">
        <v>31.50612</v>
      </c>
      <c r="Q147" t="n">
        <v>94.097724</v>
      </c>
      <c r="R147" t="n">
        <v>94.097724</v>
      </c>
      <c r="S147" t="n">
        <v>70.413555</v>
      </c>
      <c r="T147" t="n">
        <v>70.413555</v>
      </c>
      <c r="U147" t="n">
        <v>31.50612</v>
      </c>
      <c r="V147" t="n">
        <v>31.50612</v>
      </c>
      <c r="W147" t="n">
        <v>71.270959</v>
      </c>
      <c r="X147" t="n">
        <v>97.60397</v>
      </c>
    </row>
    <row r="148">
      <c r="A148" t="inlineStr">
        <is>
          <t>Balistidae</t>
        </is>
      </c>
      <c r="B148" t="n">
        <v>3.25</v>
      </c>
      <c r="C148" t="n">
        <v>177.827941</v>
      </c>
      <c r="D148" t="inlineStr">
        <is>
          <t>Large Dem. fish</t>
        </is>
      </c>
      <c r="E148" t="n">
        <v>327.790917</v>
      </c>
      <c r="F148" t="n">
        <v>665.972772</v>
      </c>
      <c r="G148" t="n">
        <v>138.073221</v>
      </c>
      <c r="H148" t="n">
        <v>328.210407</v>
      </c>
      <c r="I148" t="n">
        <v>321.185641</v>
      </c>
      <c r="J148" t="n">
        <v>337.306601</v>
      </c>
      <c r="K148" t="n">
        <v>317.068205</v>
      </c>
      <c r="L148" t="n">
        <v>461.958282</v>
      </c>
      <c r="M148" t="n">
        <v>461.958282</v>
      </c>
      <c r="N148" t="n">
        <v>461.958282</v>
      </c>
      <c r="O148" t="n">
        <v>304.533157</v>
      </c>
      <c r="P148" t="n">
        <v>108.42706</v>
      </c>
      <c r="Q148" t="n">
        <v>461.958282</v>
      </c>
      <c r="R148" t="n">
        <v>461.958282</v>
      </c>
      <c r="S148" t="n">
        <v>304.533157</v>
      </c>
      <c r="T148" t="n">
        <v>304.533157</v>
      </c>
      <c r="U148" t="n">
        <v>108.42706</v>
      </c>
      <c r="V148" t="n">
        <v>108.42706</v>
      </c>
      <c r="W148" t="n">
        <v>306.991308</v>
      </c>
      <c r="X148" t="n">
        <v>468.161038</v>
      </c>
    </row>
    <row r="149">
      <c r="A149" t="inlineStr">
        <is>
          <t>Cardiidae</t>
        </is>
      </c>
      <c r="D149" t="inlineStr">
        <is>
          <t>Epifauna</t>
        </is>
      </c>
      <c r="E149" t="n">
        <v>327.790917</v>
      </c>
      <c r="F149" t="n">
        <v>28.994229</v>
      </c>
      <c r="G149" t="n">
        <v>12.834993</v>
      </c>
      <c r="H149" t="n">
        <v>17.954978</v>
      </c>
      <c r="I149" t="n">
        <v>11.374014</v>
      </c>
      <c r="J149" t="n">
        <v>11.374014</v>
      </c>
      <c r="K149" t="n">
        <v>10.009132</v>
      </c>
      <c r="L149" t="n">
        <v>10.950321</v>
      </c>
      <c r="M149" t="n">
        <v>10.950321</v>
      </c>
      <c r="N149" t="n">
        <v>10.950321</v>
      </c>
      <c r="O149" t="n">
        <v>10.041084</v>
      </c>
      <c r="P149" t="n">
        <v>6.846302</v>
      </c>
      <c r="Q149" t="n">
        <v>10.950321</v>
      </c>
      <c r="R149" t="n">
        <v>10.950321</v>
      </c>
      <c r="S149" t="n">
        <v>10.041084</v>
      </c>
      <c r="T149" t="n">
        <v>10.041084</v>
      </c>
      <c r="U149" t="n">
        <v>6.846302</v>
      </c>
      <c r="V149" t="n">
        <v>6.846302</v>
      </c>
      <c r="W149" t="n">
        <v>9.947857000000001</v>
      </c>
      <c r="X149" t="n">
        <v>10.794705</v>
      </c>
    </row>
    <row r="150">
      <c r="A150" t="inlineStr">
        <is>
          <t>Sepiidae</t>
        </is>
      </c>
      <c r="B150" t="n">
        <v>3.6</v>
      </c>
      <c r="C150" t="n">
        <v>398.107171</v>
      </c>
      <c r="D150" t="inlineStr">
        <is>
          <t>Squid &amp; Octopus</t>
        </is>
      </c>
      <c r="E150" t="n">
        <v>327.790917</v>
      </c>
      <c r="F150" t="n">
        <v>160.967585</v>
      </c>
      <c r="G150" t="n">
        <v>47.060072</v>
      </c>
      <c r="H150" t="n">
        <v>88.258037</v>
      </c>
      <c r="I150" t="n">
        <v>77.00034599999999</v>
      </c>
      <c r="J150" t="n">
        <v>77.34926</v>
      </c>
      <c r="K150" t="n">
        <v>73.481797</v>
      </c>
      <c r="L150" t="n">
        <v>94.097724</v>
      </c>
      <c r="M150" t="n">
        <v>94.097724</v>
      </c>
      <c r="N150" t="n">
        <v>94.097724</v>
      </c>
      <c r="O150" t="n">
        <v>70.413555</v>
      </c>
      <c r="P150" t="n">
        <v>31.50612</v>
      </c>
      <c r="Q150" t="n">
        <v>94.097724</v>
      </c>
      <c r="R150" t="n">
        <v>94.097724</v>
      </c>
      <c r="S150" t="n">
        <v>70.413555</v>
      </c>
      <c r="T150" t="n">
        <v>70.413555</v>
      </c>
      <c r="U150" t="n">
        <v>31.50612</v>
      </c>
      <c r="V150" t="n">
        <v>31.50612</v>
      </c>
      <c r="W150" t="n">
        <v>71.270959</v>
      </c>
      <c r="X150" t="n">
        <v>97.60397</v>
      </c>
    </row>
    <row r="151">
      <c r="A151" t="inlineStr">
        <is>
          <t>Palaemon serratus</t>
        </is>
      </c>
      <c r="B151" t="n">
        <v>2.69</v>
      </c>
      <c r="C151" t="n">
        <v>48.977882</v>
      </c>
      <c r="D151" t="inlineStr">
        <is>
          <t>Crustacea</t>
        </is>
      </c>
      <c r="E151" t="n">
        <v>327.790917</v>
      </c>
      <c r="F151" t="n">
        <v>79.403785</v>
      </c>
      <c r="G151" t="n">
        <v>27.544327</v>
      </c>
      <c r="H151" t="n">
        <v>45.837748</v>
      </c>
      <c r="I151" t="n">
        <v>38.918317</v>
      </c>
      <c r="J151" t="n">
        <v>38.964516</v>
      </c>
      <c r="K151" t="n">
        <v>31.561258</v>
      </c>
      <c r="L151" t="n">
        <v>47.671907</v>
      </c>
      <c r="M151" t="n">
        <v>47.671907</v>
      </c>
      <c r="N151" t="n">
        <v>47.671907</v>
      </c>
      <c r="O151" t="n">
        <v>34.575524</v>
      </c>
      <c r="P151" t="n">
        <v>19.020842</v>
      </c>
      <c r="Q151" t="n">
        <v>47.671907</v>
      </c>
      <c r="R151" t="n">
        <v>47.671907</v>
      </c>
      <c r="S151" t="n">
        <v>34.575524</v>
      </c>
      <c r="T151" t="n">
        <v>34.575524</v>
      </c>
      <c r="U151" t="n">
        <v>19.020842</v>
      </c>
      <c r="V151" t="n">
        <v>19.020842</v>
      </c>
      <c r="W151" t="n">
        <v>34.954015</v>
      </c>
      <c r="X151" t="n">
        <v>47.765312</v>
      </c>
    </row>
    <row r="152">
      <c r="A152" t="inlineStr">
        <is>
          <t>Mugilidae</t>
        </is>
      </c>
      <c r="B152" t="n">
        <v>2.53</v>
      </c>
      <c r="C152" t="n">
        <v>33.884416</v>
      </c>
      <c r="D152" t="inlineStr">
        <is>
          <t>Large Dem. fish</t>
        </is>
      </c>
      <c r="E152" t="n">
        <v>327.790917</v>
      </c>
      <c r="F152" t="n">
        <v>665.972772</v>
      </c>
      <c r="G152" t="n">
        <v>138.073221</v>
      </c>
      <c r="H152" t="n">
        <v>328.210407</v>
      </c>
      <c r="I152" t="n">
        <v>321.185641</v>
      </c>
      <c r="J152" t="n">
        <v>337.306601</v>
      </c>
      <c r="K152" t="n">
        <v>317.068205</v>
      </c>
      <c r="L152" t="n">
        <v>461.958282</v>
      </c>
      <c r="M152" t="n">
        <v>461.958282</v>
      </c>
      <c r="N152" t="n">
        <v>461.958282</v>
      </c>
      <c r="O152" t="n">
        <v>304.533157</v>
      </c>
      <c r="P152" t="n">
        <v>108.42706</v>
      </c>
      <c r="Q152" t="n">
        <v>461.958282</v>
      </c>
      <c r="R152" t="n">
        <v>461.958282</v>
      </c>
      <c r="S152" t="n">
        <v>304.533157</v>
      </c>
      <c r="T152" t="n">
        <v>304.533157</v>
      </c>
      <c r="U152" t="n">
        <v>108.42706</v>
      </c>
      <c r="V152" t="n">
        <v>108.42706</v>
      </c>
      <c r="W152" t="n">
        <v>306.991308</v>
      </c>
      <c r="X152" t="n">
        <v>468.161038</v>
      </c>
    </row>
    <row r="153">
      <c r="A153" t="inlineStr">
        <is>
          <t>Mullus surmuletus</t>
        </is>
      </c>
      <c r="B153" t="n">
        <v>3.45</v>
      </c>
      <c r="C153" t="n">
        <v>281.838293</v>
      </c>
      <c r="D153" t="inlineStr">
        <is>
          <t>Large Dem. fish</t>
        </is>
      </c>
      <c r="E153" t="n">
        <v>327.790917</v>
      </c>
      <c r="F153" t="n">
        <v>665.972772</v>
      </c>
      <c r="G153" t="n">
        <v>138.073221</v>
      </c>
      <c r="H153" t="n">
        <v>328.210407</v>
      </c>
      <c r="I153" t="n">
        <v>321.185641</v>
      </c>
      <c r="J153" t="n">
        <v>337.306601</v>
      </c>
      <c r="K153" t="n">
        <v>317.068205</v>
      </c>
      <c r="L153" t="n">
        <v>461.958282</v>
      </c>
      <c r="M153" t="n">
        <v>461.958282</v>
      </c>
      <c r="N153" t="n">
        <v>461.958282</v>
      </c>
      <c r="O153" t="n">
        <v>304.533157</v>
      </c>
      <c r="P153" t="n">
        <v>108.42706</v>
      </c>
      <c r="Q153" t="n">
        <v>461.958282</v>
      </c>
      <c r="R153" t="n">
        <v>461.958282</v>
      </c>
      <c r="S153" t="n">
        <v>304.533157</v>
      </c>
      <c r="T153" t="n">
        <v>304.533157</v>
      </c>
      <c r="U153" t="n">
        <v>108.42706</v>
      </c>
      <c r="V153" t="n">
        <v>108.42706</v>
      </c>
      <c r="W153" t="n">
        <v>306.991308</v>
      </c>
      <c r="X153" t="n">
        <v>468.161038</v>
      </c>
    </row>
    <row r="154">
      <c r="A154" t="inlineStr">
        <is>
          <t>Pandalus</t>
        </is>
      </c>
      <c r="B154" t="n">
        <v>2.6</v>
      </c>
      <c r="C154" t="n">
        <v>39.810717</v>
      </c>
      <c r="D154" t="inlineStr">
        <is>
          <t>Crustacea</t>
        </is>
      </c>
      <c r="E154" t="n">
        <v>327.790917</v>
      </c>
      <c r="F154" t="n">
        <v>79.403785</v>
      </c>
      <c r="G154" t="n">
        <v>27.544327</v>
      </c>
      <c r="H154" t="n">
        <v>45.837748</v>
      </c>
      <c r="I154" t="n">
        <v>38.918317</v>
      </c>
      <c r="J154" t="n">
        <v>38.964516</v>
      </c>
      <c r="K154" t="n">
        <v>31.561258</v>
      </c>
      <c r="L154" t="n">
        <v>47.671907</v>
      </c>
      <c r="M154" t="n">
        <v>47.671907</v>
      </c>
      <c r="N154" t="n">
        <v>47.671907</v>
      </c>
      <c r="O154" t="n">
        <v>34.575524</v>
      </c>
      <c r="P154" t="n">
        <v>19.020842</v>
      </c>
      <c r="Q154" t="n">
        <v>47.671907</v>
      </c>
      <c r="R154" t="n">
        <v>47.671907</v>
      </c>
      <c r="S154" t="n">
        <v>34.575524</v>
      </c>
      <c r="T154" t="n">
        <v>34.575524</v>
      </c>
      <c r="U154" t="n">
        <v>19.020842</v>
      </c>
      <c r="V154" t="n">
        <v>19.020842</v>
      </c>
      <c r="W154" t="n">
        <v>34.954015</v>
      </c>
      <c r="X154" t="n">
        <v>47.765312</v>
      </c>
    </row>
    <row r="155">
      <c r="A155" t="inlineStr">
        <is>
          <t>Gasterosteus aculeatus</t>
        </is>
      </c>
      <c r="B155" t="n">
        <v>3.31</v>
      </c>
      <c r="C155" t="n">
        <v>204.173794</v>
      </c>
      <c r="D155" t="inlineStr">
        <is>
          <t>Large Dem. fish</t>
        </is>
      </c>
      <c r="E155" t="n">
        <v>327.790917</v>
      </c>
      <c r="F155" t="n">
        <v>665.972772</v>
      </c>
      <c r="G155" t="n">
        <v>138.073221</v>
      </c>
      <c r="H155" t="n">
        <v>328.210407</v>
      </c>
      <c r="I155" t="n">
        <v>321.185641</v>
      </c>
      <c r="J155" t="n">
        <v>337.306601</v>
      </c>
      <c r="K155" t="n">
        <v>317.068205</v>
      </c>
      <c r="L155" t="n">
        <v>461.958282</v>
      </c>
      <c r="M155" t="n">
        <v>461.958282</v>
      </c>
      <c r="N155" t="n">
        <v>461.958282</v>
      </c>
      <c r="O155" t="n">
        <v>304.533157</v>
      </c>
      <c r="P155" t="n">
        <v>108.42706</v>
      </c>
      <c r="Q155" t="n">
        <v>461.958282</v>
      </c>
      <c r="R155" t="n">
        <v>461.958282</v>
      </c>
      <c r="S155" t="n">
        <v>304.533157</v>
      </c>
      <c r="T155" t="n">
        <v>304.533157</v>
      </c>
      <c r="U155" t="n">
        <v>108.42706</v>
      </c>
      <c r="V155" t="n">
        <v>108.42706</v>
      </c>
      <c r="W155" t="n">
        <v>306.991308</v>
      </c>
      <c r="X155" t="n">
        <v>468.161038</v>
      </c>
    </row>
    <row r="156">
      <c r="A156" t="inlineStr">
        <is>
          <t>Buccinidae</t>
        </is>
      </c>
      <c r="D156" t="inlineStr">
        <is>
          <t>Epifauna</t>
        </is>
      </c>
      <c r="E156" t="n">
        <v>327.790917</v>
      </c>
      <c r="F156" t="n">
        <v>28.994229</v>
      </c>
      <c r="G156" t="n">
        <v>12.834993</v>
      </c>
      <c r="H156" t="n">
        <v>17.954978</v>
      </c>
      <c r="I156" t="n">
        <v>11.374014</v>
      </c>
      <c r="J156" t="n">
        <v>11.374014</v>
      </c>
      <c r="K156" t="n">
        <v>10.009132</v>
      </c>
      <c r="L156" t="n">
        <v>10.950321</v>
      </c>
      <c r="M156" t="n">
        <v>10.950321</v>
      </c>
      <c r="N156" t="n">
        <v>10.950321</v>
      </c>
      <c r="O156" t="n">
        <v>10.041084</v>
      </c>
      <c r="P156" t="n">
        <v>6.846302</v>
      </c>
      <c r="Q156" t="n">
        <v>10.950321</v>
      </c>
      <c r="R156" t="n">
        <v>10.950321</v>
      </c>
      <c r="S156" t="n">
        <v>10.041084</v>
      </c>
      <c r="T156" t="n">
        <v>10.041084</v>
      </c>
      <c r="U156" t="n">
        <v>6.846302</v>
      </c>
      <c r="V156" t="n">
        <v>6.846302</v>
      </c>
      <c r="W156" t="n">
        <v>9.947857000000001</v>
      </c>
      <c r="X156" t="n">
        <v>10.794705</v>
      </c>
    </row>
    <row r="157">
      <c r="A157" t="inlineStr">
        <is>
          <t>Mullidae</t>
        </is>
      </c>
      <c r="B157" t="n">
        <v>3.46</v>
      </c>
      <c r="C157" t="n">
        <v>288.40315</v>
      </c>
      <c r="D157" t="inlineStr">
        <is>
          <t>Large Dem. fish</t>
        </is>
      </c>
      <c r="E157" t="n">
        <v>327.790917</v>
      </c>
      <c r="F157" t="n">
        <v>665.972772</v>
      </c>
      <c r="G157" t="n">
        <v>138.073221</v>
      </c>
      <c r="H157" t="n">
        <v>328.210407</v>
      </c>
      <c r="I157" t="n">
        <v>321.185641</v>
      </c>
      <c r="J157" t="n">
        <v>337.306601</v>
      </c>
      <c r="K157" t="n">
        <v>317.068205</v>
      </c>
      <c r="L157" t="n">
        <v>461.958282</v>
      </c>
      <c r="M157" t="n">
        <v>461.958282</v>
      </c>
      <c r="N157" t="n">
        <v>461.958282</v>
      </c>
      <c r="O157" t="n">
        <v>304.533157</v>
      </c>
      <c r="P157" t="n">
        <v>108.42706</v>
      </c>
      <c r="Q157" t="n">
        <v>461.958282</v>
      </c>
      <c r="R157" t="n">
        <v>461.958282</v>
      </c>
      <c r="S157" t="n">
        <v>304.533157</v>
      </c>
      <c r="T157" t="n">
        <v>304.533157</v>
      </c>
      <c r="U157" t="n">
        <v>108.42706</v>
      </c>
      <c r="V157" t="n">
        <v>108.42706</v>
      </c>
      <c r="W157" t="n">
        <v>306.991308</v>
      </c>
      <c r="X157" t="n">
        <v>468.161038</v>
      </c>
    </row>
    <row r="158">
      <c r="A158" t="inlineStr">
        <is>
          <t>Littorina littorea</t>
        </is>
      </c>
      <c r="B158" t="n">
        <v>2</v>
      </c>
      <c r="C158" t="n">
        <v>10</v>
      </c>
      <c r="D158" t="inlineStr">
        <is>
          <t>Epifauna</t>
        </is>
      </c>
      <c r="E158" t="n">
        <v>327.790917</v>
      </c>
      <c r="F158" t="n">
        <v>28.994229</v>
      </c>
      <c r="G158" t="n">
        <v>12.834993</v>
      </c>
      <c r="H158" t="n">
        <v>17.954978</v>
      </c>
      <c r="I158" t="n">
        <v>11.374014</v>
      </c>
      <c r="J158" t="n">
        <v>11.374014</v>
      </c>
      <c r="K158" t="n">
        <v>10.009132</v>
      </c>
      <c r="L158" t="n">
        <v>10.950321</v>
      </c>
      <c r="M158" t="n">
        <v>10.950321</v>
      </c>
      <c r="N158" t="n">
        <v>10.950321</v>
      </c>
      <c r="O158" t="n">
        <v>10.041084</v>
      </c>
      <c r="P158" t="n">
        <v>6.846302</v>
      </c>
      <c r="Q158" t="n">
        <v>10.950321</v>
      </c>
      <c r="R158" t="n">
        <v>10.950321</v>
      </c>
      <c r="S158" t="n">
        <v>10.041084</v>
      </c>
      <c r="T158" t="n">
        <v>10.041084</v>
      </c>
      <c r="U158" t="n">
        <v>6.846302</v>
      </c>
      <c r="V158" t="n">
        <v>6.846302</v>
      </c>
      <c r="W158" t="n">
        <v>9.947857000000001</v>
      </c>
      <c r="X158" t="n">
        <v>10.794705</v>
      </c>
    </row>
    <row r="159">
      <c r="A159" t="inlineStr">
        <is>
          <t>Spondyliosoma cantharus</t>
        </is>
      </c>
      <c r="B159" t="n">
        <v>3.34</v>
      </c>
      <c r="C159" t="n">
        <v>218.776162</v>
      </c>
      <c r="D159" t="inlineStr">
        <is>
          <t>Large Dem. fish</t>
        </is>
      </c>
      <c r="E159" t="n">
        <v>327.790917</v>
      </c>
      <c r="F159" t="n">
        <v>665.972772</v>
      </c>
      <c r="G159" t="n">
        <v>138.073221</v>
      </c>
      <c r="H159" t="n">
        <v>328.210407</v>
      </c>
      <c r="I159" t="n">
        <v>321.185641</v>
      </c>
      <c r="J159" t="n">
        <v>337.306601</v>
      </c>
      <c r="K159" t="n">
        <v>317.068205</v>
      </c>
      <c r="L159" t="n">
        <v>461.958282</v>
      </c>
      <c r="M159" t="n">
        <v>461.958282</v>
      </c>
      <c r="N159" t="n">
        <v>461.958282</v>
      </c>
      <c r="O159" t="n">
        <v>304.533157</v>
      </c>
      <c r="P159" t="n">
        <v>108.42706</v>
      </c>
      <c r="Q159" t="n">
        <v>461.958282</v>
      </c>
      <c r="R159" t="n">
        <v>461.958282</v>
      </c>
      <c r="S159" t="n">
        <v>304.533157</v>
      </c>
      <c r="T159" t="n">
        <v>304.533157</v>
      </c>
      <c r="U159" t="n">
        <v>108.42706</v>
      </c>
      <c r="V159" t="n">
        <v>108.42706</v>
      </c>
      <c r="W159" t="n">
        <v>306.991308</v>
      </c>
      <c r="X159" t="n">
        <v>468.161038</v>
      </c>
    </row>
    <row r="160">
      <c r="A160" t="inlineStr">
        <is>
          <t>Chamelea gallina</t>
        </is>
      </c>
      <c r="B160" t="n">
        <v>2.1</v>
      </c>
      <c r="C160" t="n">
        <v>12.589254</v>
      </c>
      <c r="D160" t="inlineStr">
        <is>
          <t>Infauna</t>
        </is>
      </c>
      <c r="E160" t="n">
        <v>327.790917</v>
      </c>
      <c r="F160" t="n">
        <v>10</v>
      </c>
      <c r="G160" t="n">
        <v>5.727631</v>
      </c>
      <c r="H160" t="n">
        <v>5.721903</v>
      </c>
      <c r="I160" t="n">
        <v>4.44</v>
      </c>
      <c r="J160" t="n">
        <v>4.44</v>
      </c>
      <c r="K160" t="n">
        <v>3.996</v>
      </c>
      <c r="L160" t="n">
        <v>3.864936</v>
      </c>
      <c r="M160" t="n">
        <v>3.864936</v>
      </c>
      <c r="N160" t="n">
        <v>3.864936</v>
      </c>
      <c r="O160" t="n">
        <v>4.247203</v>
      </c>
      <c r="P160" t="n">
        <v>3.679841</v>
      </c>
      <c r="Q160" t="n">
        <v>3.864936</v>
      </c>
      <c r="R160" t="n">
        <v>3.864936</v>
      </c>
      <c r="S160" t="n">
        <v>4.247203</v>
      </c>
      <c r="T160" t="n">
        <v>4.247203</v>
      </c>
      <c r="U160" t="n">
        <v>3.679841</v>
      </c>
      <c r="V160" t="n">
        <v>3.679841</v>
      </c>
      <c r="W160" t="n">
        <v>4.187569</v>
      </c>
      <c r="X160" t="n">
        <v>3.928919</v>
      </c>
    </row>
    <row r="161">
      <c r="A161" t="inlineStr">
        <is>
          <t>Loligo</t>
        </is>
      </c>
      <c r="B161" t="n">
        <v>3.99</v>
      </c>
      <c r="C161" t="n">
        <v>977.237221</v>
      </c>
      <c r="D161" t="inlineStr">
        <is>
          <t>Squid &amp; Octopus</t>
        </is>
      </c>
      <c r="E161" t="n">
        <v>327.790917</v>
      </c>
      <c r="F161" t="n">
        <v>160.967585</v>
      </c>
      <c r="G161" t="n">
        <v>47.060072</v>
      </c>
      <c r="H161" t="n">
        <v>88.258037</v>
      </c>
      <c r="I161" t="n">
        <v>77.00034599999999</v>
      </c>
      <c r="J161" t="n">
        <v>77.34926</v>
      </c>
      <c r="K161" t="n">
        <v>73.481797</v>
      </c>
      <c r="L161" t="n">
        <v>94.097724</v>
      </c>
      <c r="M161" t="n">
        <v>94.097724</v>
      </c>
      <c r="N161" t="n">
        <v>94.097724</v>
      </c>
      <c r="O161" t="n">
        <v>70.413555</v>
      </c>
      <c r="P161" t="n">
        <v>31.50612</v>
      </c>
      <c r="Q161" t="n">
        <v>94.097724</v>
      </c>
      <c r="R161" t="n">
        <v>94.097724</v>
      </c>
      <c r="S161" t="n">
        <v>70.413555</v>
      </c>
      <c r="T161" t="n">
        <v>70.413555</v>
      </c>
      <c r="U161" t="n">
        <v>31.50612</v>
      </c>
      <c r="V161" t="n">
        <v>31.50612</v>
      </c>
      <c r="W161" t="n">
        <v>71.270959</v>
      </c>
      <c r="X161" t="n">
        <v>97.60397</v>
      </c>
    </row>
    <row r="162">
      <c r="A162" t="inlineStr">
        <is>
          <t>Rajidae</t>
        </is>
      </c>
      <c r="B162" t="n">
        <v>3.82</v>
      </c>
      <c r="C162" t="n">
        <v>660.693448</v>
      </c>
      <c r="D162" t="inlineStr">
        <is>
          <t>Sharks &amp; rays</t>
        </is>
      </c>
      <c r="E162" t="n">
        <v>327.790917</v>
      </c>
      <c r="F162" t="n">
        <v>522.28227</v>
      </c>
      <c r="G162" t="n">
        <v>114.842938</v>
      </c>
      <c r="H162" t="n">
        <v>326.928715</v>
      </c>
      <c r="I162" t="n">
        <v>732.255138</v>
      </c>
      <c r="J162" t="n">
        <v>761.48662</v>
      </c>
      <c r="K162" t="n">
        <v>327.439247</v>
      </c>
      <c r="L162" t="n">
        <v>1275.246638</v>
      </c>
      <c r="M162" t="n">
        <v>1275.246638</v>
      </c>
      <c r="N162" t="n">
        <v>1275.246638</v>
      </c>
      <c r="O162" t="n">
        <v>317.659957</v>
      </c>
      <c r="P162" t="n">
        <v>115.247551</v>
      </c>
      <c r="Q162" t="n">
        <v>1275.246638</v>
      </c>
      <c r="R162" t="n">
        <v>1275.246638</v>
      </c>
      <c r="S162" t="n">
        <v>317.659957</v>
      </c>
      <c r="T162" t="n">
        <v>317.659957</v>
      </c>
      <c r="U162" t="n">
        <v>115.247551</v>
      </c>
      <c r="V162" t="n">
        <v>115.247551</v>
      </c>
      <c r="W162" t="n">
        <v>327.701462</v>
      </c>
      <c r="X162" t="n">
        <v>1310.378519</v>
      </c>
    </row>
    <row r="163">
      <c r="A163" t="inlineStr">
        <is>
          <t>Mustelus mustelus</t>
        </is>
      </c>
      <c r="B163" t="n">
        <v>3.75</v>
      </c>
      <c r="C163" t="n">
        <v>562.341325</v>
      </c>
      <c r="D163" t="inlineStr">
        <is>
          <t>Sharks &amp; rays</t>
        </is>
      </c>
      <c r="E163" t="n">
        <v>327.790917</v>
      </c>
      <c r="F163" t="n">
        <v>522.28227</v>
      </c>
      <c r="G163" t="n">
        <v>114.842938</v>
      </c>
      <c r="H163" t="n">
        <v>326.928715</v>
      </c>
      <c r="I163" t="n">
        <v>732.255138</v>
      </c>
      <c r="J163" t="n">
        <v>761.48662</v>
      </c>
      <c r="K163" t="n">
        <v>327.439247</v>
      </c>
      <c r="L163" t="n">
        <v>1275.246638</v>
      </c>
      <c r="M163" t="n">
        <v>1275.246638</v>
      </c>
      <c r="N163" t="n">
        <v>1275.246638</v>
      </c>
      <c r="O163" t="n">
        <v>317.659957</v>
      </c>
      <c r="P163" t="n">
        <v>115.247551</v>
      </c>
      <c r="Q163" t="n">
        <v>1275.246638</v>
      </c>
      <c r="R163" t="n">
        <v>1275.246638</v>
      </c>
      <c r="S163" t="n">
        <v>317.659957</v>
      </c>
      <c r="T163" t="n">
        <v>317.659957</v>
      </c>
      <c r="U163" t="n">
        <v>115.247551</v>
      </c>
      <c r="V163" t="n">
        <v>115.247551</v>
      </c>
      <c r="W163" t="n">
        <v>327.701462</v>
      </c>
      <c r="X163" t="n">
        <v>1310.378519</v>
      </c>
    </row>
    <row r="164">
      <c r="A164" t="inlineStr">
        <is>
          <t>Raja microocellata</t>
        </is>
      </c>
      <c r="B164" t="n">
        <v>3.94</v>
      </c>
      <c r="C164" t="n">
        <v>870.96359</v>
      </c>
      <c r="D164" t="inlineStr">
        <is>
          <t>Sharks &amp; rays</t>
        </is>
      </c>
      <c r="E164" t="n">
        <v>327.790917</v>
      </c>
      <c r="F164" t="n">
        <v>522.28227</v>
      </c>
      <c r="G164" t="n">
        <v>114.842938</v>
      </c>
      <c r="H164" t="n">
        <v>326.928715</v>
      </c>
      <c r="I164" t="n">
        <v>732.255138</v>
      </c>
      <c r="J164" t="n">
        <v>761.48662</v>
      </c>
      <c r="K164" t="n">
        <v>327.439247</v>
      </c>
      <c r="L164" t="n">
        <v>1275.246638</v>
      </c>
      <c r="M164" t="n">
        <v>1275.246638</v>
      </c>
      <c r="N164" t="n">
        <v>1275.246638</v>
      </c>
      <c r="O164" t="n">
        <v>317.659957</v>
      </c>
      <c r="P164" t="n">
        <v>115.247551</v>
      </c>
      <c r="Q164" t="n">
        <v>1275.246638</v>
      </c>
      <c r="R164" t="n">
        <v>1275.246638</v>
      </c>
      <c r="S164" t="n">
        <v>317.659957</v>
      </c>
      <c r="T164" t="n">
        <v>317.659957</v>
      </c>
      <c r="U164" t="n">
        <v>115.247551</v>
      </c>
      <c r="V164" t="n">
        <v>115.247551</v>
      </c>
      <c r="W164" t="n">
        <v>327.701462</v>
      </c>
      <c r="X164" t="n">
        <v>1310.378519</v>
      </c>
    </row>
    <row r="165">
      <c r="A165" t="inlineStr">
        <is>
          <t>Clupeiformes</t>
        </is>
      </c>
      <c r="B165" t="n">
        <v>3.24</v>
      </c>
      <c r="C165" t="n">
        <v>173.780083</v>
      </c>
      <c r="D165" t="inlineStr">
        <is>
          <t>Herring | Small pelagics</t>
        </is>
      </c>
      <c r="E165" t="n">
        <v>327.790917</v>
      </c>
      <c r="F165" t="n">
        <v>186.736249</v>
      </c>
      <c r="G165" t="n">
        <v>52.535339</v>
      </c>
      <c r="H165" t="n">
        <v>74.14608800000001</v>
      </c>
      <c r="I165" t="n">
        <v>36.101934</v>
      </c>
      <c r="J165" t="n">
        <v>36.167334</v>
      </c>
      <c r="K165" t="n">
        <v>32.326352</v>
      </c>
      <c r="L165" t="n">
        <v>46.762497</v>
      </c>
      <c r="M165" t="n">
        <v>46.762497</v>
      </c>
      <c r="N165" t="n">
        <v>46.762497</v>
      </c>
      <c r="O165" t="n">
        <v>33.099579</v>
      </c>
      <c r="P165" t="n">
        <v>14.938245</v>
      </c>
      <c r="Q165" t="n">
        <v>46.762497</v>
      </c>
      <c r="R165" t="n">
        <v>46.762497</v>
      </c>
      <c r="S165" t="n">
        <v>33.099579</v>
      </c>
      <c r="T165" t="n">
        <v>33.099579</v>
      </c>
      <c r="U165" t="n">
        <v>14.938245</v>
      </c>
      <c r="V165" t="n">
        <v>14.938245</v>
      </c>
      <c r="W165" t="n">
        <v>33.746209</v>
      </c>
      <c r="X165" t="n">
        <v>49.739782</v>
      </c>
    </row>
    <row r="166">
      <c r="A166" t="inlineStr">
        <is>
          <t>Capros aper</t>
        </is>
      </c>
      <c r="B166" t="n">
        <v>3.14</v>
      </c>
      <c r="C166" t="n">
        <v>138.038426</v>
      </c>
      <c r="D166" t="inlineStr">
        <is>
          <t>Large Dem. fish</t>
        </is>
      </c>
      <c r="E166" t="n">
        <v>327.790917</v>
      </c>
      <c r="F166" t="n">
        <v>665.972772</v>
      </c>
      <c r="G166" t="n">
        <v>138.073221</v>
      </c>
      <c r="H166" t="n">
        <v>328.210407</v>
      </c>
      <c r="I166" t="n">
        <v>321.185641</v>
      </c>
      <c r="J166" t="n">
        <v>337.306601</v>
      </c>
      <c r="K166" t="n">
        <v>317.068205</v>
      </c>
      <c r="L166" t="n">
        <v>461.958282</v>
      </c>
      <c r="M166" t="n">
        <v>461.958282</v>
      </c>
      <c r="N166" t="n">
        <v>461.958282</v>
      </c>
      <c r="O166" t="n">
        <v>304.533157</v>
      </c>
      <c r="P166" t="n">
        <v>108.42706</v>
      </c>
      <c r="Q166" t="n">
        <v>461.958282</v>
      </c>
      <c r="R166" t="n">
        <v>461.958282</v>
      </c>
      <c r="S166" t="n">
        <v>304.533157</v>
      </c>
      <c r="T166" t="n">
        <v>304.533157</v>
      </c>
      <c r="U166" t="n">
        <v>108.42706</v>
      </c>
      <c r="V166" t="n">
        <v>108.42706</v>
      </c>
      <c r="W166" t="n">
        <v>306.991308</v>
      </c>
      <c r="X166" t="n">
        <v>468.161038</v>
      </c>
    </row>
    <row r="167">
      <c r="A167" t="inlineStr">
        <is>
          <t>Argentina sphyraena</t>
        </is>
      </c>
      <c r="B167" t="n">
        <v>3.62</v>
      </c>
      <c r="C167" t="n">
        <v>416.869383</v>
      </c>
      <c r="D167" t="inlineStr">
        <is>
          <t>Small pelagics</t>
        </is>
      </c>
      <c r="E167" t="n">
        <v>327.790917</v>
      </c>
      <c r="F167" t="n">
        <v>148.024912</v>
      </c>
      <c r="G167" t="n">
        <v>44.163101</v>
      </c>
      <c r="H167" t="n">
        <v>58.893278</v>
      </c>
      <c r="I167" t="n">
        <v>29.57747</v>
      </c>
      <c r="J167" t="n">
        <v>29.708263</v>
      </c>
      <c r="K167" t="n">
        <v>26.143271</v>
      </c>
      <c r="L167" t="n">
        <v>37.444032</v>
      </c>
      <c r="M167" t="n">
        <v>37.444032</v>
      </c>
      <c r="N167" t="n">
        <v>37.444032</v>
      </c>
      <c r="O167" t="n">
        <v>26.825837</v>
      </c>
      <c r="P167" t="n">
        <v>12.629082</v>
      </c>
      <c r="Q167" t="n">
        <v>37.444032</v>
      </c>
      <c r="R167" t="n">
        <v>37.444032</v>
      </c>
      <c r="S167" t="n">
        <v>26.825837</v>
      </c>
      <c r="T167" t="n">
        <v>26.825837</v>
      </c>
      <c r="U167" t="n">
        <v>12.629082</v>
      </c>
      <c r="V167" t="n">
        <v>12.629082</v>
      </c>
      <c r="W167" t="n">
        <v>26.643813</v>
      </c>
      <c r="X167" t="n">
        <v>39.607714</v>
      </c>
    </row>
    <row r="168">
      <c r="A168" t="inlineStr">
        <is>
          <t>Coregonus</t>
        </is>
      </c>
      <c r="B168" t="n">
        <v>3.3</v>
      </c>
      <c r="C168" t="n">
        <v>199.526231</v>
      </c>
      <c r="D168" t="inlineStr">
        <is>
          <t>Unresolved</t>
        </is>
      </c>
    </row>
    <row r="169">
      <c r="A169" t="inlineStr">
        <is>
          <t>Brama brama</t>
        </is>
      </c>
      <c r="B169" t="n">
        <v>4.08</v>
      </c>
      <c r="C169" t="n">
        <v>1202.264435</v>
      </c>
      <c r="D169" t="inlineStr">
        <is>
          <t>Unresolved</t>
        </is>
      </c>
    </row>
    <row r="170">
      <c r="A170" t="inlineStr">
        <is>
          <t>Leucoraja fullonica</t>
        </is>
      </c>
      <c r="B170" t="n">
        <v>3.5</v>
      </c>
      <c r="C170" t="n">
        <v>316.227766</v>
      </c>
      <c r="D170" t="inlineStr">
        <is>
          <t>Sharks &amp; rays</t>
        </is>
      </c>
      <c r="E170" t="n">
        <v>327.790917</v>
      </c>
      <c r="F170" t="n">
        <v>522.28227</v>
      </c>
      <c r="G170" t="n">
        <v>114.842938</v>
      </c>
      <c r="H170" t="n">
        <v>326.928715</v>
      </c>
      <c r="I170" t="n">
        <v>732.255138</v>
      </c>
      <c r="J170" t="n">
        <v>761.48662</v>
      </c>
      <c r="K170" t="n">
        <v>327.439247</v>
      </c>
      <c r="L170" t="n">
        <v>1275.246638</v>
      </c>
      <c r="M170" t="n">
        <v>1275.246638</v>
      </c>
      <c r="N170" t="n">
        <v>1275.246638</v>
      </c>
      <c r="O170" t="n">
        <v>317.659957</v>
      </c>
      <c r="P170" t="n">
        <v>115.247551</v>
      </c>
      <c r="Q170" t="n">
        <v>1275.246638</v>
      </c>
      <c r="R170" t="n">
        <v>1275.246638</v>
      </c>
      <c r="S170" t="n">
        <v>317.659957</v>
      </c>
      <c r="T170" t="n">
        <v>317.659957</v>
      </c>
      <c r="U170" t="n">
        <v>115.247551</v>
      </c>
      <c r="V170" t="n">
        <v>115.247551</v>
      </c>
      <c r="W170" t="n">
        <v>327.701462</v>
      </c>
      <c r="X170" t="n">
        <v>1310.378519</v>
      </c>
    </row>
    <row r="171">
      <c r="A171" t="inlineStr">
        <is>
          <t>Magallana gigas</t>
        </is>
      </c>
      <c r="B171" t="n">
        <v>2</v>
      </c>
      <c r="C171" t="n">
        <v>10</v>
      </c>
      <c r="D171" t="inlineStr">
        <is>
          <t>Epifauna</t>
        </is>
      </c>
      <c r="E171" t="n">
        <v>327.790917</v>
      </c>
      <c r="F171" t="n">
        <v>28.994229</v>
      </c>
      <c r="G171" t="n">
        <v>12.834993</v>
      </c>
      <c r="H171" t="n">
        <v>17.954978</v>
      </c>
      <c r="I171" t="n">
        <v>11.374014</v>
      </c>
      <c r="J171" t="n">
        <v>11.374014</v>
      </c>
      <c r="K171" t="n">
        <v>10.009132</v>
      </c>
      <c r="L171" t="n">
        <v>10.950321</v>
      </c>
      <c r="M171" t="n">
        <v>10.950321</v>
      </c>
      <c r="N171" t="n">
        <v>10.950321</v>
      </c>
      <c r="O171" t="n">
        <v>10.041084</v>
      </c>
      <c r="P171" t="n">
        <v>6.846302</v>
      </c>
      <c r="Q171" t="n">
        <v>10.950321</v>
      </c>
      <c r="R171" t="n">
        <v>10.950321</v>
      </c>
      <c r="S171" t="n">
        <v>10.041084</v>
      </c>
      <c r="T171" t="n">
        <v>10.041084</v>
      </c>
      <c r="U171" t="n">
        <v>6.846302</v>
      </c>
      <c r="V171" t="n">
        <v>6.846302</v>
      </c>
      <c r="W171" t="n">
        <v>9.947857000000001</v>
      </c>
      <c r="X171" t="n">
        <v>10.794705</v>
      </c>
    </row>
    <row r="172">
      <c r="A172" t="inlineStr">
        <is>
          <t>Perca fluviatilis</t>
        </is>
      </c>
      <c r="B172" t="n">
        <v>4.35</v>
      </c>
      <c r="C172" t="n">
        <v>2238.721139</v>
      </c>
      <c r="D172" t="inlineStr">
        <is>
          <t>Unresolved</t>
        </is>
      </c>
    </row>
    <row r="173">
      <c r="A173" t="inlineStr">
        <is>
          <t>Esox lucius</t>
        </is>
      </c>
      <c r="B173" t="n">
        <v>4.07</v>
      </c>
      <c r="C173" t="n">
        <v>1174.897555</v>
      </c>
      <c r="D173" t="inlineStr">
        <is>
          <t>Unresolved</t>
        </is>
      </c>
    </row>
    <row r="174">
      <c r="A174" t="inlineStr">
        <is>
          <t>Scyliorhinus</t>
        </is>
      </c>
      <c r="B174" t="n">
        <v>3.86</v>
      </c>
      <c r="C174" t="n">
        <v>724.43596</v>
      </c>
      <c r="D174" t="inlineStr">
        <is>
          <t>Sharks &amp; rays</t>
        </is>
      </c>
      <c r="E174" t="n">
        <v>327.790917</v>
      </c>
      <c r="F174" t="n">
        <v>522.28227</v>
      </c>
      <c r="G174" t="n">
        <v>114.842938</v>
      </c>
      <c r="H174" t="n">
        <v>326.928715</v>
      </c>
      <c r="I174" t="n">
        <v>732.255138</v>
      </c>
      <c r="J174" t="n">
        <v>761.48662</v>
      </c>
      <c r="K174" t="n">
        <v>327.439247</v>
      </c>
      <c r="L174" t="n">
        <v>1275.246638</v>
      </c>
      <c r="M174" t="n">
        <v>1275.246638</v>
      </c>
      <c r="N174" t="n">
        <v>1275.246638</v>
      </c>
      <c r="O174" t="n">
        <v>317.659957</v>
      </c>
      <c r="P174" t="n">
        <v>115.247551</v>
      </c>
      <c r="Q174" t="n">
        <v>1275.246638</v>
      </c>
      <c r="R174" t="n">
        <v>1275.246638</v>
      </c>
      <c r="S174" t="n">
        <v>317.659957</v>
      </c>
      <c r="T174" t="n">
        <v>317.659957</v>
      </c>
      <c r="U174" t="n">
        <v>115.247551</v>
      </c>
      <c r="V174" t="n">
        <v>115.247551</v>
      </c>
      <c r="W174" t="n">
        <v>327.701462</v>
      </c>
      <c r="X174" t="n">
        <v>1310.378519</v>
      </c>
    </row>
    <row r="175">
      <c r="A175" t="inlineStr">
        <is>
          <t>Sepiida</t>
        </is>
      </c>
      <c r="B175" t="n">
        <v>3.7</v>
      </c>
      <c r="C175" t="n">
        <v>501.187234</v>
      </c>
      <c r="D175" t="inlineStr">
        <is>
          <t>Squid &amp; Octopus</t>
        </is>
      </c>
      <c r="E175" t="n">
        <v>327.790917</v>
      </c>
      <c r="F175" t="n">
        <v>160.967585</v>
      </c>
      <c r="G175" t="n">
        <v>47.060072</v>
      </c>
      <c r="H175" t="n">
        <v>88.258037</v>
      </c>
      <c r="I175" t="n">
        <v>77.00034599999999</v>
      </c>
      <c r="J175" t="n">
        <v>77.34926</v>
      </c>
      <c r="K175" t="n">
        <v>73.481797</v>
      </c>
      <c r="L175" t="n">
        <v>94.097724</v>
      </c>
      <c r="M175" t="n">
        <v>94.097724</v>
      </c>
      <c r="N175" t="n">
        <v>94.097724</v>
      </c>
      <c r="O175" t="n">
        <v>70.413555</v>
      </c>
      <c r="P175" t="n">
        <v>31.50612</v>
      </c>
      <c r="Q175" t="n">
        <v>94.097724</v>
      </c>
      <c r="R175" t="n">
        <v>94.097724</v>
      </c>
      <c r="S175" t="n">
        <v>70.413555</v>
      </c>
      <c r="T175" t="n">
        <v>70.413555</v>
      </c>
      <c r="U175" t="n">
        <v>31.50612</v>
      </c>
      <c r="V175" t="n">
        <v>31.50612</v>
      </c>
      <c r="W175" t="n">
        <v>71.270959</v>
      </c>
      <c r="X175" t="n">
        <v>97.60397</v>
      </c>
    </row>
    <row r="176">
      <c r="A176" t="inlineStr">
        <is>
          <t>Bothidae</t>
        </is>
      </c>
      <c r="D176" t="inlineStr">
        <is>
          <t>Flatfishes</t>
        </is>
      </c>
      <c r="E176" t="n">
        <v>327.790917</v>
      </c>
      <c r="F176" t="n">
        <v>222.264878</v>
      </c>
      <c r="G176" t="n">
        <v>60.099306</v>
      </c>
      <c r="H176" t="n">
        <v>123.58001</v>
      </c>
      <c r="I176" t="n">
        <v>98.981683</v>
      </c>
      <c r="J176" t="n">
        <v>101.310188</v>
      </c>
      <c r="K176" t="n">
        <v>92.19227100000001</v>
      </c>
      <c r="L176" t="n">
        <v>114.167454</v>
      </c>
      <c r="M176" t="n">
        <v>114.167454</v>
      </c>
      <c r="N176" t="n">
        <v>114.167454</v>
      </c>
      <c r="O176" t="n">
        <v>82.349557</v>
      </c>
      <c r="P176" t="n">
        <v>38.756383</v>
      </c>
      <c r="Q176" t="n">
        <v>114.167454</v>
      </c>
      <c r="R176" t="n">
        <v>114.167454</v>
      </c>
      <c r="S176" t="n">
        <v>82.349557</v>
      </c>
      <c r="T176" t="n">
        <v>82.349557</v>
      </c>
      <c r="U176" t="n">
        <v>38.756383</v>
      </c>
      <c r="V176" t="n">
        <v>38.756383</v>
      </c>
      <c r="W176" t="n">
        <v>82.655303</v>
      </c>
      <c r="X176" t="n">
        <v>113.898256</v>
      </c>
    </row>
    <row r="177">
      <c r="A177" t="inlineStr">
        <is>
          <t>Dicentrarchus</t>
        </is>
      </c>
      <c r="B177" t="n">
        <v>3.94</v>
      </c>
      <c r="C177" t="n">
        <v>870.96359</v>
      </c>
      <c r="D177" t="inlineStr">
        <is>
          <t>Large Dem. fish</t>
        </is>
      </c>
      <c r="E177" t="n">
        <v>327.790917</v>
      </c>
      <c r="F177" t="n">
        <v>665.972772</v>
      </c>
      <c r="G177" t="n">
        <v>138.073221</v>
      </c>
      <c r="H177" t="n">
        <v>328.210407</v>
      </c>
      <c r="I177" t="n">
        <v>321.185641</v>
      </c>
      <c r="J177" t="n">
        <v>337.306601</v>
      </c>
      <c r="K177" t="n">
        <v>317.068205</v>
      </c>
      <c r="L177" t="n">
        <v>461.958282</v>
      </c>
      <c r="M177" t="n">
        <v>461.958282</v>
      </c>
      <c r="N177" t="n">
        <v>461.958282</v>
      </c>
      <c r="O177" t="n">
        <v>304.533157</v>
      </c>
      <c r="P177" t="n">
        <v>108.42706</v>
      </c>
      <c r="Q177" t="n">
        <v>461.958282</v>
      </c>
      <c r="R177" t="n">
        <v>461.958282</v>
      </c>
      <c r="S177" t="n">
        <v>304.533157</v>
      </c>
      <c r="T177" t="n">
        <v>304.533157</v>
      </c>
      <c r="U177" t="n">
        <v>108.42706</v>
      </c>
      <c r="V177" t="n">
        <v>108.42706</v>
      </c>
      <c r="W177" t="n">
        <v>306.991308</v>
      </c>
      <c r="X177" t="n">
        <v>468.161038</v>
      </c>
    </row>
    <row r="178">
      <c r="A178" t="inlineStr">
        <is>
          <t>Phycis blennoides</t>
        </is>
      </c>
      <c r="B178" t="n">
        <v>3.87</v>
      </c>
      <c r="C178" t="n">
        <v>741.310241</v>
      </c>
      <c r="D178" t="inlineStr">
        <is>
          <t>Large Dem. fish</t>
        </is>
      </c>
      <c r="E178" t="n">
        <v>327.790917</v>
      </c>
      <c r="F178" t="n">
        <v>665.972772</v>
      </c>
      <c r="G178" t="n">
        <v>138.073221</v>
      </c>
      <c r="H178" t="n">
        <v>328.210407</v>
      </c>
      <c r="I178" t="n">
        <v>321.185641</v>
      </c>
      <c r="J178" t="n">
        <v>337.306601</v>
      </c>
      <c r="K178" t="n">
        <v>317.068205</v>
      </c>
      <c r="L178" t="n">
        <v>461.958282</v>
      </c>
      <c r="M178" t="n">
        <v>461.958282</v>
      </c>
      <c r="N178" t="n">
        <v>461.958282</v>
      </c>
      <c r="O178" t="n">
        <v>304.533157</v>
      </c>
      <c r="P178" t="n">
        <v>108.42706</v>
      </c>
      <c r="Q178" t="n">
        <v>461.958282</v>
      </c>
      <c r="R178" t="n">
        <v>461.958282</v>
      </c>
      <c r="S178" t="n">
        <v>304.533157</v>
      </c>
      <c r="T178" t="n">
        <v>304.533157</v>
      </c>
      <c r="U178" t="n">
        <v>108.42706</v>
      </c>
      <c r="V178" t="n">
        <v>108.42706</v>
      </c>
      <c r="W178" t="n">
        <v>306.991308</v>
      </c>
      <c r="X178" t="n">
        <v>468.161038</v>
      </c>
    </row>
    <row r="179">
      <c r="A179" t="inlineStr">
        <is>
          <t>Dipturus batis</t>
        </is>
      </c>
      <c r="B179" t="n">
        <v>3.52</v>
      </c>
      <c r="C179" t="n">
        <v>331.131121</v>
      </c>
      <c r="D179" t="inlineStr">
        <is>
          <t>Sharks &amp; rays</t>
        </is>
      </c>
      <c r="E179" t="n">
        <v>327.790917</v>
      </c>
      <c r="F179" t="n">
        <v>522.28227</v>
      </c>
      <c r="G179" t="n">
        <v>114.842938</v>
      </c>
      <c r="H179" t="n">
        <v>326.928715</v>
      </c>
      <c r="I179" t="n">
        <v>732.255138</v>
      </c>
      <c r="J179" t="n">
        <v>761.48662</v>
      </c>
      <c r="K179" t="n">
        <v>327.439247</v>
      </c>
      <c r="L179" t="n">
        <v>1275.246638</v>
      </c>
      <c r="M179" t="n">
        <v>1275.246638</v>
      </c>
      <c r="N179" t="n">
        <v>1275.246638</v>
      </c>
      <c r="O179" t="n">
        <v>317.659957</v>
      </c>
      <c r="P179" t="n">
        <v>115.247551</v>
      </c>
      <c r="Q179" t="n">
        <v>1275.246638</v>
      </c>
      <c r="R179" t="n">
        <v>1275.246638</v>
      </c>
      <c r="S179" t="n">
        <v>317.659957</v>
      </c>
      <c r="T179" t="n">
        <v>317.659957</v>
      </c>
      <c r="U179" t="n">
        <v>115.247551</v>
      </c>
      <c r="V179" t="n">
        <v>115.247551</v>
      </c>
      <c r="W179" t="n">
        <v>327.701462</v>
      </c>
      <c r="X179" t="n">
        <v>1310.378519</v>
      </c>
    </row>
    <row r="180">
      <c r="A180" t="inlineStr">
        <is>
          <t>Moronidae</t>
        </is>
      </c>
      <c r="B180" t="n">
        <v>3.87</v>
      </c>
      <c r="C180" t="n">
        <v>741.310241</v>
      </c>
      <c r="D180" t="inlineStr">
        <is>
          <t>Large Dem. fish</t>
        </is>
      </c>
      <c r="E180" t="n">
        <v>327.790917</v>
      </c>
      <c r="F180" t="n">
        <v>665.972772</v>
      </c>
      <c r="G180" t="n">
        <v>138.073221</v>
      </c>
      <c r="H180" t="n">
        <v>328.210407</v>
      </c>
      <c r="I180" t="n">
        <v>321.185641</v>
      </c>
      <c r="J180" t="n">
        <v>337.306601</v>
      </c>
      <c r="K180" t="n">
        <v>317.068205</v>
      </c>
      <c r="L180" t="n">
        <v>461.958282</v>
      </c>
      <c r="M180" t="n">
        <v>461.958282</v>
      </c>
      <c r="N180" t="n">
        <v>461.958282</v>
      </c>
      <c r="O180" t="n">
        <v>304.533157</v>
      </c>
      <c r="P180" t="n">
        <v>108.42706</v>
      </c>
      <c r="Q180" t="n">
        <v>461.958282</v>
      </c>
      <c r="R180" t="n">
        <v>461.958282</v>
      </c>
      <c r="S180" t="n">
        <v>304.533157</v>
      </c>
      <c r="T180" t="n">
        <v>304.533157</v>
      </c>
      <c r="U180" t="n">
        <v>108.42706</v>
      </c>
      <c r="V180" t="n">
        <v>108.42706</v>
      </c>
      <c r="W180" t="n">
        <v>306.991308</v>
      </c>
      <c r="X180" t="n">
        <v>468.161038</v>
      </c>
    </row>
    <row r="181">
      <c r="A181" t="inlineStr">
        <is>
          <t>Pandalus montagui</t>
        </is>
      </c>
      <c r="B181" t="n">
        <v>2.3</v>
      </c>
      <c r="C181" t="n">
        <v>19.952623</v>
      </c>
      <c r="D181" t="inlineStr">
        <is>
          <t>Crustacea</t>
        </is>
      </c>
      <c r="E181" t="n">
        <v>327.790917</v>
      </c>
      <c r="F181" t="n">
        <v>79.403785</v>
      </c>
      <c r="G181" t="n">
        <v>27.544327</v>
      </c>
      <c r="H181" t="n">
        <v>45.837748</v>
      </c>
      <c r="I181" t="n">
        <v>38.918317</v>
      </c>
      <c r="J181" t="n">
        <v>38.964516</v>
      </c>
      <c r="K181" t="n">
        <v>31.561258</v>
      </c>
      <c r="L181" t="n">
        <v>47.671907</v>
      </c>
      <c r="M181" t="n">
        <v>47.671907</v>
      </c>
      <c r="N181" t="n">
        <v>47.671907</v>
      </c>
      <c r="O181" t="n">
        <v>34.575524</v>
      </c>
      <c r="P181" t="n">
        <v>19.020842</v>
      </c>
      <c r="Q181" t="n">
        <v>47.671907</v>
      </c>
      <c r="R181" t="n">
        <v>47.671907</v>
      </c>
      <c r="S181" t="n">
        <v>34.575524</v>
      </c>
      <c r="T181" t="n">
        <v>34.575524</v>
      </c>
      <c r="U181" t="n">
        <v>19.020842</v>
      </c>
      <c r="V181" t="n">
        <v>19.020842</v>
      </c>
      <c r="W181" t="n">
        <v>34.954015</v>
      </c>
      <c r="X181" t="n">
        <v>47.765312</v>
      </c>
    </row>
    <row r="182">
      <c r="A182" t="inlineStr">
        <is>
          <t>Zeus faber</t>
        </is>
      </c>
      <c r="B182" t="n">
        <v>4.5</v>
      </c>
      <c r="C182" t="n">
        <v>3162.27766</v>
      </c>
      <c r="D182" t="inlineStr">
        <is>
          <t>Large Dem. fish</t>
        </is>
      </c>
      <c r="E182" t="n">
        <v>327.790917</v>
      </c>
      <c r="F182" t="n">
        <v>665.972772</v>
      </c>
      <c r="G182" t="n">
        <v>138.073221</v>
      </c>
      <c r="H182" t="n">
        <v>328.210407</v>
      </c>
      <c r="I182" t="n">
        <v>321.185641</v>
      </c>
      <c r="J182" t="n">
        <v>337.306601</v>
      </c>
      <c r="K182" t="n">
        <v>317.068205</v>
      </c>
      <c r="L182" t="n">
        <v>461.958282</v>
      </c>
      <c r="M182" t="n">
        <v>461.958282</v>
      </c>
      <c r="N182" t="n">
        <v>461.958282</v>
      </c>
      <c r="O182" t="n">
        <v>304.533157</v>
      </c>
      <c r="P182" t="n">
        <v>108.42706</v>
      </c>
      <c r="Q182" t="n">
        <v>461.958282</v>
      </c>
      <c r="R182" t="n">
        <v>461.958282</v>
      </c>
      <c r="S182" t="n">
        <v>304.533157</v>
      </c>
      <c r="T182" t="n">
        <v>304.533157</v>
      </c>
      <c r="U182" t="n">
        <v>108.42706</v>
      </c>
      <c r="V182" t="n">
        <v>108.42706</v>
      </c>
      <c r="W182" t="n">
        <v>306.991308</v>
      </c>
      <c r="X182" t="n">
        <v>468.161038</v>
      </c>
    </row>
    <row r="183">
      <c r="A183" t="inlineStr">
        <is>
          <t>Lumpenus lampretaeformis</t>
        </is>
      </c>
      <c r="D183" t="inlineStr">
        <is>
          <t>Large Dem. fish</t>
        </is>
      </c>
      <c r="E183" t="n">
        <v>327.790917</v>
      </c>
      <c r="F183" t="n">
        <v>665.972772</v>
      </c>
      <c r="G183" t="n">
        <v>138.073221</v>
      </c>
      <c r="H183" t="n">
        <v>328.210407</v>
      </c>
      <c r="I183" t="n">
        <v>321.185641</v>
      </c>
      <c r="J183" t="n">
        <v>337.306601</v>
      </c>
      <c r="K183" t="n">
        <v>317.068205</v>
      </c>
      <c r="L183" t="n">
        <v>461.958282</v>
      </c>
      <c r="M183" t="n">
        <v>461.958282</v>
      </c>
      <c r="N183" t="n">
        <v>461.958282</v>
      </c>
      <c r="O183" t="n">
        <v>304.533157</v>
      </c>
      <c r="P183" t="n">
        <v>108.42706</v>
      </c>
      <c r="Q183" t="n">
        <v>461.958282</v>
      </c>
      <c r="R183" t="n">
        <v>461.958282</v>
      </c>
      <c r="S183" t="n">
        <v>304.533157</v>
      </c>
      <c r="T183" t="n">
        <v>304.533157</v>
      </c>
      <c r="U183" t="n">
        <v>108.42706</v>
      </c>
      <c r="V183" t="n">
        <v>108.42706</v>
      </c>
      <c r="W183" t="n">
        <v>306.991308</v>
      </c>
      <c r="X183" t="n">
        <v>468.161038</v>
      </c>
    </row>
    <row r="184">
      <c r="A184" t="inlineStr">
        <is>
          <t>Auxis thazard</t>
        </is>
      </c>
      <c r="B184" t="n">
        <v>4.37</v>
      </c>
      <c r="C184" t="n">
        <v>2344.228815</v>
      </c>
      <c r="D184" t="inlineStr">
        <is>
          <t>Unresolved</t>
        </is>
      </c>
    </row>
    <row r="185">
      <c r="A185" t="inlineStr">
        <is>
          <t>Galeorhinus galeus</t>
        </is>
      </c>
      <c r="B185" t="n">
        <v>4.34</v>
      </c>
      <c r="C185" t="n">
        <v>2187.761624</v>
      </c>
      <c r="D185" t="inlineStr">
        <is>
          <t>Sharks &amp; rays</t>
        </is>
      </c>
      <c r="E185" t="n">
        <v>327.790917</v>
      </c>
      <c r="F185" t="n">
        <v>522.28227</v>
      </c>
      <c r="G185" t="n">
        <v>114.842938</v>
      </c>
      <c r="H185" t="n">
        <v>326.928715</v>
      </c>
      <c r="I185" t="n">
        <v>732.255138</v>
      </c>
      <c r="J185" t="n">
        <v>761.48662</v>
      </c>
      <c r="K185" t="n">
        <v>327.439247</v>
      </c>
      <c r="L185" t="n">
        <v>1275.246638</v>
      </c>
      <c r="M185" t="n">
        <v>1275.246638</v>
      </c>
      <c r="N185" t="n">
        <v>1275.246638</v>
      </c>
      <c r="O185" t="n">
        <v>317.659957</v>
      </c>
      <c r="P185" t="n">
        <v>115.247551</v>
      </c>
      <c r="Q185" t="n">
        <v>1275.246638</v>
      </c>
      <c r="R185" t="n">
        <v>1275.246638</v>
      </c>
      <c r="S185" t="n">
        <v>317.659957</v>
      </c>
      <c r="T185" t="n">
        <v>317.659957</v>
      </c>
      <c r="U185" t="n">
        <v>115.247551</v>
      </c>
      <c r="V185" t="n">
        <v>115.247551</v>
      </c>
      <c r="W185" t="n">
        <v>327.701462</v>
      </c>
      <c r="X185" t="n">
        <v>1310.378519</v>
      </c>
    </row>
    <row r="186">
      <c r="A186" t="inlineStr">
        <is>
          <t>Labridae</t>
        </is>
      </c>
      <c r="B186" t="n">
        <v>3.46</v>
      </c>
      <c r="C186" t="n">
        <v>288.40315</v>
      </c>
      <c r="D186" t="inlineStr">
        <is>
          <t>Large Dem. fish</t>
        </is>
      </c>
      <c r="E186" t="n">
        <v>327.790917</v>
      </c>
      <c r="F186" t="n">
        <v>665.972772</v>
      </c>
      <c r="G186" t="n">
        <v>138.073221</v>
      </c>
      <c r="H186" t="n">
        <v>328.210407</v>
      </c>
      <c r="I186" t="n">
        <v>321.185641</v>
      </c>
      <c r="J186" t="n">
        <v>337.306601</v>
      </c>
      <c r="K186" t="n">
        <v>317.068205</v>
      </c>
      <c r="L186" t="n">
        <v>461.958282</v>
      </c>
      <c r="M186" t="n">
        <v>461.958282</v>
      </c>
      <c r="N186" t="n">
        <v>461.958282</v>
      </c>
      <c r="O186" t="n">
        <v>304.533157</v>
      </c>
      <c r="P186" t="n">
        <v>108.42706</v>
      </c>
      <c r="Q186" t="n">
        <v>461.958282</v>
      </c>
      <c r="R186" t="n">
        <v>461.958282</v>
      </c>
      <c r="S186" t="n">
        <v>304.533157</v>
      </c>
      <c r="T186" t="n">
        <v>304.533157</v>
      </c>
      <c r="U186" t="n">
        <v>108.42706</v>
      </c>
      <c r="V186" t="n">
        <v>108.42706</v>
      </c>
      <c r="W186" t="n">
        <v>306.991308</v>
      </c>
      <c r="X186" t="n">
        <v>468.161038</v>
      </c>
    </row>
    <row r="187">
      <c r="A187" t="inlineStr">
        <is>
          <t>Rutilus rutilus</t>
        </is>
      </c>
      <c r="B187" t="n">
        <v>2.96</v>
      </c>
      <c r="C187" t="n">
        <v>91.20108399999999</v>
      </c>
      <c r="D187" t="inlineStr">
        <is>
          <t>Unresolved</t>
        </is>
      </c>
    </row>
    <row r="188">
      <c r="A188" t="inlineStr">
        <is>
          <t>Thunnus alalunga</t>
        </is>
      </c>
      <c r="D188" t="inlineStr">
        <is>
          <t>Unresolved</t>
        </is>
      </c>
    </row>
    <row r="189">
      <c r="A189" t="inlineStr">
        <is>
          <t>Mallotus villosus</t>
        </is>
      </c>
      <c r="B189" t="n">
        <v>3.15</v>
      </c>
      <c r="C189" t="n">
        <v>141.253754</v>
      </c>
      <c r="D189" t="inlineStr">
        <is>
          <t>Small pelagics</t>
        </is>
      </c>
      <c r="E189" t="n">
        <v>327.790917</v>
      </c>
      <c r="F189" t="n">
        <v>148.024912</v>
      </c>
      <c r="G189" t="n">
        <v>44.163101</v>
      </c>
      <c r="H189" t="n">
        <v>58.893278</v>
      </c>
      <c r="I189" t="n">
        <v>29.57747</v>
      </c>
      <c r="J189" t="n">
        <v>29.708263</v>
      </c>
      <c r="K189" t="n">
        <v>26.143271</v>
      </c>
      <c r="L189" t="n">
        <v>37.444032</v>
      </c>
      <c r="M189" t="n">
        <v>37.444032</v>
      </c>
      <c r="N189" t="n">
        <v>37.444032</v>
      </c>
      <c r="O189" t="n">
        <v>26.825837</v>
      </c>
      <c r="P189" t="n">
        <v>12.629082</v>
      </c>
      <c r="Q189" t="n">
        <v>37.444032</v>
      </c>
      <c r="R189" t="n">
        <v>37.444032</v>
      </c>
      <c r="S189" t="n">
        <v>26.825837</v>
      </c>
      <c r="T189" t="n">
        <v>26.825837</v>
      </c>
      <c r="U189" t="n">
        <v>12.629082</v>
      </c>
      <c r="V189" t="n">
        <v>12.629082</v>
      </c>
      <c r="W189" t="n">
        <v>26.643813</v>
      </c>
      <c r="X189" t="n">
        <v>39.607714</v>
      </c>
    </row>
    <row r="190">
      <c r="A190" t="inlineStr">
        <is>
          <t>Octopodidae</t>
        </is>
      </c>
      <c r="B190" t="n">
        <v>3.59</v>
      </c>
      <c r="C190" t="n">
        <v>389.045145</v>
      </c>
      <c r="D190" t="inlineStr">
        <is>
          <t>Squid &amp; Octopus</t>
        </is>
      </c>
      <c r="E190" t="n">
        <v>327.790917</v>
      </c>
      <c r="F190" t="n">
        <v>160.967585</v>
      </c>
      <c r="G190" t="n">
        <v>47.060072</v>
      </c>
      <c r="H190" t="n">
        <v>88.258037</v>
      </c>
      <c r="I190" t="n">
        <v>77.00034599999999</v>
      </c>
      <c r="J190" t="n">
        <v>77.34926</v>
      </c>
      <c r="K190" t="n">
        <v>73.481797</v>
      </c>
      <c r="L190" t="n">
        <v>94.097724</v>
      </c>
      <c r="M190" t="n">
        <v>94.097724</v>
      </c>
      <c r="N190" t="n">
        <v>94.097724</v>
      </c>
      <c r="O190" t="n">
        <v>70.413555</v>
      </c>
      <c r="P190" t="n">
        <v>31.50612</v>
      </c>
      <c r="Q190" t="n">
        <v>94.097724</v>
      </c>
      <c r="R190" t="n">
        <v>94.097724</v>
      </c>
      <c r="S190" t="n">
        <v>70.413555</v>
      </c>
      <c r="T190" t="n">
        <v>70.413555</v>
      </c>
      <c r="U190" t="n">
        <v>31.50612</v>
      </c>
      <c r="V190" t="n">
        <v>31.50612</v>
      </c>
      <c r="W190" t="n">
        <v>71.270959</v>
      </c>
      <c r="X190" t="n">
        <v>97.60397</v>
      </c>
    </row>
    <row r="191">
      <c r="A191" t="inlineStr">
        <is>
          <t>Crassostrea</t>
        </is>
      </c>
      <c r="B191" t="n">
        <v>2</v>
      </c>
      <c r="C191" t="n">
        <v>10</v>
      </c>
      <c r="D191" t="inlineStr">
        <is>
          <t>Epifauna</t>
        </is>
      </c>
      <c r="E191" t="n">
        <v>327.790917</v>
      </c>
      <c r="F191" t="n">
        <v>28.994229</v>
      </c>
      <c r="G191" t="n">
        <v>12.834993</v>
      </c>
      <c r="H191" t="n">
        <v>17.954978</v>
      </c>
      <c r="I191" t="n">
        <v>11.374014</v>
      </c>
      <c r="J191" t="n">
        <v>11.374014</v>
      </c>
      <c r="K191" t="n">
        <v>10.009132</v>
      </c>
      <c r="L191" t="n">
        <v>10.950321</v>
      </c>
      <c r="M191" t="n">
        <v>10.950321</v>
      </c>
      <c r="N191" t="n">
        <v>10.950321</v>
      </c>
      <c r="O191" t="n">
        <v>10.041084</v>
      </c>
      <c r="P191" t="n">
        <v>6.846302</v>
      </c>
      <c r="Q191" t="n">
        <v>10.950321</v>
      </c>
      <c r="R191" t="n">
        <v>10.950321</v>
      </c>
      <c r="S191" t="n">
        <v>10.041084</v>
      </c>
      <c r="T191" t="n">
        <v>10.041084</v>
      </c>
      <c r="U191" t="n">
        <v>6.846302</v>
      </c>
      <c r="V191" t="n">
        <v>6.846302</v>
      </c>
      <c r="W191" t="n">
        <v>9.947857000000001</v>
      </c>
      <c r="X191" t="n">
        <v>10.794705</v>
      </c>
    </row>
    <row r="192">
      <c r="A192" t="inlineStr">
        <is>
          <t>Sarda sarda</t>
        </is>
      </c>
      <c r="B192" t="n">
        <v>4.5</v>
      </c>
      <c r="C192" t="n">
        <v>3162.27766</v>
      </c>
      <c r="D192" t="inlineStr">
        <is>
          <t>Unresolved</t>
        </is>
      </c>
    </row>
    <row r="193">
      <c r="A193" t="inlineStr">
        <is>
          <t>Chaceon affinis</t>
        </is>
      </c>
      <c r="B193" t="n">
        <v>3.1</v>
      </c>
      <c r="C193" t="n">
        <v>125.892541</v>
      </c>
      <c r="D193" t="inlineStr">
        <is>
          <t>Crustacea</t>
        </is>
      </c>
      <c r="E193" t="n">
        <v>327.790917</v>
      </c>
      <c r="F193" t="n">
        <v>79.403785</v>
      </c>
      <c r="G193" t="n">
        <v>27.544327</v>
      </c>
      <c r="H193" t="n">
        <v>45.837748</v>
      </c>
      <c r="I193" t="n">
        <v>38.918317</v>
      </c>
      <c r="J193" t="n">
        <v>38.964516</v>
      </c>
      <c r="K193" t="n">
        <v>31.561258</v>
      </c>
      <c r="L193" t="n">
        <v>47.671907</v>
      </c>
      <c r="M193" t="n">
        <v>47.671907</v>
      </c>
      <c r="N193" t="n">
        <v>47.671907</v>
      </c>
      <c r="O193" t="n">
        <v>34.575524</v>
      </c>
      <c r="P193" t="n">
        <v>19.020842</v>
      </c>
      <c r="Q193" t="n">
        <v>47.671907</v>
      </c>
      <c r="R193" t="n">
        <v>47.671907</v>
      </c>
      <c r="S193" t="n">
        <v>34.575524</v>
      </c>
      <c r="T193" t="n">
        <v>34.575524</v>
      </c>
      <c r="U193" t="n">
        <v>19.020842</v>
      </c>
      <c r="V193" t="n">
        <v>19.020842</v>
      </c>
      <c r="W193" t="n">
        <v>34.954015</v>
      </c>
      <c r="X193" t="n">
        <v>47.765312</v>
      </c>
    </row>
    <row r="194">
      <c r="A194" t="inlineStr">
        <is>
          <t>Illex</t>
        </is>
      </c>
      <c r="B194" t="n">
        <v>3.98</v>
      </c>
      <c r="C194" t="n">
        <v>954.992586</v>
      </c>
      <c r="D194" t="inlineStr">
        <is>
          <t>Squid &amp; Octopus</t>
        </is>
      </c>
      <c r="E194" t="n">
        <v>327.790917</v>
      </c>
      <c r="F194" t="n">
        <v>160.967585</v>
      </c>
      <c r="G194" t="n">
        <v>47.060072</v>
      </c>
      <c r="H194" t="n">
        <v>88.258037</v>
      </c>
      <c r="I194" t="n">
        <v>77.00034599999999</v>
      </c>
      <c r="J194" t="n">
        <v>77.34926</v>
      </c>
      <c r="K194" t="n">
        <v>73.481797</v>
      </c>
      <c r="L194" t="n">
        <v>94.097724</v>
      </c>
      <c r="M194" t="n">
        <v>94.097724</v>
      </c>
      <c r="N194" t="n">
        <v>94.097724</v>
      </c>
      <c r="O194" t="n">
        <v>70.413555</v>
      </c>
      <c r="P194" t="n">
        <v>31.50612</v>
      </c>
      <c r="Q194" t="n">
        <v>94.097724</v>
      </c>
      <c r="R194" t="n">
        <v>94.097724</v>
      </c>
      <c r="S194" t="n">
        <v>70.413555</v>
      </c>
      <c r="T194" t="n">
        <v>70.413555</v>
      </c>
      <c r="U194" t="n">
        <v>31.50612</v>
      </c>
      <c r="V194" t="n">
        <v>31.50612</v>
      </c>
      <c r="W194" t="n">
        <v>71.270959</v>
      </c>
      <c r="X194" t="n">
        <v>97.60397</v>
      </c>
    </row>
    <row r="195">
      <c r="A195" t="inlineStr">
        <is>
          <t>Helicolenus dactylopterus</t>
        </is>
      </c>
      <c r="B195" t="n">
        <v>3.54</v>
      </c>
      <c r="C195" t="n">
        <v>346.73685</v>
      </c>
      <c r="D195" t="inlineStr">
        <is>
          <t>Large Dem. fish</t>
        </is>
      </c>
      <c r="E195" t="n">
        <v>327.790917</v>
      </c>
      <c r="F195" t="n">
        <v>665.972772</v>
      </c>
      <c r="G195" t="n">
        <v>138.073221</v>
      </c>
      <c r="H195" t="n">
        <v>328.210407</v>
      </c>
      <c r="I195" t="n">
        <v>321.185641</v>
      </c>
      <c r="J195" t="n">
        <v>337.306601</v>
      </c>
      <c r="K195" t="n">
        <v>317.068205</v>
      </c>
      <c r="L195" t="n">
        <v>461.958282</v>
      </c>
      <c r="M195" t="n">
        <v>461.958282</v>
      </c>
      <c r="N195" t="n">
        <v>461.958282</v>
      </c>
      <c r="O195" t="n">
        <v>304.533157</v>
      </c>
      <c r="P195" t="n">
        <v>108.42706</v>
      </c>
      <c r="Q195" t="n">
        <v>461.958282</v>
      </c>
      <c r="R195" t="n">
        <v>461.958282</v>
      </c>
      <c r="S195" t="n">
        <v>304.533157</v>
      </c>
      <c r="T195" t="n">
        <v>304.533157</v>
      </c>
      <c r="U195" t="n">
        <v>108.42706</v>
      </c>
      <c r="V195" t="n">
        <v>108.42706</v>
      </c>
      <c r="W195" t="n">
        <v>306.991308</v>
      </c>
      <c r="X195" t="n">
        <v>468.161038</v>
      </c>
    </row>
    <row r="196">
      <c r="A196" t="inlineStr">
        <is>
          <t>Prionace glauca</t>
        </is>
      </c>
      <c r="B196" t="n">
        <v>4.35</v>
      </c>
      <c r="C196" t="n">
        <v>2238.721139</v>
      </c>
      <c r="D196" t="inlineStr">
        <is>
          <t>Sharks &amp; rays</t>
        </is>
      </c>
      <c r="E196" t="n">
        <v>327.790917</v>
      </c>
      <c r="F196" t="n">
        <v>522.28227</v>
      </c>
      <c r="G196" t="n">
        <v>114.842938</v>
      </c>
      <c r="H196" t="n">
        <v>326.928715</v>
      </c>
      <c r="I196" t="n">
        <v>732.255138</v>
      </c>
      <c r="J196" t="n">
        <v>761.48662</v>
      </c>
      <c r="K196" t="n">
        <v>327.439247</v>
      </c>
      <c r="L196" t="n">
        <v>1275.246638</v>
      </c>
      <c r="M196" t="n">
        <v>1275.246638</v>
      </c>
      <c r="N196" t="n">
        <v>1275.246638</v>
      </c>
      <c r="O196" t="n">
        <v>317.659957</v>
      </c>
      <c r="P196" t="n">
        <v>115.247551</v>
      </c>
      <c r="Q196" t="n">
        <v>1275.246638</v>
      </c>
      <c r="R196" t="n">
        <v>1275.246638</v>
      </c>
      <c r="S196" t="n">
        <v>317.659957</v>
      </c>
      <c r="T196" t="n">
        <v>317.659957</v>
      </c>
      <c r="U196" t="n">
        <v>115.247551</v>
      </c>
      <c r="V196" t="n">
        <v>115.247551</v>
      </c>
      <c r="W196" t="n">
        <v>327.701462</v>
      </c>
      <c r="X196" t="n">
        <v>1310.378519</v>
      </c>
    </row>
    <row r="197">
      <c r="A197" t="inlineStr">
        <is>
          <t>Mugil</t>
        </is>
      </c>
      <c r="B197" t="n">
        <v>2.26</v>
      </c>
      <c r="C197" t="n">
        <v>18.197009</v>
      </c>
      <c r="D197" t="inlineStr">
        <is>
          <t>Large Dem. fish</t>
        </is>
      </c>
      <c r="E197" t="n">
        <v>327.790917</v>
      </c>
      <c r="F197" t="n">
        <v>665.972772</v>
      </c>
      <c r="G197" t="n">
        <v>138.073221</v>
      </c>
      <c r="H197" t="n">
        <v>328.210407</v>
      </c>
      <c r="I197" t="n">
        <v>321.185641</v>
      </c>
      <c r="J197" t="n">
        <v>337.306601</v>
      </c>
      <c r="K197" t="n">
        <v>317.068205</v>
      </c>
      <c r="L197" t="n">
        <v>461.958282</v>
      </c>
      <c r="M197" t="n">
        <v>461.958282</v>
      </c>
      <c r="N197" t="n">
        <v>461.958282</v>
      </c>
      <c r="O197" t="n">
        <v>304.533157</v>
      </c>
      <c r="P197" t="n">
        <v>108.42706</v>
      </c>
      <c r="Q197" t="n">
        <v>461.958282</v>
      </c>
      <c r="R197" t="n">
        <v>461.958282</v>
      </c>
      <c r="S197" t="n">
        <v>304.533157</v>
      </c>
      <c r="T197" t="n">
        <v>304.533157</v>
      </c>
      <c r="U197" t="n">
        <v>108.42706</v>
      </c>
      <c r="V197" t="n">
        <v>108.42706</v>
      </c>
      <c r="W197" t="n">
        <v>306.991308</v>
      </c>
      <c r="X197" t="n">
        <v>468.161038</v>
      </c>
    </row>
    <row r="198">
      <c r="A198" t="inlineStr">
        <is>
          <t>Batoidea</t>
        </is>
      </c>
      <c r="D198" t="inlineStr">
        <is>
          <t>Sharks &amp; rays</t>
        </is>
      </c>
      <c r="E198" t="n">
        <v>327.790917</v>
      </c>
      <c r="F198" t="n">
        <v>522.28227</v>
      </c>
      <c r="G198" t="n">
        <v>114.842938</v>
      </c>
      <c r="H198" t="n">
        <v>326.928715</v>
      </c>
      <c r="I198" t="n">
        <v>732.255138</v>
      </c>
      <c r="J198" t="n">
        <v>761.48662</v>
      </c>
      <c r="K198" t="n">
        <v>327.439247</v>
      </c>
      <c r="L198" t="n">
        <v>1275.246638</v>
      </c>
      <c r="M198" t="n">
        <v>1275.246638</v>
      </c>
      <c r="N198" t="n">
        <v>1275.246638</v>
      </c>
      <c r="O198" t="n">
        <v>317.659957</v>
      </c>
      <c r="P198" t="n">
        <v>115.247551</v>
      </c>
      <c r="Q198" t="n">
        <v>1275.246638</v>
      </c>
      <c r="R198" t="n">
        <v>1275.246638</v>
      </c>
      <c r="S198" t="n">
        <v>317.659957</v>
      </c>
      <c r="T198" t="n">
        <v>317.659957</v>
      </c>
      <c r="U198" t="n">
        <v>115.247551</v>
      </c>
      <c r="V198" t="n">
        <v>115.247551</v>
      </c>
      <c r="W198" t="n">
        <v>327.701462</v>
      </c>
      <c r="X198" t="n">
        <v>1310.378519</v>
      </c>
    </row>
    <row r="199">
      <c r="A199" t="inlineStr">
        <is>
          <t>Mustelus</t>
        </is>
      </c>
      <c r="B199" t="n">
        <v>3.73</v>
      </c>
      <c r="C199" t="n">
        <v>537.031796</v>
      </c>
      <c r="D199" t="inlineStr">
        <is>
          <t>Sharks &amp; rays</t>
        </is>
      </c>
      <c r="E199" t="n">
        <v>327.790917</v>
      </c>
      <c r="F199" t="n">
        <v>522.28227</v>
      </c>
      <c r="G199" t="n">
        <v>114.842938</v>
      </c>
      <c r="H199" t="n">
        <v>326.928715</v>
      </c>
      <c r="I199" t="n">
        <v>732.255138</v>
      </c>
      <c r="J199" t="n">
        <v>761.48662</v>
      </c>
      <c r="K199" t="n">
        <v>327.439247</v>
      </c>
      <c r="L199" t="n">
        <v>1275.246638</v>
      </c>
      <c r="M199" t="n">
        <v>1275.246638</v>
      </c>
      <c r="N199" t="n">
        <v>1275.246638</v>
      </c>
      <c r="O199" t="n">
        <v>317.659957</v>
      </c>
      <c r="P199" t="n">
        <v>115.247551</v>
      </c>
      <c r="Q199" t="n">
        <v>1275.246638</v>
      </c>
      <c r="R199" t="n">
        <v>1275.246638</v>
      </c>
      <c r="S199" t="n">
        <v>317.659957</v>
      </c>
      <c r="T199" t="n">
        <v>317.659957</v>
      </c>
      <c r="U199" t="n">
        <v>115.247551</v>
      </c>
      <c r="V199" t="n">
        <v>115.247551</v>
      </c>
      <c r="W199" t="n">
        <v>327.701462</v>
      </c>
      <c r="X199" t="n">
        <v>1310.378519</v>
      </c>
    </row>
    <row r="200">
      <c r="A200" t="inlineStr">
        <is>
          <t>Salmo</t>
        </is>
      </c>
      <c r="B200" t="n">
        <v>4</v>
      </c>
      <c r="C200" t="n">
        <v>1000</v>
      </c>
      <c r="D200" t="inlineStr">
        <is>
          <t>Unresolved</t>
        </is>
      </c>
    </row>
    <row r="201">
      <c r="A201" t="inlineStr">
        <is>
          <t>Triakidae</t>
        </is>
      </c>
      <c r="D201" t="inlineStr">
        <is>
          <t>Sharks &amp; rays</t>
        </is>
      </c>
      <c r="E201" t="n">
        <v>327.790917</v>
      </c>
      <c r="F201" t="n">
        <v>522.28227</v>
      </c>
      <c r="G201" t="n">
        <v>114.842938</v>
      </c>
      <c r="H201" t="n">
        <v>326.928715</v>
      </c>
      <c r="I201" t="n">
        <v>732.255138</v>
      </c>
      <c r="J201" t="n">
        <v>761.48662</v>
      </c>
      <c r="K201" t="n">
        <v>327.439247</v>
      </c>
      <c r="L201" t="n">
        <v>1275.246638</v>
      </c>
      <c r="M201" t="n">
        <v>1275.246638</v>
      </c>
      <c r="N201" t="n">
        <v>1275.246638</v>
      </c>
      <c r="O201" t="n">
        <v>317.659957</v>
      </c>
      <c r="P201" t="n">
        <v>115.247551</v>
      </c>
      <c r="Q201" t="n">
        <v>1275.246638</v>
      </c>
      <c r="R201" t="n">
        <v>1275.246638</v>
      </c>
      <c r="S201" t="n">
        <v>317.659957</v>
      </c>
      <c r="T201" t="n">
        <v>317.659957</v>
      </c>
      <c r="U201" t="n">
        <v>115.247551</v>
      </c>
      <c r="V201" t="n">
        <v>115.247551</v>
      </c>
      <c r="W201" t="n">
        <v>327.701462</v>
      </c>
      <c r="X201" t="n">
        <v>1310.378519</v>
      </c>
    </row>
    <row r="202">
      <c r="A202" t="inlineStr">
        <is>
          <t>Galeocerdo cuvier</t>
        </is>
      </c>
      <c r="D202" t="inlineStr">
        <is>
          <t>Sharks &amp; rays</t>
        </is>
      </c>
      <c r="E202" t="n">
        <v>327.790917</v>
      </c>
      <c r="F202" t="n">
        <v>522.28227</v>
      </c>
      <c r="G202" t="n">
        <v>114.842938</v>
      </c>
      <c r="H202" t="n">
        <v>326.928715</v>
      </c>
      <c r="I202" t="n">
        <v>732.255138</v>
      </c>
      <c r="J202" t="n">
        <v>761.48662</v>
      </c>
      <c r="K202" t="n">
        <v>327.439247</v>
      </c>
      <c r="L202" t="n">
        <v>1275.246638</v>
      </c>
      <c r="M202" t="n">
        <v>1275.246638</v>
      </c>
      <c r="N202" t="n">
        <v>1275.246638</v>
      </c>
      <c r="O202" t="n">
        <v>317.659957</v>
      </c>
      <c r="P202" t="n">
        <v>115.247551</v>
      </c>
      <c r="Q202" t="n">
        <v>1275.246638</v>
      </c>
      <c r="R202" t="n">
        <v>1275.246638</v>
      </c>
      <c r="S202" t="n">
        <v>317.659957</v>
      </c>
      <c r="T202" t="n">
        <v>317.659957</v>
      </c>
      <c r="U202" t="n">
        <v>115.247551</v>
      </c>
      <c r="V202" t="n">
        <v>115.247551</v>
      </c>
      <c r="W202" t="n">
        <v>327.701462</v>
      </c>
      <c r="X202" t="n">
        <v>1310.378519</v>
      </c>
    </row>
    <row r="203">
      <c r="A203" t="inlineStr">
        <is>
          <t>Pagellus bogaraveo</t>
        </is>
      </c>
      <c r="B203" t="n">
        <v>4.21</v>
      </c>
      <c r="C203" t="n">
        <v>1621.810097</v>
      </c>
      <c r="D203" t="inlineStr">
        <is>
          <t>Large Dem. fish</t>
        </is>
      </c>
      <c r="E203" t="n">
        <v>327.790917</v>
      </c>
      <c r="F203" t="n">
        <v>665.972772</v>
      </c>
      <c r="G203" t="n">
        <v>138.073221</v>
      </c>
      <c r="H203" t="n">
        <v>328.210407</v>
      </c>
      <c r="I203" t="n">
        <v>321.185641</v>
      </c>
      <c r="J203" t="n">
        <v>337.306601</v>
      </c>
      <c r="K203" t="n">
        <v>317.068205</v>
      </c>
      <c r="L203" t="n">
        <v>461.958282</v>
      </c>
      <c r="M203" t="n">
        <v>461.958282</v>
      </c>
      <c r="N203" t="n">
        <v>461.958282</v>
      </c>
      <c r="O203" t="n">
        <v>304.533157</v>
      </c>
      <c r="P203" t="n">
        <v>108.42706</v>
      </c>
      <c r="Q203" t="n">
        <v>461.958282</v>
      </c>
      <c r="R203" t="n">
        <v>461.958282</v>
      </c>
      <c r="S203" t="n">
        <v>304.533157</v>
      </c>
      <c r="T203" t="n">
        <v>304.533157</v>
      </c>
      <c r="U203" t="n">
        <v>108.42706</v>
      </c>
      <c r="V203" t="n">
        <v>108.42706</v>
      </c>
      <c r="W203" t="n">
        <v>306.991308</v>
      </c>
      <c r="X203" t="n">
        <v>468.161038</v>
      </c>
    </row>
    <row r="204">
      <c r="A204" t="inlineStr">
        <is>
          <t>Chimaera monstrosa</t>
        </is>
      </c>
      <c r="B204" t="n">
        <v>3.52</v>
      </c>
      <c r="C204" t="n">
        <v>331.131121</v>
      </c>
      <c r="D204" t="inlineStr">
        <is>
          <t>Unresolved</t>
        </is>
      </c>
    </row>
    <row r="205">
      <c r="A205" t="inlineStr">
        <is>
          <t>Alepocephalus bairdii</t>
        </is>
      </c>
      <c r="B205" t="n">
        <v>3.69</v>
      </c>
      <c r="C205" t="n">
        <v>489.778819</v>
      </c>
      <c r="D205" t="inlineStr">
        <is>
          <t>Unresolved</t>
        </is>
      </c>
    </row>
    <row r="206">
      <c r="A206" t="inlineStr">
        <is>
          <t>Leucoraja circularis</t>
        </is>
      </c>
      <c r="B206" t="n">
        <v>3.5</v>
      </c>
      <c r="C206" t="n">
        <v>316.227766</v>
      </c>
      <c r="D206" t="inlineStr">
        <is>
          <t>Sharks &amp; rays</t>
        </is>
      </c>
      <c r="E206" t="n">
        <v>327.790917</v>
      </c>
      <c r="F206" t="n">
        <v>522.28227</v>
      </c>
      <c r="G206" t="n">
        <v>114.842938</v>
      </c>
      <c r="H206" t="n">
        <v>326.928715</v>
      </c>
      <c r="I206" t="n">
        <v>732.255138</v>
      </c>
      <c r="J206" t="n">
        <v>761.48662</v>
      </c>
      <c r="K206" t="n">
        <v>327.439247</v>
      </c>
      <c r="L206" t="n">
        <v>1275.246638</v>
      </c>
      <c r="M206" t="n">
        <v>1275.246638</v>
      </c>
      <c r="N206" t="n">
        <v>1275.246638</v>
      </c>
      <c r="O206" t="n">
        <v>317.659957</v>
      </c>
      <c r="P206" t="n">
        <v>115.247551</v>
      </c>
      <c r="Q206" t="n">
        <v>1275.246638</v>
      </c>
      <c r="R206" t="n">
        <v>1275.246638</v>
      </c>
      <c r="S206" t="n">
        <v>317.659957</v>
      </c>
      <c r="T206" t="n">
        <v>317.659957</v>
      </c>
      <c r="U206" t="n">
        <v>115.247551</v>
      </c>
      <c r="V206" t="n">
        <v>115.247551</v>
      </c>
      <c r="W206" t="n">
        <v>327.701462</v>
      </c>
      <c r="X206" t="n">
        <v>1310.378519</v>
      </c>
    </row>
    <row r="207">
      <c r="A207" t="inlineStr">
        <is>
          <t>Meganyctiphanes norvegica</t>
        </is>
      </c>
      <c r="D207" t="inlineStr">
        <is>
          <t>Large zooplankton</t>
        </is>
      </c>
      <c r="E207" t="n">
        <v>327.790917</v>
      </c>
      <c r="F207" t="n">
        <v>20.943663</v>
      </c>
      <c r="G207" t="n">
        <v>10.030553</v>
      </c>
      <c r="H207" t="n">
        <v>13.199789</v>
      </c>
      <c r="I207" t="n">
        <v>6.157937</v>
      </c>
      <c r="J207" t="n">
        <v>6.157937</v>
      </c>
      <c r="K207" t="n">
        <v>5.542143</v>
      </c>
      <c r="L207" t="n">
        <v>8.442342</v>
      </c>
      <c r="M207" t="n">
        <v>8.442342</v>
      </c>
      <c r="N207" t="n">
        <v>8.442342</v>
      </c>
      <c r="O207" t="n">
        <v>6.642375</v>
      </c>
      <c r="P207" t="n">
        <v>3.737611</v>
      </c>
      <c r="Q207" t="n">
        <v>8.442342</v>
      </c>
      <c r="R207" t="n">
        <v>8.442342</v>
      </c>
      <c r="S207" t="n">
        <v>6.642375</v>
      </c>
      <c r="T207" t="n">
        <v>6.642375</v>
      </c>
      <c r="U207" t="n">
        <v>3.737611</v>
      </c>
      <c r="V207" t="n">
        <v>3.737611</v>
      </c>
      <c r="W207" t="n">
        <v>6.670992</v>
      </c>
      <c r="X207" t="n">
        <v>9.011415</v>
      </c>
    </row>
    <row r="208">
      <c r="A208" t="inlineStr">
        <is>
          <t>Mya arenaria</t>
        </is>
      </c>
      <c r="D208" t="inlineStr">
        <is>
          <t>Infauna</t>
        </is>
      </c>
      <c r="E208" t="n">
        <v>327.790917</v>
      </c>
      <c r="F208" t="n">
        <v>10</v>
      </c>
      <c r="G208" t="n">
        <v>5.727631</v>
      </c>
      <c r="H208" t="n">
        <v>5.721903</v>
      </c>
      <c r="I208" t="n">
        <v>4.44</v>
      </c>
      <c r="J208" t="n">
        <v>4.44</v>
      </c>
      <c r="K208" t="n">
        <v>3.996</v>
      </c>
      <c r="L208" t="n">
        <v>3.864936</v>
      </c>
      <c r="M208" t="n">
        <v>3.864936</v>
      </c>
      <c r="N208" t="n">
        <v>3.864936</v>
      </c>
      <c r="O208" t="n">
        <v>4.247203</v>
      </c>
      <c r="P208" t="n">
        <v>3.679841</v>
      </c>
      <c r="Q208" t="n">
        <v>3.864936</v>
      </c>
      <c r="R208" t="n">
        <v>3.864936</v>
      </c>
      <c r="S208" t="n">
        <v>4.247203</v>
      </c>
      <c r="T208" t="n">
        <v>4.247203</v>
      </c>
      <c r="U208" t="n">
        <v>3.679841</v>
      </c>
      <c r="V208" t="n">
        <v>3.679841</v>
      </c>
      <c r="W208" t="n">
        <v>4.187569</v>
      </c>
      <c r="X208" t="n">
        <v>3.928919</v>
      </c>
    </row>
    <row r="209">
      <c r="A209" t="inlineStr">
        <is>
          <t>Osteichthyes</t>
        </is>
      </c>
      <c r="B209" t="n">
        <v>3.79</v>
      </c>
      <c r="C209" t="n">
        <v>616.595002</v>
      </c>
      <c r="D209" t="inlineStr">
        <is>
          <t>Flatfishes | Monkfish | Large Dem. fish</t>
        </is>
      </c>
      <c r="E209" t="n">
        <v>327.790917</v>
      </c>
      <c r="F209" t="n">
        <v>345.033369</v>
      </c>
      <c r="G209" t="n">
        <v>78.18723</v>
      </c>
      <c r="H209" t="n">
        <v>164.100144</v>
      </c>
      <c r="I209" t="n">
        <v>132.854976</v>
      </c>
      <c r="J209" t="n">
        <v>137.390299</v>
      </c>
      <c r="K209" t="n">
        <v>126.313644</v>
      </c>
      <c r="L209" t="n">
        <v>164.733434</v>
      </c>
      <c r="M209" t="n">
        <v>164.733434</v>
      </c>
      <c r="N209" t="n">
        <v>164.733434</v>
      </c>
      <c r="O209" t="n">
        <v>113.48574</v>
      </c>
      <c r="P209" t="n">
        <v>48.310329</v>
      </c>
      <c r="Q209" t="n">
        <v>164.733434</v>
      </c>
      <c r="R209" t="n">
        <v>164.733434</v>
      </c>
      <c r="S209" t="n">
        <v>113.48574</v>
      </c>
      <c r="T209" t="n">
        <v>113.48574</v>
      </c>
      <c r="U209" t="n">
        <v>48.310329</v>
      </c>
      <c r="V209" t="n">
        <v>48.310329</v>
      </c>
      <c r="W209" t="n">
        <v>114.273159</v>
      </c>
      <c r="X209" t="n">
        <v>165.225716</v>
      </c>
    </row>
    <row r="210">
      <c r="A210" t="inlineStr">
        <is>
          <t>Octopoda</t>
        </is>
      </c>
      <c r="D210" t="inlineStr">
        <is>
          <t>Squid &amp; Octopus</t>
        </is>
      </c>
      <c r="E210" t="n">
        <v>327.790917</v>
      </c>
      <c r="F210" t="n">
        <v>160.967585</v>
      </c>
      <c r="G210" t="n">
        <v>47.060072</v>
      </c>
      <c r="H210" t="n">
        <v>88.258037</v>
      </c>
      <c r="I210" t="n">
        <v>77.00034599999999</v>
      </c>
      <c r="J210" t="n">
        <v>77.34926</v>
      </c>
      <c r="K210" t="n">
        <v>73.481797</v>
      </c>
      <c r="L210" t="n">
        <v>94.097724</v>
      </c>
      <c r="M210" t="n">
        <v>94.097724</v>
      </c>
      <c r="N210" t="n">
        <v>94.097724</v>
      </c>
      <c r="O210" t="n">
        <v>70.413555</v>
      </c>
      <c r="P210" t="n">
        <v>31.50612</v>
      </c>
      <c r="Q210" t="n">
        <v>94.097724</v>
      </c>
      <c r="R210" t="n">
        <v>94.097724</v>
      </c>
      <c r="S210" t="n">
        <v>70.413555</v>
      </c>
      <c r="T210" t="n">
        <v>70.413555</v>
      </c>
      <c r="U210" t="n">
        <v>31.50612</v>
      </c>
      <c r="V210" t="n">
        <v>31.50612</v>
      </c>
      <c r="W210" t="n">
        <v>71.270959</v>
      </c>
      <c r="X210" t="n">
        <v>97.60397</v>
      </c>
    </row>
    <row r="211">
      <c r="A211" t="inlineStr">
        <is>
          <t>Scorpaeniformes</t>
        </is>
      </c>
      <c r="B211" t="n">
        <v>3.78</v>
      </c>
      <c r="C211" t="n">
        <v>602.559586</v>
      </c>
      <c r="D211" t="inlineStr">
        <is>
          <t>Large Dem. fish</t>
        </is>
      </c>
      <c r="E211" t="n">
        <v>327.790917</v>
      </c>
      <c r="F211" t="n">
        <v>665.972772</v>
      </c>
      <c r="G211" t="n">
        <v>138.073221</v>
      </c>
      <c r="H211" t="n">
        <v>328.210407</v>
      </c>
      <c r="I211" t="n">
        <v>321.185641</v>
      </c>
      <c r="J211" t="n">
        <v>337.306601</v>
      </c>
      <c r="K211" t="n">
        <v>317.068205</v>
      </c>
      <c r="L211" t="n">
        <v>461.958282</v>
      </c>
      <c r="M211" t="n">
        <v>461.958282</v>
      </c>
      <c r="N211" t="n">
        <v>461.958282</v>
      </c>
      <c r="O211" t="n">
        <v>304.533157</v>
      </c>
      <c r="P211" t="n">
        <v>108.42706</v>
      </c>
      <c r="Q211" t="n">
        <v>461.958282</v>
      </c>
      <c r="R211" t="n">
        <v>461.958282</v>
      </c>
      <c r="S211" t="n">
        <v>304.533157</v>
      </c>
      <c r="T211" t="n">
        <v>304.533157</v>
      </c>
      <c r="U211" t="n">
        <v>108.42706</v>
      </c>
      <c r="V211" t="n">
        <v>108.42706</v>
      </c>
      <c r="W211" t="n">
        <v>306.991308</v>
      </c>
      <c r="X211" t="n">
        <v>468.161038</v>
      </c>
    </row>
    <row r="212">
      <c r="A212" t="inlineStr">
        <is>
          <t>Sander lucioperca</t>
        </is>
      </c>
      <c r="B212" t="n">
        <v>4.04</v>
      </c>
      <c r="C212" t="n">
        <v>1096.478196</v>
      </c>
      <c r="D212" t="inlineStr">
        <is>
          <t>Unresolved</t>
        </is>
      </c>
    </row>
    <row r="213">
      <c r="A213" t="inlineStr">
        <is>
          <t>Chelon ramada</t>
        </is>
      </c>
      <c r="B213" t="n">
        <v>2.3</v>
      </c>
      <c r="C213" t="n">
        <v>19.952623</v>
      </c>
      <c r="D213" t="inlineStr">
        <is>
          <t>Large Pelagics</t>
        </is>
      </c>
      <c r="E213" t="n">
        <v>327.790917</v>
      </c>
      <c r="F213" t="n">
        <v>409.325031</v>
      </c>
      <c r="G213" t="n">
        <v>95.473426</v>
      </c>
      <c r="H213" t="n">
        <v>171.971164</v>
      </c>
      <c r="I213" t="n">
        <v>151.710468</v>
      </c>
      <c r="J213" t="n">
        <v>166.941311</v>
      </c>
      <c r="K213" t="n">
        <v>150.24718</v>
      </c>
      <c r="L213" t="n">
        <v>208.675232</v>
      </c>
      <c r="M213" t="n">
        <v>208.675232</v>
      </c>
      <c r="N213" t="n">
        <v>208.675232</v>
      </c>
      <c r="O213" t="n">
        <v>139.225251</v>
      </c>
      <c r="P213" t="n">
        <v>55.587338</v>
      </c>
      <c r="Q213" t="n">
        <v>208.675232</v>
      </c>
      <c r="R213" t="n">
        <v>208.675232</v>
      </c>
      <c r="S213" t="n">
        <v>139.225251</v>
      </c>
      <c r="T213" t="n">
        <v>139.225251</v>
      </c>
      <c r="U213" t="n">
        <v>55.587338</v>
      </c>
      <c r="V213" t="n">
        <v>55.587338</v>
      </c>
      <c r="W213" t="n">
        <v>138.889014</v>
      </c>
      <c r="X213" t="n">
        <v>209.882396</v>
      </c>
    </row>
    <row r="214">
      <c r="A214" t="inlineStr">
        <is>
          <t>Chimaeriformes</t>
        </is>
      </c>
      <c r="B214" t="n">
        <v>3.37</v>
      </c>
      <c r="C214" t="n">
        <v>234.422882</v>
      </c>
      <c r="D214" t="inlineStr">
        <is>
          <t>Unresolved</t>
        </is>
      </c>
    </row>
    <row r="215">
      <c r="A215" t="inlineStr">
        <is>
          <t>Mullus</t>
        </is>
      </c>
      <c r="B215" t="n">
        <v>3.29</v>
      </c>
      <c r="C215" t="n">
        <v>194.98446</v>
      </c>
      <c r="D215" t="inlineStr">
        <is>
          <t>Large Dem. fish</t>
        </is>
      </c>
      <c r="E215" t="n">
        <v>327.790917</v>
      </c>
      <c r="F215" t="n">
        <v>665.972772</v>
      </c>
      <c r="G215" t="n">
        <v>138.073221</v>
      </c>
      <c r="H215" t="n">
        <v>328.210407</v>
      </c>
      <c r="I215" t="n">
        <v>321.185641</v>
      </c>
      <c r="J215" t="n">
        <v>337.306601</v>
      </c>
      <c r="K215" t="n">
        <v>317.068205</v>
      </c>
      <c r="L215" t="n">
        <v>461.958282</v>
      </c>
      <c r="M215" t="n">
        <v>461.958282</v>
      </c>
      <c r="N215" t="n">
        <v>461.958282</v>
      </c>
      <c r="O215" t="n">
        <v>304.533157</v>
      </c>
      <c r="P215" t="n">
        <v>108.42706</v>
      </c>
      <c r="Q215" t="n">
        <v>461.958282</v>
      </c>
      <c r="R215" t="n">
        <v>461.958282</v>
      </c>
      <c r="S215" t="n">
        <v>304.533157</v>
      </c>
      <c r="T215" t="n">
        <v>304.533157</v>
      </c>
      <c r="U215" t="n">
        <v>108.42706</v>
      </c>
      <c r="V215" t="n">
        <v>108.42706</v>
      </c>
      <c r="W215" t="n">
        <v>306.991308</v>
      </c>
      <c r="X215" t="n">
        <v>468.161038</v>
      </c>
    </row>
    <row r="216">
      <c r="A216" t="inlineStr">
        <is>
          <t>Octopus</t>
        </is>
      </c>
      <c r="B216" t="n">
        <v>3.8</v>
      </c>
      <c r="C216" t="n">
        <v>630.957344</v>
      </c>
      <c r="D216" t="inlineStr">
        <is>
          <t>Squid &amp; Octopus</t>
        </is>
      </c>
      <c r="E216" t="n">
        <v>327.790917</v>
      </c>
      <c r="F216" t="n">
        <v>160.967585</v>
      </c>
      <c r="G216" t="n">
        <v>47.060072</v>
      </c>
      <c r="H216" t="n">
        <v>88.258037</v>
      </c>
      <c r="I216" t="n">
        <v>77.00034599999999</v>
      </c>
      <c r="J216" t="n">
        <v>77.34926</v>
      </c>
      <c r="K216" t="n">
        <v>73.481797</v>
      </c>
      <c r="L216" t="n">
        <v>94.097724</v>
      </c>
      <c r="M216" t="n">
        <v>94.097724</v>
      </c>
      <c r="N216" t="n">
        <v>94.097724</v>
      </c>
      <c r="O216" t="n">
        <v>70.413555</v>
      </c>
      <c r="P216" t="n">
        <v>31.50612</v>
      </c>
      <c r="Q216" t="n">
        <v>94.097724</v>
      </c>
      <c r="R216" t="n">
        <v>94.097724</v>
      </c>
      <c r="S216" t="n">
        <v>70.413555</v>
      </c>
      <c r="T216" t="n">
        <v>70.413555</v>
      </c>
      <c r="U216" t="n">
        <v>31.50612</v>
      </c>
      <c r="V216" t="n">
        <v>31.50612</v>
      </c>
      <c r="W216" t="n">
        <v>71.270959</v>
      </c>
      <c r="X216" t="n">
        <v>97.60397</v>
      </c>
    </row>
    <row r="217">
      <c r="A217" t="inlineStr">
        <is>
          <t>Notoscopelus</t>
        </is>
      </c>
      <c r="B217" t="n">
        <v>3.15</v>
      </c>
      <c r="C217" t="n">
        <v>141.253754</v>
      </c>
      <c r="D217" t="inlineStr">
        <is>
          <t>Small pelagics</t>
        </is>
      </c>
      <c r="E217" t="n">
        <v>327.790917</v>
      </c>
      <c r="F217" t="n">
        <v>148.024912</v>
      </c>
      <c r="G217" t="n">
        <v>44.163101</v>
      </c>
      <c r="H217" t="n">
        <v>58.893278</v>
      </c>
      <c r="I217" t="n">
        <v>29.57747</v>
      </c>
      <c r="J217" t="n">
        <v>29.708263</v>
      </c>
      <c r="K217" t="n">
        <v>26.143271</v>
      </c>
      <c r="L217" t="n">
        <v>37.444032</v>
      </c>
      <c r="M217" t="n">
        <v>37.444032</v>
      </c>
      <c r="N217" t="n">
        <v>37.444032</v>
      </c>
      <c r="O217" t="n">
        <v>26.825837</v>
      </c>
      <c r="P217" t="n">
        <v>12.629082</v>
      </c>
      <c r="Q217" t="n">
        <v>37.444032</v>
      </c>
      <c r="R217" t="n">
        <v>37.444032</v>
      </c>
      <c r="S217" t="n">
        <v>26.825837</v>
      </c>
      <c r="T217" t="n">
        <v>26.825837</v>
      </c>
      <c r="U217" t="n">
        <v>12.629082</v>
      </c>
      <c r="V217" t="n">
        <v>12.629082</v>
      </c>
      <c r="W217" t="n">
        <v>26.643813</v>
      </c>
      <c r="X217" t="n">
        <v>39.607714</v>
      </c>
    </row>
    <row r="218">
      <c r="A218" t="inlineStr">
        <is>
          <t>Spisula</t>
        </is>
      </c>
      <c r="B218" t="n">
        <v>2</v>
      </c>
      <c r="C218" t="n">
        <v>10</v>
      </c>
      <c r="D218" t="inlineStr">
        <is>
          <t>Infauna</t>
        </is>
      </c>
      <c r="E218" t="n">
        <v>327.790917</v>
      </c>
      <c r="F218" t="n">
        <v>10</v>
      </c>
      <c r="G218" t="n">
        <v>5.727631</v>
      </c>
      <c r="H218" t="n">
        <v>5.721903</v>
      </c>
      <c r="I218" t="n">
        <v>4.44</v>
      </c>
      <c r="J218" t="n">
        <v>4.44</v>
      </c>
      <c r="K218" t="n">
        <v>3.996</v>
      </c>
      <c r="L218" t="n">
        <v>3.864936</v>
      </c>
      <c r="M218" t="n">
        <v>3.864936</v>
      </c>
      <c r="N218" t="n">
        <v>3.864936</v>
      </c>
      <c r="O218" t="n">
        <v>4.247203</v>
      </c>
      <c r="P218" t="n">
        <v>3.679841</v>
      </c>
      <c r="Q218" t="n">
        <v>3.864936</v>
      </c>
      <c r="R218" t="n">
        <v>3.864936</v>
      </c>
      <c r="S218" t="n">
        <v>4.247203</v>
      </c>
      <c r="T218" t="n">
        <v>4.247203</v>
      </c>
      <c r="U218" t="n">
        <v>3.679841</v>
      </c>
      <c r="V218" t="n">
        <v>3.679841</v>
      </c>
      <c r="W218" t="n">
        <v>4.187569</v>
      </c>
      <c r="X218" t="n">
        <v>3.928919</v>
      </c>
    </row>
    <row r="219">
      <c r="A219" t="inlineStr">
        <is>
          <t>Beryx</t>
        </is>
      </c>
      <c r="B219" t="n">
        <v>3.97</v>
      </c>
      <c r="C219" t="n">
        <v>933.2543010000001</v>
      </c>
      <c r="D219" t="inlineStr">
        <is>
          <t>Unresolved</t>
        </is>
      </c>
    </row>
    <row r="220">
      <c r="A220" t="inlineStr">
        <is>
          <t>Chelon labrosus</t>
        </is>
      </c>
      <c r="B220" t="n">
        <v>2.59</v>
      </c>
      <c r="C220" t="n">
        <v>38.904514</v>
      </c>
      <c r="D220" t="inlineStr">
        <is>
          <t>Large Dem. fish</t>
        </is>
      </c>
      <c r="E220" t="n">
        <v>327.790917</v>
      </c>
      <c r="F220" t="n">
        <v>665.972772</v>
      </c>
      <c r="G220" t="n">
        <v>138.073221</v>
      </c>
      <c r="H220" t="n">
        <v>328.210407</v>
      </c>
      <c r="I220" t="n">
        <v>321.185641</v>
      </c>
      <c r="J220" t="n">
        <v>337.306601</v>
      </c>
      <c r="K220" t="n">
        <v>317.068205</v>
      </c>
      <c r="L220" t="n">
        <v>461.958282</v>
      </c>
      <c r="M220" t="n">
        <v>461.958282</v>
      </c>
      <c r="N220" t="n">
        <v>461.958282</v>
      </c>
      <c r="O220" t="n">
        <v>304.533157</v>
      </c>
      <c r="P220" t="n">
        <v>108.42706</v>
      </c>
      <c r="Q220" t="n">
        <v>461.958282</v>
      </c>
      <c r="R220" t="n">
        <v>461.958282</v>
      </c>
      <c r="S220" t="n">
        <v>304.533157</v>
      </c>
      <c r="T220" t="n">
        <v>304.533157</v>
      </c>
      <c r="U220" t="n">
        <v>108.42706</v>
      </c>
      <c r="V220" t="n">
        <v>108.42706</v>
      </c>
      <c r="W220" t="n">
        <v>306.991308</v>
      </c>
      <c r="X220" t="n">
        <v>468.161038</v>
      </c>
    </row>
    <row r="221">
      <c r="A221" t="inlineStr">
        <is>
          <t>Myxine glutinosa</t>
        </is>
      </c>
      <c r="B221" t="n">
        <v>4.54</v>
      </c>
      <c r="C221" t="n">
        <v>3467.368505</v>
      </c>
      <c r="D221" t="inlineStr">
        <is>
          <t>Large Dem. fish</t>
        </is>
      </c>
      <c r="E221" t="n">
        <v>327.790917</v>
      </c>
      <c r="F221" t="n">
        <v>665.972772</v>
      </c>
      <c r="G221" t="n">
        <v>138.073221</v>
      </c>
      <c r="H221" t="n">
        <v>328.210407</v>
      </c>
      <c r="I221" t="n">
        <v>321.185641</v>
      </c>
      <c r="J221" t="n">
        <v>337.306601</v>
      </c>
      <c r="K221" t="n">
        <v>317.068205</v>
      </c>
      <c r="L221" t="n">
        <v>461.958282</v>
      </c>
      <c r="M221" t="n">
        <v>461.958282</v>
      </c>
      <c r="N221" t="n">
        <v>461.958282</v>
      </c>
      <c r="O221" t="n">
        <v>304.533157</v>
      </c>
      <c r="P221" t="n">
        <v>108.42706</v>
      </c>
      <c r="Q221" t="n">
        <v>461.958282</v>
      </c>
      <c r="R221" t="n">
        <v>461.958282</v>
      </c>
      <c r="S221" t="n">
        <v>304.533157</v>
      </c>
      <c r="T221" t="n">
        <v>304.533157</v>
      </c>
      <c r="U221" t="n">
        <v>108.42706</v>
      </c>
      <c r="V221" t="n">
        <v>108.42706</v>
      </c>
      <c r="W221" t="n">
        <v>306.991308</v>
      </c>
      <c r="X221" t="n">
        <v>468.161038</v>
      </c>
    </row>
    <row r="222">
      <c r="A222" t="inlineStr">
        <is>
          <t>Dipturus oxyrinchus</t>
        </is>
      </c>
      <c r="B222" t="n">
        <v>3.5</v>
      </c>
      <c r="C222" t="n">
        <v>316.227766</v>
      </c>
      <c r="D222" t="inlineStr">
        <is>
          <t>Sharks &amp; rays</t>
        </is>
      </c>
      <c r="E222" t="n">
        <v>327.790917</v>
      </c>
      <c r="F222" t="n">
        <v>522.28227</v>
      </c>
      <c r="G222" t="n">
        <v>114.842938</v>
      </c>
      <c r="H222" t="n">
        <v>326.928715</v>
      </c>
      <c r="I222" t="n">
        <v>732.255138</v>
      </c>
      <c r="J222" t="n">
        <v>761.48662</v>
      </c>
      <c r="K222" t="n">
        <v>327.439247</v>
      </c>
      <c r="L222" t="n">
        <v>1275.246638</v>
      </c>
      <c r="M222" t="n">
        <v>1275.246638</v>
      </c>
      <c r="N222" t="n">
        <v>1275.246638</v>
      </c>
      <c r="O222" t="n">
        <v>317.659957</v>
      </c>
      <c r="P222" t="n">
        <v>115.247551</v>
      </c>
      <c r="Q222" t="n">
        <v>1275.246638</v>
      </c>
      <c r="R222" t="n">
        <v>1275.246638</v>
      </c>
      <c r="S222" t="n">
        <v>317.659957</v>
      </c>
      <c r="T222" t="n">
        <v>317.659957</v>
      </c>
      <c r="U222" t="n">
        <v>115.247551</v>
      </c>
      <c r="V222" t="n">
        <v>115.247551</v>
      </c>
      <c r="W222" t="n">
        <v>327.701462</v>
      </c>
      <c r="X222" t="n">
        <v>1310.378519</v>
      </c>
    </row>
    <row r="223">
      <c r="A223" t="inlineStr">
        <is>
          <t>Centroselachus crepidater</t>
        </is>
      </c>
      <c r="D223" t="inlineStr">
        <is>
          <t>Sharks &amp; rays</t>
        </is>
      </c>
      <c r="E223" t="n">
        <v>327.790917</v>
      </c>
      <c r="F223" t="n">
        <v>522.28227</v>
      </c>
      <c r="G223" t="n">
        <v>114.842938</v>
      </c>
      <c r="H223" t="n">
        <v>326.928715</v>
      </c>
      <c r="I223" t="n">
        <v>732.255138</v>
      </c>
      <c r="J223" t="n">
        <v>761.48662</v>
      </c>
      <c r="K223" t="n">
        <v>327.439247</v>
      </c>
      <c r="L223" t="n">
        <v>1275.246638</v>
      </c>
      <c r="M223" t="n">
        <v>1275.246638</v>
      </c>
      <c r="N223" t="n">
        <v>1275.246638</v>
      </c>
      <c r="O223" t="n">
        <v>317.659957</v>
      </c>
      <c r="P223" t="n">
        <v>115.247551</v>
      </c>
      <c r="Q223" t="n">
        <v>1275.246638</v>
      </c>
      <c r="R223" t="n">
        <v>1275.246638</v>
      </c>
      <c r="S223" t="n">
        <v>317.659957</v>
      </c>
      <c r="T223" t="n">
        <v>317.659957</v>
      </c>
      <c r="U223" t="n">
        <v>115.247551</v>
      </c>
      <c r="V223" t="n">
        <v>115.247551</v>
      </c>
      <c r="W223" t="n">
        <v>327.701462</v>
      </c>
      <c r="X223" t="n">
        <v>1310.378519</v>
      </c>
    </row>
    <row r="224">
      <c r="A224" t="inlineStr">
        <is>
          <t>Miscellaneous diadromous fishes</t>
        </is>
      </c>
      <c r="D224" t="inlineStr">
        <is>
          <t>Unresolved</t>
        </is>
      </c>
    </row>
    <row r="225">
      <c r="A225" t="inlineStr">
        <is>
          <t>Dipturus nidarosiensis</t>
        </is>
      </c>
      <c r="D225" t="inlineStr">
        <is>
          <t>Sharks &amp; rays</t>
        </is>
      </c>
      <c r="E225" t="n">
        <v>327.790917</v>
      </c>
      <c r="F225" t="n">
        <v>522.28227</v>
      </c>
      <c r="G225" t="n">
        <v>114.842938</v>
      </c>
      <c r="H225" t="n">
        <v>326.928715</v>
      </c>
      <c r="I225" t="n">
        <v>732.255138</v>
      </c>
      <c r="J225" t="n">
        <v>761.48662</v>
      </c>
      <c r="K225" t="n">
        <v>327.439247</v>
      </c>
      <c r="L225" t="n">
        <v>1275.246638</v>
      </c>
      <c r="M225" t="n">
        <v>1275.246638</v>
      </c>
      <c r="N225" t="n">
        <v>1275.246638</v>
      </c>
      <c r="O225" t="n">
        <v>317.659957</v>
      </c>
      <c r="P225" t="n">
        <v>115.247551</v>
      </c>
      <c r="Q225" t="n">
        <v>1275.246638</v>
      </c>
      <c r="R225" t="n">
        <v>1275.246638</v>
      </c>
      <c r="S225" t="n">
        <v>317.659957</v>
      </c>
      <c r="T225" t="n">
        <v>317.659957</v>
      </c>
      <c r="U225" t="n">
        <v>115.247551</v>
      </c>
      <c r="V225" t="n">
        <v>115.247551</v>
      </c>
      <c r="W225" t="n">
        <v>327.701462</v>
      </c>
      <c r="X225" t="n">
        <v>1310.378519</v>
      </c>
    </row>
    <row r="226">
      <c r="A226" t="inlineStr">
        <is>
          <t>Scyliorhinidae</t>
        </is>
      </c>
      <c r="B226" t="n">
        <v>3.97</v>
      </c>
      <c r="C226" t="n">
        <v>933.2543010000001</v>
      </c>
      <c r="D226" t="inlineStr">
        <is>
          <t>Sharks &amp; rays</t>
        </is>
      </c>
      <c r="E226" t="n">
        <v>327.790917</v>
      </c>
      <c r="F226" t="n">
        <v>522.28227</v>
      </c>
      <c r="G226" t="n">
        <v>114.842938</v>
      </c>
      <c r="H226" t="n">
        <v>326.928715</v>
      </c>
      <c r="I226" t="n">
        <v>732.255138</v>
      </c>
      <c r="J226" t="n">
        <v>761.48662</v>
      </c>
      <c r="K226" t="n">
        <v>327.439247</v>
      </c>
      <c r="L226" t="n">
        <v>1275.246638</v>
      </c>
      <c r="M226" t="n">
        <v>1275.246638</v>
      </c>
      <c r="N226" t="n">
        <v>1275.246638</v>
      </c>
      <c r="O226" t="n">
        <v>317.659957</v>
      </c>
      <c r="P226" t="n">
        <v>115.247551</v>
      </c>
      <c r="Q226" t="n">
        <v>1275.246638</v>
      </c>
      <c r="R226" t="n">
        <v>1275.246638</v>
      </c>
      <c r="S226" t="n">
        <v>317.659957</v>
      </c>
      <c r="T226" t="n">
        <v>317.659957</v>
      </c>
      <c r="U226" t="n">
        <v>115.247551</v>
      </c>
      <c r="V226" t="n">
        <v>115.247551</v>
      </c>
      <c r="W226" t="n">
        <v>327.701462</v>
      </c>
      <c r="X226" t="n">
        <v>1310.378519</v>
      </c>
    </row>
    <row r="227">
      <c r="A227" t="inlineStr">
        <is>
          <t>Salmonidae</t>
        </is>
      </c>
      <c r="D227" t="inlineStr">
        <is>
          <t>Unresolved</t>
        </is>
      </c>
    </row>
    <row r="228">
      <c r="A228" t="inlineStr">
        <is>
          <t>Scyliorhinus stellaris</t>
        </is>
      </c>
      <c r="B228" t="n">
        <v>4.03</v>
      </c>
      <c r="C228" t="n">
        <v>1071.519305</v>
      </c>
      <c r="D228" t="inlineStr">
        <is>
          <t>Sharks &amp; rays</t>
        </is>
      </c>
      <c r="E228" t="n">
        <v>327.790917</v>
      </c>
      <c r="F228" t="n">
        <v>522.28227</v>
      </c>
      <c r="G228" t="n">
        <v>114.842938</v>
      </c>
      <c r="H228" t="n">
        <v>326.928715</v>
      </c>
      <c r="I228" t="n">
        <v>732.255138</v>
      </c>
      <c r="J228" t="n">
        <v>761.48662</v>
      </c>
      <c r="K228" t="n">
        <v>327.439247</v>
      </c>
      <c r="L228" t="n">
        <v>1275.246638</v>
      </c>
      <c r="M228" t="n">
        <v>1275.246638</v>
      </c>
      <c r="N228" t="n">
        <v>1275.246638</v>
      </c>
      <c r="O228" t="n">
        <v>317.659957</v>
      </c>
      <c r="P228" t="n">
        <v>115.247551</v>
      </c>
      <c r="Q228" t="n">
        <v>1275.246638</v>
      </c>
      <c r="R228" t="n">
        <v>1275.246638</v>
      </c>
      <c r="S228" t="n">
        <v>317.659957</v>
      </c>
      <c r="T228" t="n">
        <v>317.659957</v>
      </c>
      <c r="U228" t="n">
        <v>115.247551</v>
      </c>
      <c r="V228" t="n">
        <v>115.247551</v>
      </c>
      <c r="W228" t="n">
        <v>327.701462</v>
      </c>
      <c r="X228" t="n">
        <v>1310.378519</v>
      </c>
    </row>
    <row r="229">
      <c r="A229" t="inlineStr">
        <is>
          <t>Thunnus</t>
        </is>
      </c>
      <c r="D229" t="inlineStr">
        <is>
          <t>Unresolved</t>
        </is>
      </c>
    </row>
    <row r="230">
      <c r="A230" t="inlineStr">
        <is>
          <t>Isurus</t>
        </is>
      </c>
      <c r="D230" t="inlineStr">
        <is>
          <t>Sharks &amp; rays</t>
        </is>
      </c>
      <c r="E230" t="n">
        <v>327.790917</v>
      </c>
      <c r="F230" t="n">
        <v>522.28227</v>
      </c>
      <c r="G230" t="n">
        <v>114.842938</v>
      </c>
      <c r="H230" t="n">
        <v>326.928715</v>
      </c>
      <c r="I230" t="n">
        <v>732.255138</v>
      </c>
      <c r="J230" t="n">
        <v>761.48662</v>
      </c>
      <c r="K230" t="n">
        <v>327.439247</v>
      </c>
      <c r="L230" t="n">
        <v>1275.246638</v>
      </c>
      <c r="M230" t="n">
        <v>1275.246638</v>
      </c>
      <c r="N230" t="n">
        <v>1275.246638</v>
      </c>
      <c r="O230" t="n">
        <v>317.659957</v>
      </c>
      <c r="P230" t="n">
        <v>115.247551</v>
      </c>
      <c r="Q230" t="n">
        <v>1275.246638</v>
      </c>
      <c r="R230" t="n">
        <v>1275.246638</v>
      </c>
      <c r="S230" t="n">
        <v>317.659957</v>
      </c>
      <c r="T230" t="n">
        <v>317.659957</v>
      </c>
      <c r="U230" t="n">
        <v>115.247551</v>
      </c>
      <c r="V230" t="n">
        <v>115.247551</v>
      </c>
      <c r="W230" t="n">
        <v>327.701462</v>
      </c>
      <c r="X230" t="n">
        <v>1310.378519</v>
      </c>
    </row>
    <row r="231">
      <c r="A231" t="inlineStr">
        <is>
          <t>Cyprinidae</t>
        </is>
      </c>
      <c r="B231" t="n">
        <v>2.8</v>
      </c>
      <c r="C231" t="n">
        <v>63.095734</v>
      </c>
      <c r="D231" t="inlineStr">
        <is>
          <t>Unresolved</t>
        </is>
      </c>
    </row>
    <row r="232">
      <c r="A232" t="inlineStr">
        <is>
          <t>Euthynnus alletteratus</t>
        </is>
      </c>
      <c r="D232" t="inlineStr">
        <is>
          <t>Unresolved</t>
        </is>
      </c>
    </row>
    <row r="233">
      <c r="A233" t="inlineStr">
        <is>
          <t>Caproidae</t>
        </is>
      </c>
      <c r="B233" t="n">
        <v>3.54</v>
      </c>
      <c r="C233" t="n">
        <v>346.73685</v>
      </c>
      <c r="D233" t="inlineStr">
        <is>
          <t>Large Dem. fish</t>
        </is>
      </c>
      <c r="E233" t="n">
        <v>327.790917</v>
      </c>
      <c r="F233" t="n">
        <v>665.972772</v>
      </c>
      <c r="G233" t="n">
        <v>138.073221</v>
      </c>
      <c r="H233" t="n">
        <v>328.210407</v>
      </c>
      <c r="I233" t="n">
        <v>321.185641</v>
      </c>
      <c r="J233" t="n">
        <v>337.306601</v>
      </c>
      <c r="K233" t="n">
        <v>317.068205</v>
      </c>
      <c r="L233" t="n">
        <v>461.958282</v>
      </c>
      <c r="M233" t="n">
        <v>461.958282</v>
      </c>
      <c r="N233" t="n">
        <v>461.958282</v>
      </c>
      <c r="O233" t="n">
        <v>304.533157</v>
      </c>
      <c r="P233" t="n">
        <v>108.42706</v>
      </c>
      <c r="Q233" t="n">
        <v>461.958282</v>
      </c>
      <c r="R233" t="n">
        <v>461.958282</v>
      </c>
      <c r="S233" t="n">
        <v>304.533157</v>
      </c>
      <c r="T233" t="n">
        <v>304.533157</v>
      </c>
      <c r="U233" t="n">
        <v>108.42706</v>
      </c>
      <c r="V233" t="n">
        <v>108.42706</v>
      </c>
      <c r="W233" t="n">
        <v>306.991308</v>
      </c>
      <c r="X233" t="n">
        <v>468.161038</v>
      </c>
    </row>
    <row r="234">
      <c r="A234" t="inlineStr">
        <is>
          <t>Alosa</t>
        </is>
      </c>
      <c r="B234" t="n">
        <v>3.89</v>
      </c>
      <c r="C234" t="n">
        <v>776.247117</v>
      </c>
      <c r="D234" t="inlineStr">
        <is>
          <t>Large Pelagics</t>
        </is>
      </c>
      <c r="E234" t="n">
        <v>327.790917</v>
      </c>
      <c r="F234" t="n">
        <v>409.325031</v>
      </c>
      <c r="G234" t="n">
        <v>95.473426</v>
      </c>
      <c r="H234" t="n">
        <v>171.971164</v>
      </c>
      <c r="I234" t="n">
        <v>151.710468</v>
      </c>
      <c r="J234" t="n">
        <v>166.941311</v>
      </c>
      <c r="K234" t="n">
        <v>150.24718</v>
      </c>
      <c r="L234" t="n">
        <v>208.675232</v>
      </c>
      <c r="M234" t="n">
        <v>208.675232</v>
      </c>
      <c r="N234" t="n">
        <v>208.675232</v>
      </c>
      <c r="O234" t="n">
        <v>139.225251</v>
      </c>
      <c r="P234" t="n">
        <v>55.587338</v>
      </c>
      <c r="Q234" t="n">
        <v>208.675232</v>
      </c>
      <c r="R234" t="n">
        <v>208.675232</v>
      </c>
      <c r="S234" t="n">
        <v>139.225251</v>
      </c>
      <c r="T234" t="n">
        <v>139.225251</v>
      </c>
      <c r="U234" t="n">
        <v>55.587338</v>
      </c>
      <c r="V234" t="n">
        <v>55.587338</v>
      </c>
      <c r="W234" t="n">
        <v>138.889014</v>
      </c>
      <c r="X234" t="n">
        <v>209.882396</v>
      </c>
    </row>
    <row r="235">
      <c r="A235" t="inlineStr">
        <is>
          <t>Mora moro</t>
        </is>
      </c>
      <c r="B235" t="n">
        <v>3.75</v>
      </c>
      <c r="C235" t="n">
        <v>562.341325</v>
      </c>
      <c r="D235" t="inlineStr">
        <is>
          <t>Unresolved</t>
        </is>
      </c>
    </row>
    <row r="236">
      <c r="A236" t="inlineStr">
        <is>
          <t>Cepola macrophthalma</t>
        </is>
      </c>
      <c r="B236" t="n">
        <v>3.13</v>
      </c>
      <c r="C236" t="n">
        <v>134.896288</v>
      </c>
      <c r="D236" t="inlineStr">
        <is>
          <t>Large Dem. fish</t>
        </is>
      </c>
      <c r="E236" t="n">
        <v>327.790917</v>
      </c>
      <c r="F236" t="n">
        <v>665.972772</v>
      </c>
      <c r="G236" t="n">
        <v>138.073221</v>
      </c>
      <c r="H236" t="n">
        <v>328.210407</v>
      </c>
      <c r="I236" t="n">
        <v>321.185641</v>
      </c>
      <c r="J236" t="n">
        <v>337.306601</v>
      </c>
      <c r="K236" t="n">
        <v>317.068205</v>
      </c>
      <c r="L236" t="n">
        <v>461.958282</v>
      </c>
      <c r="M236" t="n">
        <v>461.958282</v>
      </c>
      <c r="N236" t="n">
        <v>461.958282</v>
      </c>
      <c r="O236" t="n">
        <v>304.533157</v>
      </c>
      <c r="P236" t="n">
        <v>108.42706</v>
      </c>
      <c r="Q236" t="n">
        <v>461.958282</v>
      </c>
      <c r="R236" t="n">
        <v>461.958282</v>
      </c>
      <c r="S236" t="n">
        <v>304.533157</v>
      </c>
      <c r="T236" t="n">
        <v>304.533157</v>
      </c>
      <c r="U236" t="n">
        <v>108.42706</v>
      </c>
      <c r="V236" t="n">
        <v>108.42706</v>
      </c>
      <c r="W236" t="n">
        <v>306.991308</v>
      </c>
      <c r="X236" t="n">
        <v>468.161038</v>
      </c>
    </row>
    <row r="237">
      <c r="A237" t="inlineStr">
        <is>
          <t>Serranidae</t>
        </is>
      </c>
      <c r="D237" t="inlineStr">
        <is>
          <t>Large Dem. fish</t>
        </is>
      </c>
      <c r="E237" t="n">
        <v>327.790917</v>
      </c>
      <c r="F237" t="n">
        <v>665.972772</v>
      </c>
      <c r="G237" t="n">
        <v>138.073221</v>
      </c>
      <c r="H237" t="n">
        <v>328.210407</v>
      </c>
      <c r="I237" t="n">
        <v>321.185641</v>
      </c>
      <c r="J237" t="n">
        <v>337.306601</v>
      </c>
      <c r="K237" t="n">
        <v>317.068205</v>
      </c>
      <c r="L237" t="n">
        <v>461.958282</v>
      </c>
      <c r="M237" t="n">
        <v>461.958282</v>
      </c>
      <c r="N237" t="n">
        <v>461.958282</v>
      </c>
      <c r="O237" t="n">
        <v>304.533157</v>
      </c>
      <c r="P237" t="n">
        <v>108.42706</v>
      </c>
      <c r="Q237" t="n">
        <v>461.958282</v>
      </c>
      <c r="R237" t="n">
        <v>461.958282</v>
      </c>
      <c r="S237" t="n">
        <v>304.533157</v>
      </c>
      <c r="T237" t="n">
        <v>304.533157</v>
      </c>
      <c r="U237" t="n">
        <v>108.42706</v>
      </c>
      <c r="V237" t="n">
        <v>108.42706</v>
      </c>
      <c r="W237" t="n">
        <v>306.991308</v>
      </c>
      <c r="X237" t="n">
        <v>468.161038</v>
      </c>
    </row>
    <row r="238">
      <c r="A238" t="inlineStr">
        <is>
          <t>Scorpaenidae</t>
        </is>
      </c>
      <c r="B238" t="n">
        <v>3.92</v>
      </c>
      <c r="C238" t="n">
        <v>831.763771</v>
      </c>
      <c r="D238" t="inlineStr">
        <is>
          <t>Large Dem. fish</t>
        </is>
      </c>
      <c r="E238" t="n">
        <v>327.790917</v>
      </c>
      <c r="F238" t="n">
        <v>665.972772</v>
      </c>
      <c r="G238" t="n">
        <v>138.073221</v>
      </c>
      <c r="H238" t="n">
        <v>328.210407</v>
      </c>
      <c r="I238" t="n">
        <v>321.185641</v>
      </c>
      <c r="J238" t="n">
        <v>337.306601</v>
      </c>
      <c r="K238" t="n">
        <v>317.068205</v>
      </c>
      <c r="L238" t="n">
        <v>461.958282</v>
      </c>
      <c r="M238" t="n">
        <v>461.958282</v>
      </c>
      <c r="N238" t="n">
        <v>461.958282</v>
      </c>
      <c r="O238" t="n">
        <v>304.533157</v>
      </c>
      <c r="P238" t="n">
        <v>108.42706</v>
      </c>
      <c r="Q238" t="n">
        <v>461.958282</v>
      </c>
      <c r="R238" t="n">
        <v>461.958282</v>
      </c>
      <c r="S238" t="n">
        <v>304.533157</v>
      </c>
      <c r="T238" t="n">
        <v>304.533157</v>
      </c>
      <c r="U238" t="n">
        <v>108.42706</v>
      </c>
      <c r="V238" t="n">
        <v>108.42706</v>
      </c>
      <c r="W238" t="n">
        <v>306.991308</v>
      </c>
      <c r="X238" t="n">
        <v>468.161038</v>
      </c>
    </row>
    <row r="239">
      <c r="A239" t="inlineStr">
        <is>
          <t>Labrus bergylta</t>
        </is>
      </c>
      <c r="B239" t="n">
        <v>3.2</v>
      </c>
      <c r="C239" t="n">
        <v>158.489319</v>
      </c>
      <c r="D239" t="inlineStr">
        <is>
          <t>Large Dem. fish</t>
        </is>
      </c>
      <c r="E239" t="n">
        <v>327.790917</v>
      </c>
      <c r="F239" t="n">
        <v>665.972772</v>
      </c>
      <c r="G239" t="n">
        <v>138.073221</v>
      </c>
      <c r="H239" t="n">
        <v>328.210407</v>
      </c>
      <c r="I239" t="n">
        <v>321.185641</v>
      </c>
      <c r="J239" t="n">
        <v>337.306601</v>
      </c>
      <c r="K239" t="n">
        <v>317.068205</v>
      </c>
      <c r="L239" t="n">
        <v>461.958282</v>
      </c>
      <c r="M239" t="n">
        <v>461.958282</v>
      </c>
      <c r="N239" t="n">
        <v>461.958282</v>
      </c>
      <c r="O239" t="n">
        <v>304.533157</v>
      </c>
      <c r="P239" t="n">
        <v>108.42706</v>
      </c>
      <c r="Q239" t="n">
        <v>461.958282</v>
      </c>
      <c r="R239" t="n">
        <v>461.958282</v>
      </c>
      <c r="S239" t="n">
        <v>304.533157</v>
      </c>
      <c r="T239" t="n">
        <v>304.533157</v>
      </c>
      <c r="U239" t="n">
        <v>108.42706</v>
      </c>
      <c r="V239" t="n">
        <v>108.42706</v>
      </c>
      <c r="W239" t="n">
        <v>306.991308</v>
      </c>
      <c r="X239" t="n">
        <v>468.161038</v>
      </c>
    </row>
    <row r="240">
      <c r="A240" t="inlineStr">
        <is>
          <t>Echinus esculentus</t>
        </is>
      </c>
      <c r="B240" t="n">
        <v>2</v>
      </c>
      <c r="C240" t="n">
        <v>10</v>
      </c>
      <c r="D240" t="inlineStr">
        <is>
          <t>Epifauna</t>
        </is>
      </c>
      <c r="E240" t="n">
        <v>327.790917</v>
      </c>
      <c r="F240" t="n">
        <v>28.994229</v>
      </c>
      <c r="G240" t="n">
        <v>12.834993</v>
      </c>
      <c r="H240" t="n">
        <v>17.954978</v>
      </c>
      <c r="I240" t="n">
        <v>11.374014</v>
      </c>
      <c r="J240" t="n">
        <v>11.374014</v>
      </c>
      <c r="K240" t="n">
        <v>10.009132</v>
      </c>
      <c r="L240" t="n">
        <v>10.950321</v>
      </c>
      <c r="M240" t="n">
        <v>10.950321</v>
      </c>
      <c r="N240" t="n">
        <v>10.950321</v>
      </c>
      <c r="O240" t="n">
        <v>10.041084</v>
      </c>
      <c r="P240" t="n">
        <v>6.846302</v>
      </c>
      <c r="Q240" t="n">
        <v>10.950321</v>
      </c>
      <c r="R240" t="n">
        <v>10.950321</v>
      </c>
      <c r="S240" t="n">
        <v>10.041084</v>
      </c>
      <c r="T240" t="n">
        <v>10.041084</v>
      </c>
      <c r="U240" t="n">
        <v>6.846302</v>
      </c>
      <c r="V240" t="n">
        <v>6.846302</v>
      </c>
      <c r="W240" t="n">
        <v>9.947857000000001</v>
      </c>
      <c r="X240" t="n">
        <v>10.794705</v>
      </c>
    </row>
    <row r="241">
      <c r="A241" t="inlineStr">
        <is>
          <t>Epigonus telescopus</t>
        </is>
      </c>
      <c r="B241" t="n">
        <v>3.59</v>
      </c>
      <c r="C241" t="n">
        <v>389.045145</v>
      </c>
      <c r="D241" t="inlineStr">
        <is>
          <t>Unresolved</t>
        </is>
      </c>
    </row>
    <row r="242">
      <c r="A242" t="inlineStr">
        <is>
          <t>Trachinus</t>
        </is>
      </c>
      <c r="B242" t="n">
        <v>3.95</v>
      </c>
      <c r="C242" t="n">
        <v>891.250938</v>
      </c>
      <c r="D242" t="inlineStr">
        <is>
          <t>Large Dem. fish</t>
        </is>
      </c>
      <c r="E242" t="n">
        <v>327.790917</v>
      </c>
      <c r="F242" t="n">
        <v>665.972772</v>
      </c>
      <c r="G242" t="n">
        <v>138.073221</v>
      </c>
      <c r="H242" t="n">
        <v>328.210407</v>
      </c>
      <c r="I242" t="n">
        <v>321.185641</v>
      </c>
      <c r="J242" t="n">
        <v>337.306601</v>
      </c>
      <c r="K242" t="n">
        <v>317.068205</v>
      </c>
      <c r="L242" t="n">
        <v>461.958282</v>
      </c>
      <c r="M242" t="n">
        <v>461.958282</v>
      </c>
      <c r="N242" t="n">
        <v>461.958282</v>
      </c>
      <c r="O242" t="n">
        <v>304.533157</v>
      </c>
      <c r="P242" t="n">
        <v>108.42706</v>
      </c>
      <c r="Q242" t="n">
        <v>461.958282</v>
      </c>
      <c r="R242" t="n">
        <v>461.958282</v>
      </c>
      <c r="S242" t="n">
        <v>304.533157</v>
      </c>
      <c r="T242" t="n">
        <v>304.533157</v>
      </c>
      <c r="U242" t="n">
        <v>108.42706</v>
      </c>
      <c r="V242" t="n">
        <v>108.42706</v>
      </c>
      <c r="W242" t="n">
        <v>306.991308</v>
      </c>
      <c r="X242" t="n">
        <v>468.161038</v>
      </c>
    </row>
    <row r="243">
      <c r="A243" t="inlineStr">
        <is>
          <t>Boops boops</t>
        </is>
      </c>
      <c r="B243" t="n">
        <v>2.79</v>
      </c>
      <c r="C243" t="n">
        <v>61.6595</v>
      </c>
      <c r="D243" t="inlineStr">
        <is>
          <t>Large Dem. fish</t>
        </is>
      </c>
      <c r="E243" t="n">
        <v>327.790917</v>
      </c>
      <c r="F243" t="n">
        <v>665.972772</v>
      </c>
      <c r="G243" t="n">
        <v>138.073221</v>
      </c>
      <c r="H243" t="n">
        <v>328.210407</v>
      </c>
      <c r="I243" t="n">
        <v>321.185641</v>
      </c>
      <c r="J243" t="n">
        <v>337.306601</v>
      </c>
      <c r="K243" t="n">
        <v>317.068205</v>
      </c>
      <c r="L243" t="n">
        <v>461.958282</v>
      </c>
      <c r="M243" t="n">
        <v>461.958282</v>
      </c>
      <c r="N243" t="n">
        <v>461.958282</v>
      </c>
      <c r="O243" t="n">
        <v>304.533157</v>
      </c>
      <c r="P243" t="n">
        <v>108.42706</v>
      </c>
      <c r="Q243" t="n">
        <v>461.958282</v>
      </c>
      <c r="R243" t="n">
        <v>461.958282</v>
      </c>
      <c r="S243" t="n">
        <v>304.533157</v>
      </c>
      <c r="T243" t="n">
        <v>304.533157</v>
      </c>
      <c r="U243" t="n">
        <v>108.42706</v>
      </c>
      <c r="V243" t="n">
        <v>108.42706</v>
      </c>
      <c r="W243" t="n">
        <v>306.991308</v>
      </c>
      <c r="X243" t="n">
        <v>468.161038</v>
      </c>
    </row>
    <row r="244">
      <c r="A244" t="inlineStr">
        <is>
          <t>Pandalidae</t>
        </is>
      </c>
      <c r="B244" t="n">
        <v>2.7</v>
      </c>
      <c r="C244" t="n">
        <v>50.118723</v>
      </c>
      <c r="D244" t="inlineStr">
        <is>
          <t>Crustacea</t>
        </is>
      </c>
      <c r="E244" t="n">
        <v>327.790917</v>
      </c>
      <c r="F244" t="n">
        <v>79.403785</v>
      </c>
      <c r="G244" t="n">
        <v>27.544327</v>
      </c>
      <c r="H244" t="n">
        <v>45.837748</v>
      </c>
      <c r="I244" t="n">
        <v>38.918317</v>
      </c>
      <c r="J244" t="n">
        <v>38.964516</v>
      </c>
      <c r="K244" t="n">
        <v>31.561258</v>
      </c>
      <c r="L244" t="n">
        <v>47.671907</v>
      </c>
      <c r="M244" t="n">
        <v>47.671907</v>
      </c>
      <c r="N244" t="n">
        <v>47.671907</v>
      </c>
      <c r="O244" t="n">
        <v>34.575524</v>
      </c>
      <c r="P244" t="n">
        <v>19.020842</v>
      </c>
      <c r="Q244" t="n">
        <v>47.671907</v>
      </c>
      <c r="R244" t="n">
        <v>47.671907</v>
      </c>
      <c r="S244" t="n">
        <v>34.575524</v>
      </c>
      <c r="T244" t="n">
        <v>34.575524</v>
      </c>
      <c r="U244" t="n">
        <v>19.020842</v>
      </c>
      <c r="V244" t="n">
        <v>19.020842</v>
      </c>
      <c r="W244" t="n">
        <v>34.954015</v>
      </c>
      <c r="X244" t="n">
        <v>47.765312</v>
      </c>
    </row>
    <row r="245">
      <c r="A245" t="inlineStr">
        <is>
          <t>Symphodus melops</t>
        </is>
      </c>
      <c r="B245" t="n">
        <v>3.38</v>
      </c>
      <c r="C245" t="n">
        <v>239.883292</v>
      </c>
      <c r="D245" t="inlineStr">
        <is>
          <t>Large Dem. fish</t>
        </is>
      </c>
      <c r="E245" t="n">
        <v>327.790917</v>
      </c>
      <c r="F245" t="n">
        <v>665.972772</v>
      </c>
      <c r="G245" t="n">
        <v>138.073221</v>
      </c>
      <c r="H245" t="n">
        <v>328.210407</v>
      </c>
      <c r="I245" t="n">
        <v>321.185641</v>
      </c>
      <c r="J245" t="n">
        <v>337.306601</v>
      </c>
      <c r="K245" t="n">
        <v>317.068205</v>
      </c>
      <c r="L245" t="n">
        <v>461.958282</v>
      </c>
      <c r="M245" t="n">
        <v>461.958282</v>
      </c>
      <c r="N245" t="n">
        <v>461.958282</v>
      </c>
      <c r="O245" t="n">
        <v>304.533157</v>
      </c>
      <c r="P245" t="n">
        <v>108.42706</v>
      </c>
      <c r="Q245" t="n">
        <v>461.958282</v>
      </c>
      <c r="R245" t="n">
        <v>461.958282</v>
      </c>
      <c r="S245" t="n">
        <v>304.533157</v>
      </c>
      <c r="T245" t="n">
        <v>304.533157</v>
      </c>
      <c r="U245" t="n">
        <v>108.42706</v>
      </c>
      <c r="V245" t="n">
        <v>108.42706</v>
      </c>
      <c r="W245" t="n">
        <v>306.991308</v>
      </c>
      <c r="X245" t="n">
        <v>468.161038</v>
      </c>
    </row>
    <row r="246">
      <c r="A246" t="inlineStr">
        <is>
          <t>Solea</t>
        </is>
      </c>
      <c r="B246" t="n">
        <v>3.13</v>
      </c>
      <c r="C246" t="n">
        <v>134.896288</v>
      </c>
      <c r="D246" t="inlineStr">
        <is>
          <t>Flatfishes</t>
        </is>
      </c>
      <c r="E246" t="n">
        <v>327.790917</v>
      </c>
      <c r="F246" t="n">
        <v>222.264878</v>
      </c>
      <c r="G246" t="n">
        <v>60.099306</v>
      </c>
      <c r="H246" t="n">
        <v>123.58001</v>
      </c>
      <c r="I246" t="n">
        <v>98.981683</v>
      </c>
      <c r="J246" t="n">
        <v>101.310188</v>
      </c>
      <c r="K246" t="n">
        <v>92.19227100000001</v>
      </c>
      <c r="L246" t="n">
        <v>114.167454</v>
      </c>
      <c r="M246" t="n">
        <v>114.167454</v>
      </c>
      <c r="N246" t="n">
        <v>114.167454</v>
      </c>
      <c r="O246" t="n">
        <v>82.349557</v>
      </c>
      <c r="P246" t="n">
        <v>38.756383</v>
      </c>
      <c r="Q246" t="n">
        <v>114.167454</v>
      </c>
      <c r="R246" t="n">
        <v>114.167454</v>
      </c>
      <c r="S246" t="n">
        <v>82.349557</v>
      </c>
      <c r="T246" t="n">
        <v>82.349557</v>
      </c>
      <c r="U246" t="n">
        <v>38.756383</v>
      </c>
      <c r="V246" t="n">
        <v>38.756383</v>
      </c>
      <c r="W246" t="n">
        <v>82.655303</v>
      </c>
      <c r="X246" t="n">
        <v>113.898256</v>
      </c>
    </row>
    <row r="247">
      <c r="A247" t="inlineStr">
        <is>
          <t>Mustelus asterias</t>
        </is>
      </c>
      <c r="B247" t="n">
        <v>3.62</v>
      </c>
      <c r="C247" t="n">
        <v>416.869383</v>
      </c>
      <c r="D247" t="inlineStr">
        <is>
          <t>Sharks &amp; rays</t>
        </is>
      </c>
      <c r="E247" t="n">
        <v>327.790917</v>
      </c>
      <c r="F247" t="n">
        <v>522.28227</v>
      </c>
      <c r="G247" t="n">
        <v>114.842938</v>
      </c>
      <c r="H247" t="n">
        <v>326.928715</v>
      </c>
      <c r="I247" t="n">
        <v>732.255138</v>
      </c>
      <c r="J247" t="n">
        <v>761.48662</v>
      </c>
      <c r="K247" t="n">
        <v>327.439247</v>
      </c>
      <c r="L247" t="n">
        <v>1275.246638</v>
      </c>
      <c r="M247" t="n">
        <v>1275.246638</v>
      </c>
      <c r="N247" t="n">
        <v>1275.246638</v>
      </c>
      <c r="O247" t="n">
        <v>317.659957</v>
      </c>
      <c r="P247" t="n">
        <v>115.247551</v>
      </c>
      <c r="Q247" t="n">
        <v>1275.246638</v>
      </c>
      <c r="R247" t="n">
        <v>1275.246638</v>
      </c>
      <c r="S247" t="n">
        <v>317.659957</v>
      </c>
      <c r="T247" t="n">
        <v>317.659957</v>
      </c>
      <c r="U247" t="n">
        <v>115.247551</v>
      </c>
      <c r="V247" t="n">
        <v>115.247551</v>
      </c>
      <c r="W247" t="n">
        <v>327.701462</v>
      </c>
      <c r="X247" t="n">
        <v>1310.378519</v>
      </c>
    </row>
    <row r="248">
      <c r="A248" t="inlineStr">
        <is>
          <t>Acipenseridae</t>
        </is>
      </c>
      <c r="D248" t="inlineStr">
        <is>
          <t>Unresolved</t>
        </is>
      </c>
    </row>
    <row r="249">
      <c r="A249" t="inlineStr">
        <is>
          <t>Alosa fallax</t>
        </is>
      </c>
      <c r="B249" t="n">
        <v>4.03</v>
      </c>
      <c r="C249" t="n">
        <v>1071.519305</v>
      </c>
      <c r="D249" t="inlineStr">
        <is>
          <t>Large Pelagics</t>
        </is>
      </c>
      <c r="E249" t="n">
        <v>327.790917</v>
      </c>
      <c r="F249" t="n">
        <v>409.325031</v>
      </c>
      <c r="G249" t="n">
        <v>95.473426</v>
      </c>
      <c r="H249" t="n">
        <v>171.971164</v>
      </c>
      <c r="I249" t="n">
        <v>151.710468</v>
      </c>
      <c r="J249" t="n">
        <v>166.941311</v>
      </c>
      <c r="K249" t="n">
        <v>150.24718</v>
      </c>
      <c r="L249" t="n">
        <v>208.675232</v>
      </c>
      <c r="M249" t="n">
        <v>208.675232</v>
      </c>
      <c r="N249" t="n">
        <v>208.675232</v>
      </c>
      <c r="O249" t="n">
        <v>139.225251</v>
      </c>
      <c r="P249" t="n">
        <v>55.587338</v>
      </c>
      <c r="Q249" t="n">
        <v>208.675232</v>
      </c>
      <c r="R249" t="n">
        <v>208.675232</v>
      </c>
      <c r="S249" t="n">
        <v>139.225251</v>
      </c>
      <c r="T249" t="n">
        <v>139.225251</v>
      </c>
      <c r="U249" t="n">
        <v>55.587338</v>
      </c>
      <c r="V249" t="n">
        <v>55.587338</v>
      </c>
      <c r="W249" t="n">
        <v>138.889014</v>
      </c>
      <c r="X249" t="n">
        <v>209.882396</v>
      </c>
    </row>
    <row r="250">
      <c r="A250" t="inlineStr">
        <is>
          <t>Ciliata mustela</t>
        </is>
      </c>
      <c r="D250" t="inlineStr">
        <is>
          <t>Large Dem. fish</t>
        </is>
      </c>
      <c r="E250" t="n">
        <v>327.790917</v>
      </c>
      <c r="F250" t="n">
        <v>665.972772</v>
      </c>
      <c r="G250" t="n">
        <v>138.073221</v>
      </c>
      <c r="H250" t="n">
        <v>328.210407</v>
      </c>
      <c r="I250" t="n">
        <v>321.185641</v>
      </c>
      <c r="J250" t="n">
        <v>337.306601</v>
      </c>
      <c r="K250" t="n">
        <v>317.068205</v>
      </c>
      <c r="L250" t="n">
        <v>461.958282</v>
      </c>
      <c r="M250" t="n">
        <v>461.958282</v>
      </c>
      <c r="N250" t="n">
        <v>461.958282</v>
      </c>
      <c r="O250" t="n">
        <v>304.533157</v>
      </c>
      <c r="P250" t="n">
        <v>108.42706</v>
      </c>
      <c r="Q250" t="n">
        <v>461.958282</v>
      </c>
      <c r="R250" t="n">
        <v>461.958282</v>
      </c>
      <c r="S250" t="n">
        <v>304.533157</v>
      </c>
      <c r="T250" t="n">
        <v>304.533157</v>
      </c>
      <c r="U250" t="n">
        <v>108.42706</v>
      </c>
      <c r="V250" t="n">
        <v>108.42706</v>
      </c>
      <c r="W250" t="n">
        <v>306.991308</v>
      </c>
      <c r="X250" t="n">
        <v>468.161038</v>
      </c>
    </row>
    <row r="251">
      <c r="A251" t="inlineStr">
        <is>
          <t>Gadiculus thori</t>
        </is>
      </c>
      <c r="B251" t="n">
        <v>3.51</v>
      </c>
      <c r="C251" t="n">
        <v>323.593657</v>
      </c>
      <c r="D251" t="inlineStr">
        <is>
          <t>Small pelagics</t>
        </is>
      </c>
      <c r="E251" t="n">
        <v>327.790917</v>
      </c>
      <c r="F251" t="n">
        <v>148.024912</v>
      </c>
      <c r="G251" t="n">
        <v>44.163101</v>
      </c>
      <c r="H251" t="n">
        <v>58.893278</v>
      </c>
      <c r="I251" t="n">
        <v>29.57747</v>
      </c>
      <c r="J251" t="n">
        <v>29.708263</v>
      </c>
      <c r="K251" t="n">
        <v>26.143271</v>
      </c>
      <c r="L251" t="n">
        <v>37.444032</v>
      </c>
      <c r="M251" t="n">
        <v>37.444032</v>
      </c>
      <c r="N251" t="n">
        <v>37.444032</v>
      </c>
      <c r="O251" t="n">
        <v>26.825837</v>
      </c>
      <c r="P251" t="n">
        <v>12.629082</v>
      </c>
      <c r="Q251" t="n">
        <v>37.444032</v>
      </c>
      <c r="R251" t="n">
        <v>37.444032</v>
      </c>
      <c r="S251" t="n">
        <v>26.825837</v>
      </c>
      <c r="T251" t="n">
        <v>26.825837</v>
      </c>
      <c r="U251" t="n">
        <v>12.629082</v>
      </c>
      <c r="V251" t="n">
        <v>12.629082</v>
      </c>
      <c r="W251" t="n">
        <v>26.643813</v>
      </c>
      <c r="X251" t="n">
        <v>39.607714</v>
      </c>
    </row>
    <row r="252">
      <c r="A252" t="inlineStr">
        <is>
          <t>Octopus vulgaris</t>
        </is>
      </c>
      <c r="B252" t="n">
        <v>3.6</v>
      </c>
      <c r="C252" t="n">
        <v>398.107171</v>
      </c>
      <c r="D252" t="inlineStr">
        <is>
          <t>Squid &amp; Octopus</t>
        </is>
      </c>
      <c r="E252" t="n">
        <v>327.790917</v>
      </c>
      <c r="F252" t="n">
        <v>160.967585</v>
      </c>
      <c r="G252" t="n">
        <v>47.060072</v>
      </c>
      <c r="H252" t="n">
        <v>88.258037</v>
      </c>
      <c r="I252" t="n">
        <v>77.00034599999999</v>
      </c>
      <c r="J252" t="n">
        <v>77.34926</v>
      </c>
      <c r="K252" t="n">
        <v>73.481797</v>
      </c>
      <c r="L252" t="n">
        <v>94.097724</v>
      </c>
      <c r="M252" t="n">
        <v>94.097724</v>
      </c>
      <c r="N252" t="n">
        <v>94.097724</v>
      </c>
      <c r="O252" t="n">
        <v>70.413555</v>
      </c>
      <c r="P252" t="n">
        <v>31.50612</v>
      </c>
      <c r="Q252" t="n">
        <v>94.097724</v>
      </c>
      <c r="R252" t="n">
        <v>94.097724</v>
      </c>
      <c r="S252" t="n">
        <v>70.413555</v>
      </c>
      <c r="T252" t="n">
        <v>70.413555</v>
      </c>
      <c r="U252" t="n">
        <v>31.50612</v>
      </c>
      <c r="V252" t="n">
        <v>31.50612</v>
      </c>
      <c r="W252" t="n">
        <v>71.270959</v>
      </c>
      <c r="X252" t="n">
        <v>97.60397</v>
      </c>
    </row>
    <row r="253">
      <c r="A253" t="inlineStr">
        <is>
          <t>Isurus oxyrinchus</t>
        </is>
      </c>
      <c r="B253" t="n">
        <v>4.5</v>
      </c>
      <c r="C253" t="n">
        <v>3162.27766</v>
      </c>
      <c r="D253" t="inlineStr">
        <is>
          <t>Sharks &amp; rays</t>
        </is>
      </c>
      <c r="E253" t="n">
        <v>327.790917</v>
      </c>
      <c r="F253" t="n">
        <v>522.28227</v>
      </c>
      <c r="G253" t="n">
        <v>114.842938</v>
      </c>
      <c r="H253" t="n">
        <v>326.928715</v>
      </c>
      <c r="I253" t="n">
        <v>732.255138</v>
      </c>
      <c r="J253" t="n">
        <v>761.48662</v>
      </c>
      <c r="K253" t="n">
        <v>327.439247</v>
      </c>
      <c r="L253" t="n">
        <v>1275.246638</v>
      </c>
      <c r="M253" t="n">
        <v>1275.246638</v>
      </c>
      <c r="N253" t="n">
        <v>1275.246638</v>
      </c>
      <c r="O253" t="n">
        <v>317.659957</v>
      </c>
      <c r="P253" t="n">
        <v>115.247551</v>
      </c>
      <c r="Q253" t="n">
        <v>1275.246638</v>
      </c>
      <c r="R253" t="n">
        <v>1275.246638</v>
      </c>
      <c r="S253" t="n">
        <v>317.659957</v>
      </c>
      <c r="T253" t="n">
        <v>317.659957</v>
      </c>
      <c r="U253" t="n">
        <v>115.247551</v>
      </c>
      <c r="V253" t="n">
        <v>115.247551</v>
      </c>
      <c r="W253" t="n">
        <v>327.701462</v>
      </c>
      <c r="X253" t="n">
        <v>1310.378519</v>
      </c>
    </row>
    <row r="254">
      <c r="A254" t="inlineStr">
        <is>
          <t>Ctenolabrus rupestris</t>
        </is>
      </c>
      <c r="B254" t="n">
        <v>3.58</v>
      </c>
      <c r="C254" t="n">
        <v>380.189396</v>
      </c>
      <c r="D254" t="inlineStr">
        <is>
          <t>Large Dem. fish</t>
        </is>
      </c>
      <c r="E254" t="n">
        <v>327.790917</v>
      </c>
      <c r="F254" t="n">
        <v>665.972772</v>
      </c>
      <c r="G254" t="n">
        <v>138.073221</v>
      </c>
      <c r="H254" t="n">
        <v>328.210407</v>
      </c>
      <c r="I254" t="n">
        <v>321.185641</v>
      </c>
      <c r="J254" t="n">
        <v>337.306601</v>
      </c>
      <c r="K254" t="n">
        <v>317.068205</v>
      </c>
      <c r="L254" t="n">
        <v>461.958282</v>
      </c>
      <c r="M254" t="n">
        <v>461.958282</v>
      </c>
      <c r="N254" t="n">
        <v>461.958282</v>
      </c>
      <c r="O254" t="n">
        <v>304.533157</v>
      </c>
      <c r="P254" t="n">
        <v>108.42706</v>
      </c>
      <c r="Q254" t="n">
        <v>461.958282</v>
      </c>
      <c r="R254" t="n">
        <v>461.958282</v>
      </c>
      <c r="S254" t="n">
        <v>304.533157</v>
      </c>
      <c r="T254" t="n">
        <v>304.533157</v>
      </c>
      <c r="U254" t="n">
        <v>108.42706</v>
      </c>
      <c r="V254" t="n">
        <v>108.42706</v>
      </c>
      <c r="W254" t="n">
        <v>306.991308</v>
      </c>
      <c r="X254" t="n">
        <v>468.161038</v>
      </c>
    </row>
    <row r="255">
      <c r="A255" t="inlineStr">
        <is>
          <t>Atherinidae</t>
        </is>
      </c>
      <c r="B255" t="n">
        <v>3.2</v>
      </c>
      <c r="C255" t="n">
        <v>158.489319</v>
      </c>
      <c r="D255" t="inlineStr">
        <is>
          <t>Small pelagics</t>
        </is>
      </c>
      <c r="E255" t="n">
        <v>327.790917</v>
      </c>
      <c r="F255" t="n">
        <v>148.024912</v>
      </c>
      <c r="G255" t="n">
        <v>44.163101</v>
      </c>
      <c r="H255" t="n">
        <v>58.893278</v>
      </c>
      <c r="I255" t="n">
        <v>29.57747</v>
      </c>
      <c r="J255" t="n">
        <v>29.708263</v>
      </c>
      <c r="K255" t="n">
        <v>26.143271</v>
      </c>
      <c r="L255" t="n">
        <v>37.444032</v>
      </c>
      <c r="M255" t="n">
        <v>37.444032</v>
      </c>
      <c r="N255" t="n">
        <v>37.444032</v>
      </c>
      <c r="O255" t="n">
        <v>26.825837</v>
      </c>
      <c r="P255" t="n">
        <v>12.629082</v>
      </c>
      <c r="Q255" t="n">
        <v>37.444032</v>
      </c>
      <c r="R255" t="n">
        <v>37.444032</v>
      </c>
      <c r="S255" t="n">
        <v>26.825837</v>
      </c>
      <c r="T255" t="n">
        <v>26.825837</v>
      </c>
      <c r="U255" t="n">
        <v>12.629082</v>
      </c>
      <c r="V255" t="n">
        <v>12.629082</v>
      </c>
      <c r="W255" t="n">
        <v>26.643813</v>
      </c>
      <c r="X255" t="n">
        <v>39.607714</v>
      </c>
    </row>
    <row r="256">
      <c r="A256" t="inlineStr">
        <is>
          <t>Microchirus</t>
        </is>
      </c>
      <c r="D256" t="inlineStr">
        <is>
          <t>Flatfishes</t>
        </is>
      </c>
      <c r="E256" t="n">
        <v>327.790917</v>
      </c>
      <c r="F256" t="n">
        <v>222.264878</v>
      </c>
      <c r="G256" t="n">
        <v>60.099306</v>
      </c>
      <c r="H256" t="n">
        <v>123.58001</v>
      </c>
      <c r="I256" t="n">
        <v>98.981683</v>
      </c>
      <c r="J256" t="n">
        <v>101.310188</v>
      </c>
      <c r="K256" t="n">
        <v>92.19227100000001</v>
      </c>
      <c r="L256" t="n">
        <v>114.167454</v>
      </c>
      <c r="M256" t="n">
        <v>114.167454</v>
      </c>
      <c r="N256" t="n">
        <v>114.167454</v>
      </c>
      <c r="O256" t="n">
        <v>82.349557</v>
      </c>
      <c r="P256" t="n">
        <v>38.756383</v>
      </c>
      <c r="Q256" t="n">
        <v>114.167454</v>
      </c>
      <c r="R256" t="n">
        <v>114.167454</v>
      </c>
      <c r="S256" t="n">
        <v>82.349557</v>
      </c>
      <c r="T256" t="n">
        <v>82.349557</v>
      </c>
      <c r="U256" t="n">
        <v>38.756383</v>
      </c>
      <c r="V256" t="n">
        <v>38.756383</v>
      </c>
      <c r="W256" t="n">
        <v>82.655303</v>
      </c>
      <c r="X256" t="n">
        <v>113.898256</v>
      </c>
    </row>
    <row r="257">
      <c r="A257" t="inlineStr">
        <is>
          <t>Trachipterus</t>
        </is>
      </c>
      <c r="B257" t="n">
        <v>4.5</v>
      </c>
      <c r="C257" t="n">
        <v>3162.27766</v>
      </c>
      <c r="D257" t="inlineStr">
        <is>
          <t>Unresolved</t>
        </is>
      </c>
    </row>
    <row r="258">
      <c r="A258" t="inlineStr">
        <is>
          <t>Todarodes sagittatus</t>
        </is>
      </c>
      <c r="B258" t="n">
        <v>4.01</v>
      </c>
      <c r="C258" t="n">
        <v>1023.292992</v>
      </c>
      <c r="D258" t="inlineStr">
        <is>
          <t>Squid &amp; Octopus</t>
        </is>
      </c>
      <c r="E258" t="n">
        <v>327.790917</v>
      </c>
      <c r="F258" t="n">
        <v>160.967585</v>
      </c>
      <c r="G258" t="n">
        <v>47.060072</v>
      </c>
      <c r="H258" t="n">
        <v>88.258037</v>
      </c>
      <c r="I258" t="n">
        <v>77.00034599999999</v>
      </c>
      <c r="J258" t="n">
        <v>77.34926</v>
      </c>
      <c r="K258" t="n">
        <v>73.481797</v>
      </c>
      <c r="L258" t="n">
        <v>94.097724</v>
      </c>
      <c r="M258" t="n">
        <v>94.097724</v>
      </c>
      <c r="N258" t="n">
        <v>94.097724</v>
      </c>
      <c r="O258" t="n">
        <v>70.413555</v>
      </c>
      <c r="P258" t="n">
        <v>31.50612</v>
      </c>
      <c r="Q258" t="n">
        <v>94.097724</v>
      </c>
      <c r="R258" t="n">
        <v>94.097724</v>
      </c>
      <c r="S258" t="n">
        <v>70.413555</v>
      </c>
      <c r="T258" t="n">
        <v>70.413555</v>
      </c>
      <c r="U258" t="n">
        <v>31.50612</v>
      </c>
      <c r="V258" t="n">
        <v>31.50612</v>
      </c>
      <c r="W258" t="n">
        <v>71.270959</v>
      </c>
      <c r="X258" t="n">
        <v>97.60397</v>
      </c>
    </row>
    <row r="259">
      <c r="A259" t="inlineStr">
        <is>
          <t>Hydrolagus</t>
        </is>
      </c>
      <c r="B259" t="n">
        <v>3.51</v>
      </c>
      <c r="C259" t="n">
        <v>323.593657</v>
      </c>
      <c r="D259" t="inlineStr">
        <is>
          <t>Unresolved</t>
        </is>
      </c>
    </row>
    <row r="260">
      <c r="A260" t="inlineStr">
        <is>
          <t>Glycymeris glycymeris</t>
        </is>
      </c>
      <c r="B260" t="n">
        <v>2</v>
      </c>
      <c r="C260" t="n">
        <v>10</v>
      </c>
      <c r="D260" t="inlineStr">
        <is>
          <t>Infauna</t>
        </is>
      </c>
      <c r="E260" t="n">
        <v>327.790917</v>
      </c>
      <c r="F260" t="n">
        <v>10</v>
      </c>
      <c r="G260" t="n">
        <v>5.727631</v>
      </c>
      <c r="H260" t="n">
        <v>5.721903</v>
      </c>
      <c r="I260" t="n">
        <v>4.44</v>
      </c>
      <c r="J260" t="n">
        <v>4.44</v>
      </c>
      <c r="K260" t="n">
        <v>3.996</v>
      </c>
      <c r="L260" t="n">
        <v>3.864936</v>
      </c>
      <c r="M260" t="n">
        <v>3.864936</v>
      </c>
      <c r="N260" t="n">
        <v>3.864936</v>
      </c>
      <c r="O260" t="n">
        <v>4.247203</v>
      </c>
      <c r="P260" t="n">
        <v>3.679841</v>
      </c>
      <c r="Q260" t="n">
        <v>3.864936</v>
      </c>
      <c r="R260" t="n">
        <v>3.864936</v>
      </c>
      <c r="S260" t="n">
        <v>4.247203</v>
      </c>
      <c r="T260" t="n">
        <v>4.247203</v>
      </c>
      <c r="U260" t="n">
        <v>3.679841</v>
      </c>
      <c r="V260" t="n">
        <v>3.679841</v>
      </c>
      <c r="W260" t="n">
        <v>4.187569</v>
      </c>
      <c r="X260" t="n">
        <v>3.928919</v>
      </c>
    </row>
    <row r="261">
      <c r="A261" t="inlineStr">
        <is>
          <t>Thunnus albacares</t>
        </is>
      </c>
      <c r="D261" t="inlineStr">
        <is>
          <t>Unresolved</t>
        </is>
      </c>
    </row>
    <row r="262">
      <c r="A262" t="inlineStr">
        <is>
          <t>Cyprinus carpio</t>
        </is>
      </c>
      <c r="D262" t="inlineStr">
        <is>
          <t>Unresolved</t>
        </is>
      </c>
    </row>
    <row r="263">
      <c r="A263" t="inlineStr">
        <is>
          <t>Peristediidae</t>
        </is>
      </c>
      <c r="D263" t="inlineStr">
        <is>
          <t>Large Dem. fish</t>
        </is>
      </c>
      <c r="E263" t="n">
        <v>327.790917</v>
      </c>
      <c r="F263" t="n">
        <v>665.972772</v>
      </c>
      <c r="G263" t="n">
        <v>138.073221</v>
      </c>
      <c r="H263" t="n">
        <v>328.210407</v>
      </c>
      <c r="I263" t="n">
        <v>321.185641</v>
      </c>
      <c r="J263" t="n">
        <v>337.306601</v>
      </c>
      <c r="K263" t="n">
        <v>317.068205</v>
      </c>
      <c r="L263" t="n">
        <v>461.958282</v>
      </c>
      <c r="M263" t="n">
        <v>461.958282</v>
      </c>
      <c r="N263" t="n">
        <v>461.958282</v>
      </c>
      <c r="O263" t="n">
        <v>304.533157</v>
      </c>
      <c r="P263" t="n">
        <v>108.42706</v>
      </c>
      <c r="Q263" t="n">
        <v>461.958282</v>
      </c>
      <c r="R263" t="n">
        <v>461.958282</v>
      </c>
      <c r="S263" t="n">
        <v>304.533157</v>
      </c>
      <c r="T263" t="n">
        <v>304.533157</v>
      </c>
      <c r="U263" t="n">
        <v>108.42706</v>
      </c>
      <c r="V263" t="n">
        <v>108.42706</v>
      </c>
      <c r="W263" t="n">
        <v>306.991308</v>
      </c>
      <c r="X263" t="n">
        <v>468.161038</v>
      </c>
    </row>
    <row r="264">
      <c r="A264" t="inlineStr">
        <is>
          <t>Mercenaria mercenaria</t>
        </is>
      </c>
      <c r="B264" t="n">
        <v>2</v>
      </c>
      <c r="C264" t="n">
        <v>10</v>
      </c>
      <c r="D264" t="inlineStr">
        <is>
          <t>Infauna</t>
        </is>
      </c>
      <c r="E264" t="n">
        <v>327.790917</v>
      </c>
      <c r="F264" t="n">
        <v>10</v>
      </c>
      <c r="G264" t="n">
        <v>5.727631</v>
      </c>
      <c r="H264" t="n">
        <v>5.721903</v>
      </c>
      <c r="I264" t="n">
        <v>4.44</v>
      </c>
      <c r="J264" t="n">
        <v>4.44</v>
      </c>
      <c r="K264" t="n">
        <v>3.996</v>
      </c>
      <c r="L264" t="n">
        <v>3.864936</v>
      </c>
      <c r="M264" t="n">
        <v>3.864936</v>
      </c>
      <c r="N264" t="n">
        <v>3.864936</v>
      </c>
      <c r="O264" t="n">
        <v>4.247203</v>
      </c>
      <c r="P264" t="n">
        <v>3.679841</v>
      </c>
      <c r="Q264" t="n">
        <v>3.864936</v>
      </c>
      <c r="R264" t="n">
        <v>3.864936</v>
      </c>
      <c r="S264" t="n">
        <v>4.247203</v>
      </c>
      <c r="T264" t="n">
        <v>4.247203</v>
      </c>
      <c r="U264" t="n">
        <v>3.679841</v>
      </c>
      <c r="V264" t="n">
        <v>3.679841</v>
      </c>
      <c r="W264" t="n">
        <v>4.187569</v>
      </c>
      <c r="X264" t="n">
        <v>3.928919</v>
      </c>
    </row>
    <row r="265">
      <c r="A265" t="inlineStr">
        <is>
          <t>Scorpaena</t>
        </is>
      </c>
      <c r="B265" t="n">
        <v>3.87</v>
      </c>
      <c r="C265" t="n">
        <v>741.310241</v>
      </c>
      <c r="D265" t="inlineStr">
        <is>
          <t>Large Dem. fish</t>
        </is>
      </c>
      <c r="E265" t="n">
        <v>327.790917</v>
      </c>
      <c r="F265" t="n">
        <v>665.972772</v>
      </c>
      <c r="G265" t="n">
        <v>138.073221</v>
      </c>
      <c r="H265" t="n">
        <v>328.210407</v>
      </c>
      <c r="I265" t="n">
        <v>321.185641</v>
      </c>
      <c r="J265" t="n">
        <v>337.306601</v>
      </c>
      <c r="K265" t="n">
        <v>317.068205</v>
      </c>
      <c r="L265" t="n">
        <v>461.958282</v>
      </c>
      <c r="M265" t="n">
        <v>461.958282</v>
      </c>
      <c r="N265" t="n">
        <v>461.958282</v>
      </c>
      <c r="O265" t="n">
        <v>304.533157</v>
      </c>
      <c r="P265" t="n">
        <v>108.42706</v>
      </c>
      <c r="Q265" t="n">
        <v>461.958282</v>
      </c>
      <c r="R265" t="n">
        <v>461.958282</v>
      </c>
      <c r="S265" t="n">
        <v>304.533157</v>
      </c>
      <c r="T265" t="n">
        <v>304.533157</v>
      </c>
      <c r="U265" t="n">
        <v>108.42706</v>
      </c>
      <c r="V265" t="n">
        <v>108.42706</v>
      </c>
      <c r="W265" t="n">
        <v>306.991308</v>
      </c>
      <c r="X265" t="n">
        <v>468.161038</v>
      </c>
    </row>
    <row r="266">
      <c r="A266" t="inlineStr">
        <is>
          <t>Anomura</t>
        </is>
      </c>
      <c r="B266" t="n">
        <v>3.1</v>
      </c>
      <c r="C266" t="n">
        <v>125.892541</v>
      </c>
      <c r="D266" t="inlineStr">
        <is>
          <t>Crustacea</t>
        </is>
      </c>
      <c r="E266" t="n">
        <v>327.790917</v>
      </c>
      <c r="F266" t="n">
        <v>79.403785</v>
      </c>
      <c r="G266" t="n">
        <v>27.544327</v>
      </c>
      <c r="H266" t="n">
        <v>45.837748</v>
      </c>
      <c r="I266" t="n">
        <v>38.918317</v>
      </c>
      <c r="J266" t="n">
        <v>38.964516</v>
      </c>
      <c r="K266" t="n">
        <v>31.561258</v>
      </c>
      <c r="L266" t="n">
        <v>47.671907</v>
      </c>
      <c r="M266" t="n">
        <v>47.671907</v>
      </c>
      <c r="N266" t="n">
        <v>47.671907</v>
      </c>
      <c r="O266" t="n">
        <v>34.575524</v>
      </c>
      <c r="P266" t="n">
        <v>19.020842</v>
      </c>
      <c r="Q266" t="n">
        <v>47.671907</v>
      </c>
      <c r="R266" t="n">
        <v>47.671907</v>
      </c>
      <c r="S266" t="n">
        <v>34.575524</v>
      </c>
      <c r="T266" t="n">
        <v>34.575524</v>
      </c>
      <c r="U266" t="n">
        <v>19.020842</v>
      </c>
      <c r="V266" t="n">
        <v>19.020842</v>
      </c>
      <c r="W266" t="n">
        <v>34.954015</v>
      </c>
      <c r="X266" t="n">
        <v>47.765312</v>
      </c>
    </row>
    <row r="267">
      <c r="A267" t="inlineStr">
        <is>
          <t>Lithodidae</t>
        </is>
      </c>
      <c r="D267" t="inlineStr">
        <is>
          <t>Crustacea</t>
        </is>
      </c>
      <c r="E267" t="n">
        <v>327.790917</v>
      </c>
      <c r="F267" t="n">
        <v>79.403785</v>
      </c>
      <c r="G267" t="n">
        <v>27.544327</v>
      </c>
      <c r="H267" t="n">
        <v>45.837748</v>
      </c>
      <c r="I267" t="n">
        <v>38.918317</v>
      </c>
      <c r="J267" t="n">
        <v>38.964516</v>
      </c>
      <c r="K267" t="n">
        <v>31.561258</v>
      </c>
      <c r="L267" t="n">
        <v>47.671907</v>
      </c>
      <c r="M267" t="n">
        <v>47.671907</v>
      </c>
      <c r="N267" t="n">
        <v>47.671907</v>
      </c>
      <c r="O267" t="n">
        <v>34.575524</v>
      </c>
      <c r="P267" t="n">
        <v>19.020842</v>
      </c>
      <c r="Q267" t="n">
        <v>47.671907</v>
      </c>
      <c r="R267" t="n">
        <v>47.671907</v>
      </c>
      <c r="S267" t="n">
        <v>34.575524</v>
      </c>
      <c r="T267" t="n">
        <v>34.575524</v>
      </c>
      <c r="U267" t="n">
        <v>19.020842</v>
      </c>
      <c r="V267" t="n">
        <v>19.020842</v>
      </c>
      <c r="W267" t="n">
        <v>34.954015</v>
      </c>
      <c r="X267" t="n">
        <v>47.765312</v>
      </c>
    </row>
    <row r="268">
      <c r="A268" t="inlineStr">
        <is>
          <t>Dalatias licha</t>
        </is>
      </c>
      <c r="D268" t="inlineStr">
        <is>
          <t>Sharks &amp; rays</t>
        </is>
      </c>
      <c r="E268" t="n">
        <v>327.790917</v>
      </c>
      <c r="F268" t="n">
        <v>522.28227</v>
      </c>
      <c r="G268" t="n">
        <v>114.842938</v>
      </c>
      <c r="H268" t="n">
        <v>326.928715</v>
      </c>
      <c r="I268" t="n">
        <v>732.255138</v>
      </c>
      <c r="J268" t="n">
        <v>761.48662</v>
      </c>
      <c r="K268" t="n">
        <v>327.439247</v>
      </c>
      <c r="L268" t="n">
        <v>1275.246638</v>
      </c>
      <c r="M268" t="n">
        <v>1275.246638</v>
      </c>
      <c r="N268" t="n">
        <v>1275.246638</v>
      </c>
      <c r="O268" t="n">
        <v>317.659957</v>
      </c>
      <c r="P268" t="n">
        <v>115.247551</v>
      </c>
      <c r="Q268" t="n">
        <v>1275.246638</v>
      </c>
      <c r="R268" t="n">
        <v>1275.246638</v>
      </c>
      <c r="S268" t="n">
        <v>317.659957</v>
      </c>
      <c r="T268" t="n">
        <v>317.659957</v>
      </c>
      <c r="U268" t="n">
        <v>115.247551</v>
      </c>
      <c r="V268" t="n">
        <v>115.247551</v>
      </c>
      <c r="W268" t="n">
        <v>327.701462</v>
      </c>
      <c r="X268" t="n">
        <v>1310.378519</v>
      </c>
    </row>
    <row r="269">
      <c r="A269" t="inlineStr">
        <is>
          <t>Microchirus variegatus</t>
        </is>
      </c>
      <c r="B269" t="n">
        <v>3.28</v>
      </c>
      <c r="C269" t="n">
        <v>190.546072</v>
      </c>
      <c r="D269" t="inlineStr">
        <is>
          <t>Flatfishes</t>
        </is>
      </c>
      <c r="E269" t="n">
        <v>327.790917</v>
      </c>
      <c r="F269" t="n">
        <v>222.264878</v>
      </c>
      <c r="G269" t="n">
        <v>60.099306</v>
      </c>
      <c r="H269" t="n">
        <v>123.58001</v>
      </c>
      <c r="I269" t="n">
        <v>98.981683</v>
      </c>
      <c r="J269" t="n">
        <v>101.310188</v>
      </c>
      <c r="K269" t="n">
        <v>92.19227100000001</v>
      </c>
      <c r="L269" t="n">
        <v>114.167454</v>
      </c>
      <c r="M269" t="n">
        <v>114.167454</v>
      </c>
      <c r="N269" t="n">
        <v>114.167454</v>
      </c>
      <c r="O269" t="n">
        <v>82.349557</v>
      </c>
      <c r="P269" t="n">
        <v>38.756383</v>
      </c>
      <c r="Q269" t="n">
        <v>114.167454</v>
      </c>
      <c r="R269" t="n">
        <v>114.167454</v>
      </c>
      <c r="S269" t="n">
        <v>82.349557</v>
      </c>
      <c r="T269" t="n">
        <v>82.349557</v>
      </c>
      <c r="U269" t="n">
        <v>38.756383</v>
      </c>
      <c r="V269" t="n">
        <v>38.756383</v>
      </c>
      <c r="W269" t="n">
        <v>82.655303</v>
      </c>
      <c r="X269" t="n">
        <v>113.898256</v>
      </c>
    </row>
    <row r="270">
      <c r="A270" t="inlineStr">
        <is>
          <t>Amblyraja hyperborea</t>
        </is>
      </c>
      <c r="B270" t="n">
        <v>4.31</v>
      </c>
      <c r="C270" t="n">
        <v>2041.737945</v>
      </c>
      <c r="D270" t="inlineStr">
        <is>
          <t>Sharks &amp; rays</t>
        </is>
      </c>
      <c r="E270" t="n">
        <v>327.790917</v>
      </c>
      <c r="F270" t="n">
        <v>522.28227</v>
      </c>
      <c r="G270" t="n">
        <v>114.842938</v>
      </c>
      <c r="H270" t="n">
        <v>326.928715</v>
      </c>
      <c r="I270" t="n">
        <v>732.255138</v>
      </c>
      <c r="J270" t="n">
        <v>761.48662</v>
      </c>
      <c r="K270" t="n">
        <v>327.439247</v>
      </c>
      <c r="L270" t="n">
        <v>1275.246638</v>
      </c>
      <c r="M270" t="n">
        <v>1275.246638</v>
      </c>
      <c r="N270" t="n">
        <v>1275.246638</v>
      </c>
      <c r="O270" t="n">
        <v>317.659957</v>
      </c>
      <c r="P270" t="n">
        <v>115.247551</v>
      </c>
      <c r="Q270" t="n">
        <v>1275.246638</v>
      </c>
      <c r="R270" t="n">
        <v>1275.246638</v>
      </c>
      <c r="S270" t="n">
        <v>317.659957</v>
      </c>
      <c r="T270" t="n">
        <v>317.659957</v>
      </c>
      <c r="U270" t="n">
        <v>115.247551</v>
      </c>
      <c r="V270" t="n">
        <v>115.247551</v>
      </c>
      <c r="W270" t="n">
        <v>327.701462</v>
      </c>
      <c r="X270" t="n">
        <v>1310.378519</v>
      </c>
    </row>
    <row r="271">
      <c r="A271" t="inlineStr">
        <is>
          <t>Centrophorus squamosus</t>
        </is>
      </c>
      <c r="D271" t="inlineStr">
        <is>
          <t>Sharks &amp; rays</t>
        </is>
      </c>
      <c r="E271" t="n">
        <v>327.790917</v>
      </c>
      <c r="F271" t="n">
        <v>522.28227</v>
      </c>
      <c r="G271" t="n">
        <v>114.842938</v>
      </c>
      <c r="H271" t="n">
        <v>326.928715</v>
      </c>
      <c r="I271" t="n">
        <v>732.255138</v>
      </c>
      <c r="J271" t="n">
        <v>761.48662</v>
      </c>
      <c r="K271" t="n">
        <v>327.439247</v>
      </c>
      <c r="L271" t="n">
        <v>1275.246638</v>
      </c>
      <c r="M271" t="n">
        <v>1275.246638</v>
      </c>
      <c r="N271" t="n">
        <v>1275.246638</v>
      </c>
      <c r="O271" t="n">
        <v>317.659957</v>
      </c>
      <c r="P271" t="n">
        <v>115.247551</v>
      </c>
      <c r="Q271" t="n">
        <v>1275.246638</v>
      </c>
      <c r="R271" t="n">
        <v>1275.246638</v>
      </c>
      <c r="S271" t="n">
        <v>317.659957</v>
      </c>
      <c r="T271" t="n">
        <v>317.659957</v>
      </c>
      <c r="U271" t="n">
        <v>115.247551</v>
      </c>
      <c r="V271" t="n">
        <v>115.247551</v>
      </c>
      <c r="W271" t="n">
        <v>327.701462</v>
      </c>
      <c r="X271" t="n">
        <v>1310.378519</v>
      </c>
    </row>
    <row r="272">
      <c r="A272" t="inlineStr">
        <is>
          <t>Etmopterus spinax</t>
        </is>
      </c>
      <c r="B272" t="n">
        <v>4.14</v>
      </c>
      <c r="C272" t="n">
        <v>1380.384265</v>
      </c>
      <c r="D272" t="inlineStr">
        <is>
          <t>Sharks &amp; rays</t>
        </is>
      </c>
      <c r="E272" t="n">
        <v>327.790917</v>
      </c>
      <c r="F272" t="n">
        <v>522.28227</v>
      </c>
      <c r="G272" t="n">
        <v>114.842938</v>
      </c>
      <c r="H272" t="n">
        <v>326.928715</v>
      </c>
      <c r="I272" t="n">
        <v>732.255138</v>
      </c>
      <c r="J272" t="n">
        <v>761.48662</v>
      </c>
      <c r="K272" t="n">
        <v>327.439247</v>
      </c>
      <c r="L272" t="n">
        <v>1275.246638</v>
      </c>
      <c r="M272" t="n">
        <v>1275.246638</v>
      </c>
      <c r="N272" t="n">
        <v>1275.246638</v>
      </c>
      <c r="O272" t="n">
        <v>317.659957</v>
      </c>
      <c r="P272" t="n">
        <v>115.247551</v>
      </c>
      <c r="Q272" t="n">
        <v>1275.246638</v>
      </c>
      <c r="R272" t="n">
        <v>1275.246638</v>
      </c>
      <c r="S272" t="n">
        <v>317.659957</v>
      </c>
      <c r="T272" t="n">
        <v>317.659957</v>
      </c>
      <c r="U272" t="n">
        <v>115.247551</v>
      </c>
      <c r="V272" t="n">
        <v>115.247551</v>
      </c>
      <c r="W272" t="n">
        <v>327.701462</v>
      </c>
      <c r="X272" t="n">
        <v>1310.378519</v>
      </c>
    </row>
    <row r="273">
      <c r="A273" t="inlineStr">
        <is>
          <t>Lepidopus caudatus</t>
        </is>
      </c>
      <c r="B273" t="n">
        <v>3.82</v>
      </c>
      <c r="C273" t="n">
        <v>660.693448</v>
      </c>
      <c r="D273" t="inlineStr">
        <is>
          <t>Unresolved</t>
        </is>
      </c>
    </row>
    <row r="274">
      <c r="A274" t="inlineStr">
        <is>
          <t>Decapoda</t>
        </is>
      </c>
      <c r="B274" t="n">
        <v>3.43</v>
      </c>
      <c r="C274" t="n">
        <v>269.15348</v>
      </c>
      <c r="D274" t="inlineStr">
        <is>
          <t>Crustacea</t>
        </is>
      </c>
      <c r="E274" t="n">
        <v>327.790917</v>
      </c>
      <c r="F274" t="n">
        <v>79.403785</v>
      </c>
      <c r="G274" t="n">
        <v>27.544327</v>
      </c>
      <c r="H274" t="n">
        <v>45.837748</v>
      </c>
      <c r="I274" t="n">
        <v>38.918317</v>
      </c>
      <c r="J274" t="n">
        <v>38.964516</v>
      </c>
      <c r="K274" t="n">
        <v>31.561258</v>
      </c>
      <c r="L274" t="n">
        <v>47.671907</v>
      </c>
      <c r="M274" t="n">
        <v>47.671907</v>
      </c>
      <c r="N274" t="n">
        <v>47.671907</v>
      </c>
      <c r="O274" t="n">
        <v>34.575524</v>
      </c>
      <c r="P274" t="n">
        <v>19.020842</v>
      </c>
      <c r="Q274" t="n">
        <v>47.671907</v>
      </c>
      <c r="R274" t="n">
        <v>47.671907</v>
      </c>
      <c r="S274" t="n">
        <v>34.575524</v>
      </c>
      <c r="T274" t="n">
        <v>34.575524</v>
      </c>
      <c r="U274" t="n">
        <v>19.020842</v>
      </c>
      <c r="V274" t="n">
        <v>19.020842</v>
      </c>
      <c r="W274" t="n">
        <v>34.954015</v>
      </c>
      <c r="X274" t="n">
        <v>47.765312</v>
      </c>
    </row>
    <row r="275">
      <c r="A275" t="inlineStr">
        <is>
          <t>Polyprion americanus</t>
        </is>
      </c>
      <c r="B275" t="n">
        <v>4.14</v>
      </c>
      <c r="C275" t="n">
        <v>1380.384265</v>
      </c>
      <c r="D275" t="inlineStr">
        <is>
          <t>Large Dem. fish</t>
        </is>
      </c>
      <c r="E275" t="n">
        <v>327.790917</v>
      </c>
      <c r="F275" t="n">
        <v>665.972772</v>
      </c>
      <c r="G275" t="n">
        <v>138.073221</v>
      </c>
      <c r="H275" t="n">
        <v>328.210407</v>
      </c>
      <c r="I275" t="n">
        <v>321.185641</v>
      </c>
      <c r="J275" t="n">
        <v>337.306601</v>
      </c>
      <c r="K275" t="n">
        <v>317.068205</v>
      </c>
      <c r="L275" t="n">
        <v>461.958282</v>
      </c>
      <c r="M275" t="n">
        <v>461.958282</v>
      </c>
      <c r="N275" t="n">
        <v>461.958282</v>
      </c>
      <c r="O275" t="n">
        <v>304.533157</v>
      </c>
      <c r="P275" t="n">
        <v>108.42706</v>
      </c>
      <c r="Q275" t="n">
        <v>461.958282</v>
      </c>
      <c r="R275" t="n">
        <v>461.958282</v>
      </c>
      <c r="S275" t="n">
        <v>304.533157</v>
      </c>
      <c r="T275" t="n">
        <v>304.533157</v>
      </c>
      <c r="U275" t="n">
        <v>108.42706</v>
      </c>
      <c r="V275" t="n">
        <v>108.42706</v>
      </c>
      <c r="W275" t="n">
        <v>306.991308</v>
      </c>
      <c r="X275" t="n">
        <v>468.161038</v>
      </c>
    </row>
    <row r="276">
      <c r="A276" t="inlineStr">
        <is>
          <t>Maurolicus muelleri</t>
        </is>
      </c>
      <c r="D276" t="inlineStr">
        <is>
          <t>Small pelagics</t>
        </is>
      </c>
      <c r="E276" t="n">
        <v>327.790917</v>
      </c>
      <c r="F276" t="n">
        <v>148.024912</v>
      </c>
      <c r="G276" t="n">
        <v>44.163101</v>
      </c>
      <c r="H276" t="n">
        <v>58.893278</v>
      </c>
      <c r="I276" t="n">
        <v>29.57747</v>
      </c>
      <c r="J276" t="n">
        <v>29.708263</v>
      </c>
      <c r="K276" t="n">
        <v>26.143271</v>
      </c>
      <c r="L276" t="n">
        <v>37.444032</v>
      </c>
      <c r="M276" t="n">
        <v>37.444032</v>
      </c>
      <c r="N276" t="n">
        <v>37.444032</v>
      </c>
      <c r="O276" t="n">
        <v>26.825837</v>
      </c>
      <c r="P276" t="n">
        <v>12.629082</v>
      </c>
      <c r="Q276" t="n">
        <v>37.444032</v>
      </c>
      <c r="R276" t="n">
        <v>37.444032</v>
      </c>
      <c r="S276" t="n">
        <v>26.825837</v>
      </c>
      <c r="T276" t="n">
        <v>26.825837</v>
      </c>
      <c r="U276" t="n">
        <v>12.629082</v>
      </c>
      <c r="V276" t="n">
        <v>12.629082</v>
      </c>
      <c r="W276" t="n">
        <v>26.643813</v>
      </c>
      <c r="X276" t="n">
        <v>39.607714</v>
      </c>
    </row>
    <row r="277">
      <c r="A277" t="inlineStr">
        <is>
          <t>Palinurus</t>
        </is>
      </c>
      <c r="B277" t="n">
        <v>2.7</v>
      </c>
      <c r="C277" t="n">
        <v>50.118723</v>
      </c>
      <c r="D277" t="inlineStr">
        <is>
          <t>Crustacea</t>
        </is>
      </c>
      <c r="E277" t="n">
        <v>327.790917</v>
      </c>
      <c r="F277" t="n">
        <v>79.403785</v>
      </c>
      <c r="G277" t="n">
        <v>27.544327</v>
      </c>
      <c r="H277" t="n">
        <v>45.837748</v>
      </c>
      <c r="I277" t="n">
        <v>38.918317</v>
      </c>
      <c r="J277" t="n">
        <v>38.964516</v>
      </c>
      <c r="K277" t="n">
        <v>31.561258</v>
      </c>
      <c r="L277" t="n">
        <v>47.671907</v>
      </c>
      <c r="M277" t="n">
        <v>47.671907</v>
      </c>
      <c r="N277" t="n">
        <v>47.671907</v>
      </c>
      <c r="O277" t="n">
        <v>34.575524</v>
      </c>
      <c r="P277" t="n">
        <v>19.020842</v>
      </c>
      <c r="Q277" t="n">
        <v>47.671907</v>
      </c>
      <c r="R277" t="n">
        <v>47.671907</v>
      </c>
      <c r="S277" t="n">
        <v>34.575524</v>
      </c>
      <c r="T277" t="n">
        <v>34.575524</v>
      </c>
      <c r="U277" t="n">
        <v>19.020842</v>
      </c>
      <c r="V277" t="n">
        <v>19.020842</v>
      </c>
      <c r="W277" t="n">
        <v>34.954015</v>
      </c>
      <c r="X277" t="n">
        <v>47.765312</v>
      </c>
    </row>
    <row r="278">
      <c r="A278" t="inlineStr">
        <is>
          <t>Mytilus</t>
        </is>
      </c>
      <c r="B278" t="n">
        <v>2.03</v>
      </c>
      <c r="C278" t="n">
        <v>10.715193</v>
      </c>
      <c r="D278" t="inlineStr">
        <is>
          <t>Epifauna</t>
        </is>
      </c>
      <c r="E278" t="n">
        <v>327.790917</v>
      </c>
      <c r="F278" t="n">
        <v>28.994229</v>
      </c>
      <c r="G278" t="n">
        <v>12.834993</v>
      </c>
      <c r="H278" t="n">
        <v>17.954978</v>
      </c>
      <c r="I278" t="n">
        <v>11.374014</v>
      </c>
      <c r="J278" t="n">
        <v>11.374014</v>
      </c>
      <c r="K278" t="n">
        <v>10.009132</v>
      </c>
      <c r="L278" t="n">
        <v>10.950321</v>
      </c>
      <c r="M278" t="n">
        <v>10.950321</v>
      </c>
      <c r="N278" t="n">
        <v>10.950321</v>
      </c>
      <c r="O278" t="n">
        <v>10.041084</v>
      </c>
      <c r="P278" t="n">
        <v>6.846302</v>
      </c>
      <c r="Q278" t="n">
        <v>10.950321</v>
      </c>
      <c r="R278" t="n">
        <v>10.950321</v>
      </c>
      <c r="S278" t="n">
        <v>10.041084</v>
      </c>
      <c r="T278" t="n">
        <v>10.041084</v>
      </c>
      <c r="U278" t="n">
        <v>6.846302</v>
      </c>
      <c r="V278" t="n">
        <v>6.846302</v>
      </c>
      <c r="W278" t="n">
        <v>9.947857000000001</v>
      </c>
      <c r="X278" t="n">
        <v>10.794705</v>
      </c>
    </row>
    <row r="279">
      <c r="A279" t="inlineStr">
        <is>
          <t>Atherina presbyter</t>
        </is>
      </c>
      <c r="D279" t="inlineStr">
        <is>
          <t>Small pelagics</t>
        </is>
      </c>
      <c r="E279" t="n">
        <v>327.790917</v>
      </c>
      <c r="F279" t="n">
        <v>148.024912</v>
      </c>
      <c r="G279" t="n">
        <v>44.163101</v>
      </c>
      <c r="H279" t="n">
        <v>58.893278</v>
      </c>
      <c r="I279" t="n">
        <v>29.57747</v>
      </c>
      <c r="J279" t="n">
        <v>29.708263</v>
      </c>
      <c r="K279" t="n">
        <v>26.143271</v>
      </c>
      <c r="L279" t="n">
        <v>37.444032</v>
      </c>
      <c r="M279" t="n">
        <v>37.444032</v>
      </c>
      <c r="N279" t="n">
        <v>37.444032</v>
      </c>
      <c r="O279" t="n">
        <v>26.825837</v>
      </c>
      <c r="P279" t="n">
        <v>12.629082</v>
      </c>
      <c r="Q279" t="n">
        <v>37.444032</v>
      </c>
      <c r="R279" t="n">
        <v>37.444032</v>
      </c>
      <c r="S279" t="n">
        <v>26.825837</v>
      </c>
      <c r="T279" t="n">
        <v>26.825837</v>
      </c>
      <c r="U279" t="n">
        <v>12.629082</v>
      </c>
      <c r="V279" t="n">
        <v>12.629082</v>
      </c>
      <c r="W279" t="n">
        <v>26.643813</v>
      </c>
      <c r="X279" t="n">
        <v>39.607714</v>
      </c>
    </row>
    <row r="280">
      <c r="A280" t="inlineStr">
        <is>
          <t>Rajella lintea</t>
        </is>
      </c>
      <c r="B280" t="n">
        <v>3.62</v>
      </c>
      <c r="C280" t="n">
        <v>416.869383</v>
      </c>
      <c r="D280" t="inlineStr">
        <is>
          <t>Sharks &amp; rays</t>
        </is>
      </c>
      <c r="E280" t="n">
        <v>327.790917</v>
      </c>
      <c r="F280" t="n">
        <v>522.28227</v>
      </c>
      <c r="G280" t="n">
        <v>114.842938</v>
      </c>
      <c r="H280" t="n">
        <v>326.928715</v>
      </c>
      <c r="I280" t="n">
        <v>732.255138</v>
      </c>
      <c r="J280" t="n">
        <v>761.48662</v>
      </c>
      <c r="K280" t="n">
        <v>327.439247</v>
      </c>
      <c r="L280" t="n">
        <v>1275.246638</v>
      </c>
      <c r="M280" t="n">
        <v>1275.246638</v>
      </c>
      <c r="N280" t="n">
        <v>1275.246638</v>
      </c>
      <c r="O280" t="n">
        <v>317.659957</v>
      </c>
      <c r="P280" t="n">
        <v>115.247551</v>
      </c>
      <c r="Q280" t="n">
        <v>1275.246638</v>
      </c>
      <c r="R280" t="n">
        <v>1275.246638</v>
      </c>
      <c r="S280" t="n">
        <v>317.659957</v>
      </c>
      <c r="T280" t="n">
        <v>317.659957</v>
      </c>
      <c r="U280" t="n">
        <v>115.247551</v>
      </c>
      <c r="V280" t="n">
        <v>115.247551</v>
      </c>
      <c r="W280" t="n">
        <v>327.701462</v>
      </c>
      <c r="X280" t="n">
        <v>1310.378519</v>
      </c>
    </row>
    <row r="281">
      <c r="A281" t="inlineStr">
        <is>
          <t>Tinca tinca</t>
        </is>
      </c>
      <c r="D281" t="inlineStr">
        <is>
          <t>Unresolved</t>
        </is>
      </c>
    </row>
    <row r="282">
      <c r="A282" t="inlineStr">
        <is>
          <t>Moridae</t>
        </is>
      </c>
      <c r="D282" t="inlineStr">
        <is>
          <t>Unresolved</t>
        </is>
      </c>
    </row>
    <row r="283">
      <c r="A283" t="inlineStr">
        <is>
          <t>Mytilidae</t>
        </is>
      </c>
      <c r="D283" t="inlineStr">
        <is>
          <t>Epifauna</t>
        </is>
      </c>
      <c r="E283" t="n">
        <v>327.790917</v>
      </c>
      <c r="F283" t="n">
        <v>28.994229</v>
      </c>
      <c r="G283" t="n">
        <v>12.834993</v>
      </c>
      <c r="H283" t="n">
        <v>17.954978</v>
      </c>
      <c r="I283" t="n">
        <v>11.374014</v>
      </c>
      <c r="J283" t="n">
        <v>11.374014</v>
      </c>
      <c r="K283" t="n">
        <v>10.009132</v>
      </c>
      <c r="L283" t="n">
        <v>10.950321</v>
      </c>
      <c r="M283" t="n">
        <v>10.950321</v>
      </c>
      <c r="N283" t="n">
        <v>10.950321</v>
      </c>
      <c r="O283" t="n">
        <v>10.041084</v>
      </c>
      <c r="P283" t="n">
        <v>6.846302</v>
      </c>
      <c r="Q283" t="n">
        <v>10.950321</v>
      </c>
      <c r="R283" t="n">
        <v>10.950321</v>
      </c>
      <c r="S283" t="n">
        <v>10.041084</v>
      </c>
      <c r="T283" t="n">
        <v>10.041084</v>
      </c>
      <c r="U283" t="n">
        <v>6.846302</v>
      </c>
      <c r="V283" t="n">
        <v>6.846302</v>
      </c>
      <c r="W283" t="n">
        <v>9.947857000000001</v>
      </c>
      <c r="X283" t="n">
        <v>10.794705</v>
      </c>
    </row>
    <row r="284">
      <c r="A284" t="inlineStr">
        <is>
          <t>Palaemonidae</t>
        </is>
      </c>
      <c r="D284" t="inlineStr">
        <is>
          <t>Crustacea</t>
        </is>
      </c>
      <c r="E284" t="n">
        <v>327.790917</v>
      </c>
      <c r="F284" t="n">
        <v>79.403785</v>
      </c>
      <c r="G284" t="n">
        <v>27.544327</v>
      </c>
      <c r="H284" t="n">
        <v>45.837748</v>
      </c>
      <c r="I284" t="n">
        <v>38.918317</v>
      </c>
      <c r="J284" t="n">
        <v>38.964516</v>
      </c>
      <c r="K284" t="n">
        <v>31.561258</v>
      </c>
      <c r="L284" t="n">
        <v>47.671907</v>
      </c>
      <c r="M284" t="n">
        <v>47.671907</v>
      </c>
      <c r="N284" t="n">
        <v>47.671907</v>
      </c>
      <c r="O284" t="n">
        <v>34.575524</v>
      </c>
      <c r="P284" t="n">
        <v>19.020842</v>
      </c>
      <c r="Q284" t="n">
        <v>47.671907</v>
      </c>
      <c r="R284" t="n">
        <v>47.671907</v>
      </c>
      <c r="S284" t="n">
        <v>34.575524</v>
      </c>
      <c r="T284" t="n">
        <v>34.575524</v>
      </c>
      <c r="U284" t="n">
        <v>19.020842</v>
      </c>
      <c r="V284" t="n">
        <v>19.020842</v>
      </c>
      <c r="W284" t="n">
        <v>34.954015</v>
      </c>
      <c r="X284" t="n">
        <v>47.765312</v>
      </c>
    </row>
    <row r="285">
      <c r="A285" t="inlineStr">
        <is>
          <t>Echinoidea</t>
        </is>
      </c>
      <c r="B285" t="n">
        <v>2.51</v>
      </c>
      <c r="C285" t="n">
        <v>32.359366</v>
      </c>
      <c r="D285" t="inlineStr">
        <is>
          <t>Epifauna</t>
        </is>
      </c>
      <c r="E285" t="n">
        <v>327.790917</v>
      </c>
      <c r="F285" t="n">
        <v>28.994229</v>
      </c>
      <c r="G285" t="n">
        <v>12.834993</v>
      </c>
      <c r="H285" t="n">
        <v>17.954978</v>
      </c>
      <c r="I285" t="n">
        <v>11.374014</v>
      </c>
      <c r="J285" t="n">
        <v>11.374014</v>
      </c>
      <c r="K285" t="n">
        <v>10.009132</v>
      </c>
      <c r="L285" t="n">
        <v>10.950321</v>
      </c>
      <c r="M285" t="n">
        <v>10.950321</v>
      </c>
      <c r="N285" t="n">
        <v>10.950321</v>
      </c>
      <c r="O285" t="n">
        <v>10.041084</v>
      </c>
      <c r="P285" t="n">
        <v>6.846302</v>
      </c>
      <c r="Q285" t="n">
        <v>10.950321</v>
      </c>
      <c r="R285" t="n">
        <v>10.950321</v>
      </c>
      <c r="S285" t="n">
        <v>10.041084</v>
      </c>
      <c r="T285" t="n">
        <v>10.041084</v>
      </c>
      <c r="U285" t="n">
        <v>6.846302</v>
      </c>
      <c r="V285" t="n">
        <v>6.846302</v>
      </c>
      <c r="W285" t="n">
        <v>9.947857000000001</v>
      </c>
      <c r="X285" t="n">
        <v>10.794705</v>
      </c>
    </row>
    <row r="286">
      <c r="A286" t="inlineStr">
        <is>
          <t>Lota lota</t>
        </is>
      </c>
      <c r="B286" t="n">
        <v>3.84</v>
      </c>
      <c r="C286" t="n">
        <v>691.830971</v>
      </c>
      <c r="D286" t="inlineStr">
        <is>
          <t>Unresolved</t>
        </is>
      </c>
    </row>
    <row r="287">
      <c r="A287" t="inlineStr">
        <is>
          <t>Diplodus</t>
        </is>
      </c>
      <c r="B287" t="n">
        <v>2.97</v>
      </c>
      <c r="C287" t="n">
        <v>93.32543</v>
      </c>
      <c r="D287" t="inlineStr">
        <is>
          <t>Large Dem. fish</t>
        </is>
      </c>
      <c r="E287" t="n">
        <v>327.790917</v>
      </c>
      <c r="F287" t="n">
        <v>665.972772</v>
      </c>
      <c r="G287" t="n">
        <v>138.073221</v>
      </c>
      <c r="H287" t="n">
        <v>328.210407</v>
      </c>
      <c r="I287" t="n">
        <v>321.185641</v>
      </c>
      <c r="J287" t="n">
        <v>337.306601</v>
      </c>
      <c r="K287" t="n">
        <v>317.068205</v>
      </c>
      <c r="L287" t="n">
        <v>461.958282</v>
      </c>
      <c r="M287" t="n">
        <v>461.958282</v>
      </c>
      <c r="N287" t="n">
        <v>461.958282</v>
      </c>
      <c r="O287" t="n">
        <v>304.533157</v>
      </c>
      <c r="P287" t="n">
        <v>108.42706</v>
      </c>
      <c r="Q287" t="n">
        <v>461.958282</v>
      </c>
      <c r="R287" t="n">
        <v>461.958282</v>
      </c>
      <c r="S287" t="n">
        <v>304.533157</v>
      </c>
      <c r="T287" t="n">
        <v>304.533157</v>
      </c>
      <c r="U287" t="n">
        <v>108.42706</v>
      </c>
      <c r="V287" t="n">
        <v>108.42706</v>
      </c>
      <c r="W287" t="n">
        <v>306.991308</v>
      </c>
      <c r="X287" t="n">
        <v>468.161038</v>
      </c>
    </row>
    <row r="288">
      <c r="A288" t="inlineStr">
        <is>
          <t>Trigla lyra</t>
        </is>
      </c>
      <c r="B288" t="n">
        <v>3.65</v>
      </c>
      <c r="C288" t="n">
        <v>446.683592</v>
      </c>
      <c r="D288" t="inlineStr">
        <is>
          <t>Large Dem. fish</t>
        </is>
      </c>
      <c r="E288" t="n">
        <v>327.790917</v>
      </c>
      <c r="F288" t="n">
        <v>665.972772</v>
      </c>
      <c r="G288" t="n">
        <v>138.073221</v>
      </c>
      <c r="H288" t="n">
        <v>328.210407</v>
      </c>
      <c r="I288" t="n">
        <v>321.185641</v>
      </c>
      <c r="J288" t="n">
        <v>337.306601</v>
      </c>
      <c r="K288" t="n">
        <v>317.068205</v>
      </c>
      <c r="L288" t="n">
        <v>461.958282</v>
      </c>
      <c r="M288" t="n">
        <v>461.958282</v>
      </c>
      <c r="N288" t="n">
        <v>461.958282</v>
      </c>
      <c r="O288" t="n">
        <v>304.533157</v>
      </c>
      <c r="P288" t="n">
        <v>108.42706</v>
      </c>
      <c r="Q288" t="n">
        <v>461.958282</v>
      </c>
      <c r="R288" t="n">
        <v>461.958282</v>
      </c>
      <c r="S288" t="n">
        <v>304.533157</v>
      </c>
      <c r="T288" t="n">
        <v>304.533157</v>
      </c>
      <c r="U288" t="n">
        <v>108.42706</v>
      </c>
      <c r="V288" t="n">
        <v>108.42706</v>
      </c>
      <c r="W288" t="n">
        <v>306.991308</v>
      </c>
      <c r="X288" t="n">
        <v>468.161038</v>
      </c>
    </row>
    <row r="289">
      <c r="A289" t="inlineStr">
        <is>
          <t>Xiphias gladius</t>
        </is>
      </c>
      <c r="D289" t="inlineStr">
        <is>
          <t>Unresolved</t>
        </is>
      </c>
    </row>
    <row r="290">
      <c r="A290" t="inlineStr">
        <is>
          <t>Scardinius erythrophthalmus</t>
        </is>
      </c>
      <c r="B290" t="n">
        <v>2.89</v>
      </c>
      <c r="C290" t="n">
        <v>77.624712</v>
      </c>
      <c r="D290" t="inlineStr">
        <is>
          <t>Unresolved</t>
        </is>
      </c>
    </row>
    <row r="291">
      <c r="A291" t="inlineStr">
        <is>
          <t>Loligo forbesii</t>
        </is>
      </c>
      <c r="D291" t="inlineStr">
        <is>
          <t>Squid &amp; Octopus</t>
        </is>
      </c>
      <c r="E291" t="n">
        <v>327.790917</v>
      </c>
      <c r="F291" t="n">
        <v>160.967585</v>
      </c>
      <c r="G291" t="n">
        <v>47.060072</v>
      </c>
      <c r="H291" t="n">
        <v>88.258037</v>
      </c>
      <c r="I291" t="n">
        <v>77.00034599999999</v>
      </c>
      <c r="J291" t="n">
        <v>77.34926</v>
      </c>
      <c r="K291" t="n">
        <v>73.481797</v>
      </c>
      <c r="L291" t="n">
        <v>94.097724</v>
      </c>
      <c r="M291" t="n">
        <v>94.097724</v>
      </c>
      <c r="N291" t="n">
        <v>94.097724</v>
      </c>
      <c r="O291" t="n">
        <v>70.413555</v>
      </c>
      <c r="P291" t="n">
        <v>31.50612</v>
      </c>
      <c r="Q291" t="n">
        <v>94.097724</v>
      </c>
      <c r="R291" t="n">
        <v>94.097724</v>
      </c>
      <c r="S291" t="n">
        <v>70.413555</v>
      </c>
      <c r="T291" t="n">
        <v>70.413555</v>
      </c>
      <c r="U291" t="n">
        <v>31.50612</v>
      </c>
      <c r="V291" t="n">
        <v>31.50612</v>
      </c>
      <c r="W291" t="n">
        <v>71.270959</v>
      </c>
      <c r="X291" t="n">
        <v>97.60397</v>
      </c>
    </row>
    <row r="292">
      <c r="A292" t="inlineStr">
        <is>
          <t>Trachinidae</t>
        </is>
      </c>
      <c r="B292" t="n">
        <v>3.95</v>
      </c>
      <c r="C292" t="n">
        <v>891.250938</v>
      </c>
      <c r="D292" t="inlineStr">
        <is>
          <t>Large Dem. fish</t>
        </is>
      </c>
      <c r="E292" t="n">
        <v>327.790917</v>
      </c>
      <c r="F292" t="n">
        <v>665.972772</v>
      </c>
      <c r="G292" t="n">
        <v>138.073221</v>
      </c>
      <c r="H292" t="n">
        <v>328.210407</v>
      </c>
      <c r="I292" t="n">
        <v>321.185641</v>
      </c>
      <c r="J292" t="n">
        <v>337.306601</v>
      </c>
      <c r="K292" t="n">
        <v>317.068205</v>
      </c>
      <c r="L292" t="n">
        <v>461.958282</v>
      </c>
      <c r="M292" t="n">
        <v>461.958282</v>
      </c>
      <c r="N292" t="n">
        <v>461.958282</v>
      </c>
      <c r="O292" t="n">
        <v>304.533157</v>
      </c>
      <c r="P292" t="n">
        <v>108.42706</v>
      </c>
      <c r="Q292" t="n">
        <v>461.958282</v>
      </c>
      <c r="R292" t="n">
        <v>461.958282</v>
      </c>
      <c r="S292" t="n">
        <v>304.533157</v>
      </c>
      <c r="T292" t="n">
        <v>304.533157</v>
      </c>
      <c r="U292" t="n">
        <v>108.42706</v>
      </c>
      <c r="V292" t="n">
        <v>108.42706</v>
      </c>
      <c r="W292" t="n">
        <v>306.991308</v>
      </c>
      <c r="X292" t="n">
        <v>468.161038</v>
      </c>
    </row>
    <row r="293">
      <c r="A293" t="inlineStr">
        <is>
          <t>Ruditapes decussatus</t>
        </is>
      </c>
      <c r="B293" t="n">
        <v>2</v>
      </c>
      <c r="C293" t="n">
        <v>10</v>
      </c>
      <c r="D293" t="inlineStr">
        <is>
          <t>Infauna</t>
        </is>
      </c>
      <c r="E293" t="n">
        <v>327.790917</v>
      </c>
      <c r="F293" t="n">
        <v>10</v>
      </c>
      <c r="G293" t="n">
        <v>5.727631</v>
      </c>
      <c r="H293" t="n">
        <v>5.721903</v>
      </c>
      <c r="I293" t="n">
        <v>4.44</v>
      </c>
      <c r="J293" t="n">
        <v>4.44</v>
      </c>
      <c r="K293" t="n">
        <v>3.996</v>
      </c>
      <c r="L293" t="n">
        <v>3.864936</v>
      </c>
      <c r="M293" t="n">
        <v>3.864936</v>
      </c>
      <c r="N293" t="n">
        <v>3.864936</v>
      </c>
      <c r="O293" t="n">
        <v>4.247203</v>
      </c>
      <c r="P293" t="n">
        <v>3.679841</v>
      </c>
      <c r="Q293" t="n">
        <v>3.864936</v>
      </c>
      <c r="R293" t="n">
        <v>3.864936</v>
      </c>
      <c r="S293" t="n">
        <v>4.247203</v>
      </c>
      <c r="T293" t="n">
        <v>4.247203</v>
      </c>
      <c r="U293" t="n">
        <v>3.679841</v>
      </c>
      <c r="V293" t="n">
        <v>3.679841</v>
      </c>
      <c r="W293" t="n">
        <v>4.187569</v>
      </c>
      <c r="X293" t="n">
        <v>3.928919</v>
      </c>
    </row>
    <row r="294">
      <c r="A294" t="inlineStr">
        <is>
          <t>Alosa alosa</t>
        </is>
      </c>
      <c r="B294" t="n">
        <v>2.95</v>
      </c>
      <c r="C294" t="n">
        <v>89.125094</v>
      </c>
      <c r="D294" t="inlineStr">
        <is>
          <t>Large Pelagics</t>
        </is>
      </c>
      <c r="E294" t="n">
        <v>327.790917</v>
      </c>
      <c r="F294" t="n">
        <v>409.325031</v>
      </c>
      <c r="G294" t="n">
        <v>95.473426</v>
      </c>
      <c r="H294" t="n">
        <v>171.971164</v>
      </c>
      <c r="I294" t="n">
        <v>151.710468</v>
      </c>
      <c r="J294" t="n">
        <v>166.941311</v>
      </c>
      <c r="K294" t="n">
        <v>150.24718</v>
      </c>
      <c r="L294" t="n">
        <v>208.675232</v>
      </c>
      <c r="M294" t="n">
        <v>208.675232</v>
      </c>
      <c r="N294" t="n">
        <v>208.675232</v>
      </c>
      <c r="O294" t="n">
        <v>139.225251</v>
      </c>
      <c r="P294" t="n">
        <v>55.587338</v>
      </c>
      <c r="Q294" t="n">
        <v>208.675232</v>
      </c>
      <c r="R294" t="n">
        <v>208.675232</v>
      </c>
      <c r="S294" t="n">
        <v>139.225251</v>
      </c>
      <c r="T294" t="n">
        <v>139.225251</v>
      </c>
      <c r="U294" t="n">
        <v>55.587338</v>
      </c>
      <c r="V294" t="n">
        <v>55.587338</v>
      </c>
      <c r="W294" t="n">
        <v>138.889014</v>
      </c>
      <c r="X294" t="n">
        <v>209.882396</v>
      </c>
    </row>
    <row r="295">
      <c r="A295" t="inlineStr">
        <is>
          <t>Ruditapes</t>
        </is>
      </c>
      <c r="B295" t="n">
        <v>2</v>
      </c>
      <c r="C295" t="n">
        <v>10</v>
      </c>
      <c r="D295" t="inlineStr">
        <is>
          <t>Infauna</t>
        </is>
      </c>
      <c r="E295" t="n">
        <v>327.790917</v>
      </c>
      <c r="F295" t="n">
        <v>10</v>
      </c>
      <c r="G295" t="n">
        <v>5.727631</v>
      </c>
      <c r="H295" t="n">
        <v>5.721903</v>
      </c>
      <c r="I295" t="n">
        <v>4.44</v>
      </c>
      <c r="J295" t="n">
        <v>4.44</v>
      </c>
      <c r="K295" t="n">
        <v>3.996</v>
      </c>
      <c r="L295" t="n">
        <v>3.864936</v>
      </c>
      <c r="M295" t="n">
        <v>3.864936</v>
      </c>
      <c r="N295" t="n">
        <v>3.864936</v>
      </c>
      <c r="O295" t="n">
        <v>4.247203</v>
      </c>
      <c r="P295" t="n">
        <v>3.679841</v>
      </c>
      <c r="Q295" t="n">
        <v>3.864936</v>
      </c>
      <c r="R295" t="n">
        <v>3.864936</v>
      </c>
      <c r="S295" t="n">
        <v>4.247203</v>
      </c>
      <c r="T295" t="n">
        <v>4.247203</v>
      </c>
      <c r="U295" t="n">
        <v>3.679841</v>
      </c>
      <c r="V295" t="n">
        <v>3.679841</v>
      </c>
      <c r="W295" t="n">
        <v>4.187569</v>
      </c>
      <c r="X295" t="n">
        <v>3.928919</v>
      </c>
    </row>
    <row r="296">
      <c r="A296" t="inlineStr">
        <is>
          <t>Sparus aurata</t>
        </is>
      </c>
      <c r="B296" t="n">
        <v>3.7</v>
      </c>
      <c r="C296" t="n">
        <v>501.187234</v>
      </c>
      <c r="D296" t="inlineStr">
        <is>
          <t>Large Dem. fish</t>
        </is>
      </c>
      <c r="E296" t="n">
        <v>327.790917</v>
      </c>
      <c r="F296" t="n">
        <v>665.972772</v>
      </c>
      <c r="G296" t="n">
        <v>138.073221</v>
      </c>
      <c r="H296" t="n">
        <v>328.210407</v>
      </c>
      <c r="I296" t="n">
        <v>321.185641</v>
      </c>
      <c r="J296" t="n">
        <v>337.306601</v>
      </c>
      <c r="K296" t="n">
        <v>317.068205</v>
      </c>
      <c r="L296" t="n">
        <v>461.958282</v>
      </c>
      <c r="M296" t="n">
        <v>461.958282</v>
      </c>
      <c r="N296" t="n">
        <v>461.958282</v>
      </c>
      <c r="O296" t="n">
        <v>304.533157</v>
      </c>
      <c r="P296" t="n">
        <v>108.42706</v>
      </c>
      <c r="Q296" t="n">
        <v>461.958282</v>
      </c>
      <c r="R296" t="n">
        <v>461.958282</v>
      </c>
      <c r="S296" t="n">
        <v>304.533157</v>
      </c>
      <c r="T296" t="n">
        <v>304.533157</v>
      </c>
      <c r="U296" t="n">
        <v>108.42706</v>
      </c>
      <c r="V296" t="n">
        <v>108.42706</v>
      </c>
      <c r="W296" t="n">
        <v>306.991308</v>
      </c>
      <c r="X296" t="n">
        <v>468.161038</v>
      </c>
    </row>
    <row r="297">
      <c r="A297" t="inlineStr">
        <is>
          <t>Carassius carassius</t>
        </is>
      </c>
      <c r="D297" t="inlineStr">
        <is>
          <t>Unresolved</t>
        </is>
      </c>
    </row>
    <row r="298">
      <c r="A298" t="inlineStr">
        <is>
          <t>Lepidorhombus boscii</t>
        </is>
      </c>
      <c r="B298" t="n">
        <v>3.74</v>
      </c>
      <c r="C298" t="n">
        <v>549.540874</v>
      </c>
      <c r="D298" t="inlineStr">
        <is>
          <t>Flatfishes</t>
        </is>
      </c>
      <c r="E298" t="n">
        <v>327.790917</v>
      </c>
      <c r="F298" t="n">
        <v>222.264878</v>
      </c>
      <c r="G298" t="n">
        <v>60.099306</v>
      </c>
      <c r="H298" t="n">
        <v>123.58001</v>
      </c>
      <c r="I298" t="n">
        <v>98.981683</v>
      </c>
      <c r="J298" t="n">
        <v>101.310188</v>
      </c>
      <c r="K298" t="n">
        <v>92.19227100000001</v>
      </c>
      <c r="L298" t="n">
        <v>114.167454</v>
      </c>
      <c r="M298" t="n">
        <v>114.167454</v>
      </c>
      <c r="N298" t="n">
        <v>114.167454</v>
      </c>
      <c r="O298" t="n">
        <v>82.349557</v>
      </c>
      <c r="P298" t="n">
        <v>38.756383</v>
      </c>
      <c r="Q298" t="n">
        <v>114.167454</v>
      </c>
      <c r="R298" t="n">
        <v>114.167454</v>
      </c>
      <c r="S298" t="n">
        <v>82.349557</v>
      </c>
      <c r="T298" t="n">
        <v>82.349557</v>
      </c>
      <c r="U298" t="n">
        <v>38.756383</v>
      </c>
      <c r="V298" t="n">
        <v>38.756383</v>
      </c>
      <c r="W298" t="n">
        <v>82.655303</v>
      </c>
      <c r="X298" t="n">
        <v>113.898256</v>
      </c>
    </row>
    <row r="299">
      <c r="A299" t="inlineStr">
        <is>
          <t>Balistes capriscus</t>
        </is>
      </c>
      <c r="D299" t="inlineStr">
        <is>
          <t>Large Dem. fish</t>
        </is>
      </c>
      <c r="E299" t="n">
        <v>327.790917</v>
      </c>
      <c r="F299" t="n">
        <v>665.972772</v>
      </c>
      <c r="G299" t="n">
        <v>138.073221</v>
      </c>
      <c r="H299" t="n">
        <v>328.210407</v>
      </c>
      <c r="I299" t="n">
        <v>321.185641</v>
      </c>
      <c r="J299" t="n">
        <v>337.306601</v>
      </c>
      <c r="K299" t="n">
        <v>317.068205</v>
      </c>
      <c r="L299" t="n">
        <v>461.958282</v>
      </c>
      <c r="M299" t="n">
        <v>461.958282</v>
      </c>
      <c r="N299" t="n">
        <v>461.958282</v>
      </c>
      <c r="O299" t="n">
        <v>304.533157</v>
      </c>
      <c r="P299" t="n">
        <v>108.42706</v>
      </c>
      <c r="Q299" t="n">
        <v>461.958282</v>
      </c>
      <c r="R299" t="n">
        <v>461.958282</v>
      </c>
      <c r="S299" t="n">
        <v>304.533157</v>
      </c>
      <c r="T299" t="n">
        <v>304.533157</v>
      </c>
      <c r="U299" t="n">
        <v>108.42706</v>
      </c>
      <c r="V299" t="n">
        <v>108.42706</v>
      </c>
      <c r="W299" t="n">
        <v>306.991308</v>
      </c>
      <c r="X299" t="n">
        <v>468.161038</v>
      </c>
    </row>
    <row r="300">
      <c r="A300" t="inlineStr">
        <is>
          <t>Anarhichas denticulatus</t>
        </is>
      </c>
      <c r="B300" t="n">
        <v>3.75</v>
      </c>
      <c r="C300" t="n">
        <v>562.341325</v>
      </c>
      <c r="D300" t="inlineStr">
        <is>
          <t>Large Dem. fish</t>
        </is>
      </c>
      <c r="E300" t="n">
        <v>327.790917</v>
      </c>
      <c r="F300" t="n">
        <v>665.972772</v>
      </c>
      <c r="G300" t="n">
        <v>138.073221</v>
      </c>
      <c r="H300" t="n">
        <v>328.210407</v>
      </c>
      <c r="I300" t="n">
        <v>321.185641</v>
      </c>
      <c r="J300" t="n">
        <v>337.306601</v>
      </c>
      <c r="K300" t="n">
        <v>317.068205</v>
      </c>
      <c r="L300" t="n">
        <v>461.958282</v>
      </c>
      <c r="M300" t="n">
        <v>461.958282</v>
      </c>
      <c r="N300" t="n">
        <v>461.958282</v>
      </c>
      <c r="O300" t="n">
        <v>304.533157</v>
      </c>
      <c r="P300" t="n">
        <v>108.42706</v>
      </c>
      <c r="Q300" t="n">
        <v>461.958282</v>
      </c>
      <c r="R300" t="n">
        <v>461.958282</v>
      </c>
      <c r="S300" t="n">
        <v>304.533157</v>
      </c>
      <c r="T300" t="n">
        <v>304.533157</v>
      </c>
      <c r="U300" t="n">
        <v>108.42706</v>
      </c>
      <c r="V300" t="n">
        <v>108.42706</v>
      </c>
      <c r="W300" t="n">
        <v>306.991308</v>
      </c>
      <c r="X300" t="n">
        <v>468.161038</v>
      </c>
    </row>
    <row r="301">
      <c r="A301" t="inlineStr">
        <is>
          <t>Dasyatis pastinaca</t>
        </is>
      </c>
      <c r="B301" t="n">
        <v>4.05</v>
      </c>
      <c r="C301" t="n">
        <v>1122.018454</v>
      </c>
      <c r="D301" t="inlineStr">
        <is>
          <t>Sharks &amp; rays</t>
        </is>
      </c>
      <c r="E301" t="n">
        <v>327.790917</v>
      </c>
      <c r="F301" t="n">
        <v>522.28227</v>
      </c>
      <c r="G301" t="n">
        <v>114.842938</v>
      </c>
      <c r="H301" t="n">
        <v>326.928715</v>
      </c>
      <c r="I301" t="n">
        <v>732.255138</v>
      </c>
      <c r="J301" t="n">
        <v>761.48662</v>
      </c>
      <c r="K301" t="n">
        <v>327.439247</v>
      </c>
      <c r="L301" t="n">
        <v>1275.246638</v>
      </c>
      <c r="M301" t="n">
        <v>1275.246638</v>
      </c>
      <c r="N301" t="n">
        <v>1275.246638</v>
      </c>
      <c r="O301" t="n">
        <v>317.659957</v>
      </c>
      <c r="P301" t="n">
        <v>115.247551</v>
      </c>
      <c r="Q301" t="n">
        <v>1275.246638</v>
      </c>
      <c r="R301" t="n">
        <v>1275.246638</v>
      </c>
      <c r="S301" t="n">
        <v>317.659957</v>
      </c>
      <c r="T301" t="n">
        <v>317.659957</v>
      </c>
      <c r="U301" t="n">
        <v>115.247551</v>
      </c>
      <c r="V301" t="n">
        <v>115.247551</v>
      </c>
      <c r="W301" t="n">
        <v>327.701462</v>
      </c>
      <c r="X301" t="n">
        <v>1310.378519</v>
      </c>
    </row>
    <row r="302">
      <c r="A302" t="inlineStr">
        <is>
          <t>Eledone</t>
        </is>
      </c>
      <c r="B302" t="n">
        <v>3.67</v>
      </c>
      <c r="C302" t="n">
        <v>467.735141</v>
      </c>
      <c r="D302" t="inlineStr">
        <is>
          <t>Squid &amp; Octopus</t>
        </is>
      </c>
      <c r="E302" t="n">
        <v>327.790917</v>
      </c>
      <c r="F302" t="n">
        <v>160.967585</v>
      </c>
      <c r="G302" t="n">
        <v>47.060072</v>
      </c>
      <c r="H302" t="n">
        <v>88.258037</v>
      </c>
      <c r="I302" t="n">
        <v>77.00034599999999</v>
      </c>
      <c r="J302" t="n">
        <v>77.34926</v>
      </c>
      <c r="K302" t="n">
        <v>73.481797</v>
      </c>
      <c r="L302" t="n">
        <v>94.097724</v>
      </c>
      <c r="M302" t="n">
        <v>94.097724</v>
      </c>
      <c r="N302" t="n">
        <v>94.097724</v>
      </c>
      <c r="O302" t="n">
        <v>70.413555</v>
      </c>
      <c r="P302" t="n">
        <v>31.50612</v>
      </c>
      <c r="Q302" t="n">
        <v>94.097724</v>
      </c>
      <c r="R302" t="n">
        <v>94.097724</v>
      </c>
      <c r="S302" t="n">
        <v>70.413555</v>
      </c>
      <c r="T302" t="n">
        <v>70.413555</v>
      </c>
      <c r="U302" t="n">
        <v>31.50612</v>
      </c>
      <c r="V302" t="n">
        <v>31.50612</v>
      </c>
      <c r="W302" t="n">
        <v>71.270959</v>
      </c>
      <c r="X302" t="n">
        <v>97.60397</v>
      </c>
    </row>
    <row r="303">
      <c r="A303" t="inlineStr">
        <is>
          <t>Alopias</t>
        </is>
      </c>
      <c r="D303" t="inlineStr">
        <is>
          <t>Sharks &amp; rays</t>
        </is>
      </c>
      <c r="E303" t="n">
        <v>327.790917</v>
      </c>
      <c r="F303" t="n">
        <v>522.28227</v>
      </c>
      <c r="G303" t="n">
        <v>114.842938</v>
      </c>
      <c r="H303" t="n">
        <v>326.928715</v>
      </c>
      <c r="I303" t="n">
        <v>732.255138</v>
      </c>
      <c r="J303" t="n">
        <v>761.48662</v>
      </c>
      <c r="K303" t="n">
        <v>327.439247</v>
      </c>
      <c r="L303" t="n">
        <v>1275.246638</v>
      </c>
      <c r="M303" t="n">
        <v>1275.246638</v>
      </c>
      <c r="N303" t="n">
        <v>1275.246638</v>
      </c>
      <c r="O303" t="n">
        <v>317.659957</v>
      </c>
      <c r="P303" t="n">
        <v>115.247551</v>
      </c>
      <c r="Q303" t="n">
        <v>1275.246638</v>
      </c>
      <c r="R303" t="n">
        <v>1275.246638</v>
      </c>
      <c r="S303" t="n">
        <v>317.659957</v>
      </c>
      <c r="T303" t="n">
        <v>317.659957</v>
      </c>
      <c r="U303" t="n">
        <v>115.247551</v>
      </c>
      <c r="V303" t="n">
        <v>115.247551</v>
      </c>
      <c r="W303" t="n">
        <v>327.701462</v>
      </c>
      <c r="X303" t="n">
        <v>1310.378519</v>
      </c>
    </row>
    <row r="304">
      <c r="A304" t="inlineStr">
        <is>
          <t>Mugil cephalus</t>
        </is>
      </c>
      <c r="B304" t="n">
        <v>2.14</v>
      </c>
      <c r="C304" t="n">
        <v>13.803843</v>
      </c>
      <c r="D304" t="inlineStr">
        <is>
          <t>Large Dem. fish</t>
        </is>
      </c>
      <c r="E304" t="n">
        <v>327.790917</v>
      </c>
      <c r="F304" t="n">
        <v>665.972772</v>
      </c>
      <c r="G304" t="n">
        <v>138.073221</v>
      </c>
      <c r="H304" t="n">
        <v>328.210407</v>
      </c>
      <c r="I304" t="n">
        <v>321.185641</v>
      </c>
      <c r="J304" t="n">
        <v>337.306601</v>
      </c>
      <c r="K304" t="n">
        <v>317.068205</v>
      </c>
      <c r="L304" t="n">
        <v>461.958282</v>
      </c>
      <c r="M304" t="n">
        <v>461.958282</v>
      </c>
      <c r="N304" t="n">
        <v>461.958282</v>
      </c>
      <c r="O304" t="n">
        <v>304.533157</v>
      </c>
      <c r="P304" t="n">
        <v>108.42706</v>
      </c>
      <c r="Q304" t="n">
        <v>461.958282</v>
      </c>
      <c r="R304" t="n">
        <v>461.958282</v>
      </c>
      <c r="S304" t="n">
        <v>304.533157</v>
      </c>
      <c r="T304" t="n">
        <v>304.533157</v>
      </c>
      <c r="U304" t="n">
        <v>108.42706</v>
      </c>
      <c r="V304" t="n">
        <v>108.42706</v>
      </c>
      <c r="W304" t="n">
        <v>306.991308</v>
      </c>
      <c r="X304" t="n">
        <v>468.161038</v>
      </c>
    </row>
    <row r="305">
      <c r="A305" t="inlineStr">
        <is>
          <t>Scomberesox saurus</t>
        </is>
      </c>
      <c r="B305" t="n">
        <v>3.91</v>
      </c>
      <c r="C305" t="n">
        <v>812.830516</v>
      </c>
      <c r="D305" t="inlineStr">
        <is>
          <t>Large Pelagics</t>
        </is>
      </c>
      <c r="E305" t="n">
        <v>327.790917</v>
      </c>
      <c r="F305" t="n">
        <v>409.325031</v>
      </c>
      <c r="G305" t="n">
        <v>95.473426</v>
      </c>
      <c r="H305" t="n">
        <v>171.971164</v>
      </c>
      <c r="I305" t="n">
        <v>151.710468</v>
      </c>
      <c r="J305" t="n">
        <v>166.941311</v>
      </c>
      <c r="K305" t="n">
        <v>150.24718</v>
      </c>
      <c r="L305" t="n">
        <v>208.675232</v>
      </c>
      <c r="M305" t="n">
        <v>208.675232</v>
      </c>
      <c r="N305" t="n">
        <v>208.675232</v>
      </c>
      <c r="O305" t="n">
        <v>139.225251</v>
      </c>
      <c r="P305" t="n">
        <v>55.587338</v>
      </c>
      <c r="Q305" t="n">
        <v>208.675232</v>
      </c>
      <c r="R305" t="n">
        <v>208.675232</v>
      </c>
      <c r="S305" t="n">
        <v>139.225251</v>
      </c>
      <c r="T305" t="n">
        <v>139.225251</v>
      </c>
      <c r="U305" t="n">
        <v>55.587338</v>
      </c>
      <c r="V305" t="n">
        <v>55.587338</v>
      </c>
      <c r="W305" t="n">
        <v>138.889014</v>
      </c>
      <c r="X305" t="n">
        <v>209.882396</v>
      </c>
    </row>
    <row r="306">
      <c r="A306" t="inlineStr">
        <is>
          <t>Mola mola</t>
        </is>
      </c>
      <c r="D306" t="inlineStr">
        <is>
          <t>Unresolved</t>
        </is>
      </c>
    </row>
    <row r="307">
      <c r="A307" t="inlineStr">
        <is>
          <t>Chelidonichthys lastoviza</t>
        </is>
      </c>
      <c r="B307" t="n">
        <v>3.49</v>
      </c>
      <c r="C307" t="n">
        <v>309.029543</v>
      </c>
      <c r="D307" t="inlineStr">
        <is>
          <t>Large Dem. fish</t>
        </is>
      </c>
      <c r="E307" t="n">
        <v>327.790917</v>
      </c>
      <c r="F307" t="n">
        <v>665.972772</v>
      </c>
      <c r="G307" t="n">
        <v>138.073221</v>
      </c>
      <c r="H307" t="n">
        <v>328.210407</v>
      </c>
      <c r="I307" t="n">
        <v>321.185641</v>
      </c>
      <c r="J307" t="n">
        <v>337.306601</v>
      </c>
      <c r="K307" t="n">
        <v>317.068205</v>
      </c>
      <c r="L307" t="n">
        <v>461.958282</v>
      </c>
      <c r="M307" t="n">
        <v>461.958282</v>
      </c>
      <c r="N307" t="n">
        <v>461.958282</v>
      </c>
      <c r="O307" t="n">
        <v>304.533157</v>
      </c>
      <c r="P307" t="n">
        <v>108.42706</v>
      </c>
      <c r="Q307" t="n">
        <v>461.958282</v>
      </c>
      <c r="R307" t="n">
        <v>461.958282</v>
      </c>
      <c r="S307" t="n">
        <v>304.533157</v>
      </c>
      <c r="T307" t="n">
        <v>304.533157</v>
      </c>
      <c r="U307" t="n">
        <v>108.42706</v>
      </c>
      <c r="V307" t="n">
        <v>108.42706</v>
      </c>
      <c r="W307" t="n">
        <v>306.991308</v>
      </c>
      <c r="X307" t="n">
        <v>468.161038</v>
      </c>
    </row>
    <row r="308">
      <c r="A308" t="inlineStr">
        <is>
          <t>Illex coindetii</t>
        </is>
      </c>
      <c r="B308" t="n">
        <v>4.11</v>
      </c>
      <c r="C308" t="n">
        <v>1288.249552</v>
      </c>
      <c r="D308" t="inlineStr">
        <is>
          <t>Squid &amp; Octopus</t>
        </is>
      </c>
      <c r="E308" t="n">
        <v>327.790917</v>
      </c>
      <c r="F308" t="n">
        <v>160.967585</v>
      </c>
      <c r="G308" t="n">
        <v>47.060072</v>
      </c>
      <c r="H308" t="n">
        <v>88.258037</v>
      </c>
      <c r="I308" t="n">
        <v>77.00034599999999</v>
      </c>
      <c r="J308" t="n">
        <v>77.34926</v>
      </c>
      <c r="K308" t="n">
        <v>73.481797</v>
      </c>
      <c r="L308" t="n">
        <v>94.097724</v>
      </c>
      <c r="M308" t="n">
        <v>94.097724</v>
      </c>
      <c r="N308" t="n">
        <v>94.097724</v>
      </c>
      <c r="O308" t="n">
        <v>70.413555</v>
      </c>
      <c r="P308" t="n">
        <v>31.50612</v>
      </c>
      <c r="Q308" t="n">
        <v>94.097724</v>
      </c>
      <c r="R308" t="n">
        <v>94.097724</v>
      </c>
      <c r="S308" t="n">
        <v>70.413555</v>
      </c>
      <c r="T308" t="n">
        <v>70.413555</v>
      </c>
      <c r="U308" t="n">
        <v>31.50612</v>
      </c>
      <c r="V308" t="n">
        <v>31.50612</v>
      </c>
      <c r="W308" t="n">
        <v>71.270959</v>
      </c>
      <c r="X308" t="n">
        <v>97.60397</v>
      </c>
    </row>
    <row r="309">
      <c r="A309" t="inlineStr">
        <is>
          <t>Berycidae</t>
        </is>
      </c>
      <c r="B309" t="n">
        <v>3.99</v>
      </c>
      <c r="C309" t="n">
        <v>977.237221</v>
      </c>
      <c r="D309" t="inlineStr">
        <is>
          <t>Unresolved</t>
        </is>
      </c>
    </row>
    <row r="310">
      <c r="A310" t="inlineStr">
        <is>
          <t>Beryx splendens</t>
        </is>
      </c>
      <c r="B310" t="n">
        <v>4.27</v>
      </c>
      <c r="C310" t="n">
        <v>1862.087137</v>
      </c>
      <c r="D310" t="inlineStr">
        <is>
          <t>Unresolved</t>
        </is>
      </c>
    </row>
    <row r="311">
      <c r="A311" t="inlineStr">
        <is>
          <t>Beryx decadactylus</t>
        </is>
      </c>
      <c r="B311" t="n">
        <v>4.13</v>
      </c>
      <c r="C311" t="n">
        <v>1348.962883</v>
      </c>
      <c r="D311" t="inlineStr">
        <is>
          <t>Unresolved</t>
        </is>
      </c>
    </row>
    <row r="312">
      <c r="A312" t="inlineStr">
        <is>
          <t>Anarhichas minor</t>
        </is>
      </c>
      <c r="B312" t="n">
        <v>3.45</v>
      </c>
      <c r="C312" t="n">
        <v>281.838293</v>
      </c>
      <c r="D312" t="inlineStr">
        <is>
          <t>Large Dem. fish</t>
        </is>
      </c>
      <c r="E312" t="n">
        <v>327.790917</v>
      </c>
      <c r="F312" t="n">
        <v>665.972772</v>
      </c>
      <c r="G312" t="n">
        <v>138.073221</v>
      </c>
      <c r="H312" t="n">
        <v>328.210407</v>
      </c>
      <c r="I312" t="n">
        <v>321.185641</v>
      </c>
      <c r="J312" t="n">
        <v>337.306601</v>
      </c>
      <c r="K312" t="n">
        <v>317.068205</v>
      </c>
      <c r="L312" t="n">
        <v>461.958282</v>
      </c>
      <c r="M312" t="n">
        <v>461.958282</v>
      </c>
      <c r="N312" t="n">
        <v>461.958282</v>
      </c>
      <c r="O312" t="n">
        <v>304.533157</v>
      </c>
      <c r="P312" t="n">
        <v>108.42706</v>
      </c>
      <c r="Q312" t="n">
        <v>461.958282</v>
      </c>
      <c r="R312" t="n">
        <v>461.958282</v>
      </c>
      <c r="S312" t="n">
        <v>304.533157</v>
      </c>
      <c r="T312" t="n">
        <v>304.533157</v>
      </c>
      <c r="U312" t="n">
        <v>108.42706</v>
      </c>
      <c r="V312" t="n">
        <v>108.42706</v>
      </c>
      <c r="W312" t="n">
        <v>306.991308</v>
      </c>
      <c r="X312" t="n">
        <v>468.161038</v>
      </c>
    </row>
    <row r="313">
      <c r="A313" t="inlineStr">
        <is>
          <t>Katsuwonus pelamis</t>
        </is>
      </c>
      <c r="D313" t="inlineStr">
        <is>
          <t>Unresolved</t>
        </is>
      </c>
    </row>
    <row r="314">
      <c r="A314" t="inlineStr">
        <is>
          <t>Argyrosomus regius</t>
        </is>
      </c>
      <c r="B314" t="n">
        <v>4.29</v>
      </c>
      <c r="C314" t="n">
        <v>1949.8446</v>
      </c>
      <c r="D314" t="inlineStr">
        <is>
          <t>Large Dem. fish</t>
        </is>
      </c>
      <c r="E314" t="n">
        <v>327.790917</v>
      </c>
      <c r="F314" t="n">
        <v>665.972772</v>
      </c>
      <c r="G314" t="n">
        <v>138.073221</v>
      </c>
      <c r="H314" t="n">
        <v>328.210407</v>
      </c>
      <c r="I314" t="n">
        <v>321.185641</v>
      </c>
      <c r="J314" t="n">
        <v>337.306601</v>
      </c>
      <c r="K314" t="n">
        <v>317.068205</v>
      </c>
      <c r="L314" t="n">
        <v>461.958282</v>
      </c>
      <c r="M314" t="n">
        <v>461.958282</v>
      </c>
      <c r="N314" t="n">
        <v>461.958282</v>
      </c>
      <c r="O314" t="n">
        <v>304.533157</v>
      </c>
      <c r="P314" t="n">
        <v>108.42706</v>
      </c>
      <c r="Q314" t="n">
        <v>461.958282</v>
      </c>
      <c r="R314" t="n">
        <v>461.958282</v>
      </c>
      <c r="S314" t="n">
        <v>304.533157</v>
      </c>
      <c r="T314" t="n">
        <v>304.533157</v>
      </c>
      <c r="U314" t="n">
        <v>108.42706</v>
      </c>
      <c r="V314" t="n">
        <v>108.42706</v>
      </c>
      <c r="W314" t="n">
        <v>306.991308</v>
      </c>
      <c r="X314" t="n">
        <v>468.161038</v>
      </c>
    </row>
    <row r="315">
      <c r="A315" t="inlineStr">
        <is>
          <t>Etmopterus</t>
        </is>
      </c>
      <c r="D315" t="inlineStr">
        <is>
          <t>Sharks &amp; rays</t>
        </is>
      </c>
      <c r="E315" t="n">
        <v>327.790917</v>
      </c>
      <c r="F315" t="n">
        <v>522.28227</v>
      </c>
      <c r="G315" t="n">
        <v>114.842938</v>
      </c>
      <c r="H315" t="n">
        <v>326.928715</v>
      </c>
      <c r="I315" t="n">
        <v>732.255138</v>
      </c>
      <c r="J315" t="n">
        <v>761.48662</v>
      </c>
      <c r="K315" t="n">
        <v>327.439247</v>
      </c>
      <c r="L315" t="n">
        <v>1275.246638</v>
      </c>
      <c r="M315" t="n">
        <v>1275.246638</v>
      </c>
      <c r="N315" t="n">
        <v>1275.246638</v>
      </c>
      <c r="O315" t="n">
        <v>317.659957</v>
      </c>
      <c r="P315" t="n">
        <v>115.247551</v>
      </c>
      <c r="Q315" t="n">
        <v>1275.246638</v>
      </c>
      <c r="R315" t="n">
        <v>1275.246638</v>
      </c>
      <c r="S315" t="n">
        <v>317.659957</v>
      </c>
      <c r="T315" t="n">
        <v>317.659957</v>
      </c>
      <c r="U315" t="n">
        <v>115.247551</v>
      </c>
      <c r="V315" t="n">
        <v>115.247551</v>
      </c>
      <c r="W315" t="n">
        <v>327.701462</v>
      </c>
      <c r="X315" t="n">
        <v>1310.378519</v>
      </c>
    </row>
    <row r="316">
      <c r="A316" t="inlineStr">
        <is>
          <t>Pagellus erythrinus</t>
        </is>
      </c>
      <c r="B316" t="n">
        <v>3.48</v>
      </c>
      <c r="C316" t="n">
        <v>301.995172</v>
      </c>
      <c r="D316" t="inlineStr">
        <is>
          <t>Large Dem. fish</t>
        </is>
      </c>
      <c r="E316" t="n">
        <v>327.790917</v>
      </c>
      <c r="F316" t="n">
        <v>665.972772</v>
      </c>
      <c r="G316" t="n">
        <v>138.073221</v>
      </c>
      <c r="H316" t="n">
        <v>328.210407</v>
      </c>
      <c r="I316" t="n">
        <v>321.185641</v>
      </c>
      <c r="J316" t="n">
        <v>337.306601</v>
      </c>
      <c r="K316" t="n">
        <v>317.068205</v>
      </c>
      <c r="L316" t="n">
        <v>461.958282</v>
      </c>
      <c r="M316" t="n">
        <v>461.958282</v>
      </c>
      <c r="N316" t="n">
        <v>461.958282</v>
      </c>
      <c r="O316" t="n">
        <v>304.533157</v>
      </c>
      <c r="P316" t="n">
        <v>108.42706</v>
      </c>
      <c r="Q316" t="n">
        <v>461.958282</v>
      </c>
      <c r="R316" t="n">
        <v>461.958282</v>
      </c>
      <c r="S316" t="n">
        <v>304.533157</v>
      </c>
      <c r="T316" t="n">
        <v>304.533157</v>
      </c>
      <c r="U316" t="n">
        <v>108.42706</v>
      </c>
      <c r="V316" t="n">
        <v>108.42706</v>
      </c>
      <c r="W316" t="n">
        <v>306.991308</v>
      </c>
      <c r="X316" t="n">
        <v>468.161038</v>
      </c>
    </row>
    <row r="317">
      <c r="A317" t="inlineStr">
        <is>
          <t>Leuciscus idus</t>
        </is>
      </c>
      <c r="B317" t="n">
        <v>3.79</v>
      </c>
      <c r="C317" t="n">
        <v>616.595002</v>
      </c>
      <c r="D317" t="inlineStr">
        <is>
          <t>Unresolved</t>
        </is>
      </c>
    </row>
    <row r="318">
      <c r="A318" t="inlineStr">
        <is>
          <t>Mimachlamys varia</t>
        </is>
      </c>
      <c r="B318" t="n">
        <v>2.1</v>
      </c>
      <c r="C318" t="n">
        <v>12.589254</v>
      </c>
      <c r="D318" t="inlineStr">
        <is>
          <t>Epifauna</t>
        </is>
      </c>
      <c r="E318" t="n">
        <v>327.790917</v>
      </c>
      <c r="F318" t="n">
        <v>28.994229</v>
      </c>
      <c r="G318" t="n">
        <v>12.834993</v>
      </c>
      <c r="H318" t="n">
        <v>17.954978</v>
      </c>
      <c r="I318" t="n">
        <v>11.374014</v>
      </c>
      <c r="J318" t="n">
        <v>11.374014</v>
      </c>
      <c r="K318" t="n">
        <v>10.009132</v>
      </c>
      <c r="L318" t="n">
        <v>10.950321</v>
      </c>
      <c r="M318" t="n">
        <v>10.950321</v>
      </c>
      <c r="N318" t="n">
        <v>10.950321</v>
      </c>
      <c r="O318" t="n">
        <v>10.041084</v>
      </c>
      <c r="P318" t="n">
        <v>6.846302</v>
      </c>
      <c r="Q318" t="n">
        <v>10.950321</v>
      </c>
      <c r="R318" t="n">
        <v>10.950321</v>
      </c>
      <c r="S318" t="n">
        <v>10.041084</v>
      </c>
      <c r="T318" t="n">
        <v>10.041084</v>
      </c>
      <c r="U318" t="n">
        <v>6.846302</v>
      </c>
      <c r="V318" t="n">
        <v>6.846302</v>
      </c>
      <c r="W318" t="n">
        <v>9.947857000000001</v>
      </c>
      <c r="X318" t="n">
        <v>10.794705</v>
      </c>
    </row>
    <row r="319">
      <c r="A319" t="inlineStr">
        <is>
          <t>Deania calceus</t>
        </is>
      </c>
      <c r="D319" t="inlineStr">
        <is>
          <t>Sharks &amp; rays</t>
        </is>
      </c>
      <c r="E319" t="n">
        <v>327.790917</v>
      </c>
      <c r="F319" t="n">
        <v>522.28227</v>
      </c>
      <c r="G319" t="n">
        <v>114.842938</v>
      </c>
      <c r="H319" t="n">
        <v>326.928715</v>
      </c>
      <c r="I319" t="n">
        <v>732.255138</v>
      </c>
      <c r="J319" t="n">
        <v>761.48662</v>
      </c>
      <c r="K319" t="n">
        <v>327.439247</v>
      </c>
      <c r="L319" t="n">
        <v>1275.246638</v>
      </c>
      <c r="M319" t="n">
        <v>1275.246638</v>
      </c>
      <c r="N319" t="n">
        <v>1275.246638</v>
      </c>
      <c r="O319" t="n">
        <v>317.659957</v>
      </c>
      <c r="P319" t="n">
        <v>115.247551</v>
      </c>
      <c r="Q319" t="n">
        <v>1275.246638</v>
      </c>
      <c r="R319" t="n">
        <v>1275.246638</v>
      </c>
      <c r="S319" t="n">
        <v>317.659957</v>
      </c>
      <c r="T319" t="n">
        <v>317.659957</v>
      </c>
      <c r="U319" t="n">
        <v>115.247551</v>
      </c>
      <c r="V319" t="n">
        <v>115.247551</v>
      </c>
      <c r="W319" t="n">
        <v>327.701462</v>
      </c>
      <c r="X319" t="n">
        <v>1310.378519</v>
      </c>
    </row>
    <row r="320">
      <c r="A320" t="inlineStr">
        <is>
          <t>Auxis rochei</t>
        </is>
      </c>
      <c r="B320" t="n">
        <v>4.13</v>
      </c>
      <c r="C320" t="n">
        <v>1348.962883</v>
      </c>
      <c r="D320" t="inlineStr">
        <is>
          <t>Unresolved</t>
        </is>
      </c>
    </row>
    <row r="321">
      <c r="A321" t="inlineStr">
        <is>
          <t>Trichiuridae</t>
        </is>
      </c>
      <c r="B321" t="n">
        <v>4.15</v>
      </c>
      <c r="C321" t="n">
        <v>1412.537545</v>
      </c>
      <c r="D321" t="inlineStr">
        <is>
          <t>Unresolved</t>
        </is>
      </c>
    </row>
    <row r="322">
      <c r="A322" t="inlineStr">
        <is>
          <t>Veneridae</t>
        </is>
      </c>
      <c r="B322" t="n">
        <v>2</v>
      </c>
      <c r="C322" t="n">
        <v>10</v>
      </c>
      <c r="D322" t="inlineStr">
        <is>
          <t>Infauna</t>
        </is>
      </c>
      <c r="E322" t="n">
        <v>327.790917</v>
      </c>
      <c r="F322" t="n">
        <v>10</v>
      </c>
      <c r="G322" t="n">
        <v>5.727631</v>
      </c>
      <c r="H322" t="n">
        <v>5.721903</v>
      </c>
      <c r="I322" t="n">
        <v>4.44</v>
      </c>
      <c r="J322" t="n">
        <v>4.44</v>
      </c>
      <c r="K322" t="n">
        <v>3.996</v>
      </c>
      <c r="L322" t="n">
        <v>3.864936</v>
      </c>
      <c r="M322" t="n">
        <v>3.864936</v>
      </c>
      <c r="N322" t="n">
        <v>3.864936</v>
      </c>
      <c r="O322" t="n">
        <v>4.247203</v>
      </c>
      <c r="P322" t="n">
        <v>3.679841</v>
      </c>
      <c r="Q322" t="n">
        <v>3.864936</v>
      </c>
      <c r="R322" t="n">
        <v>3.864936</v>
      </c>
      <c r="S322" t="n">
        <v>4.247203</v>
      </c>
      <c r="T322" t="n">
        <v>4.247203</v>
      </c>
      <c r="U322" t="n">
        <v>3.679841</v>
      </c>
      <c r="V322" t="n">
        <v>3.679841</v>
      </c>
      <c r="W322" t="n">
        <v>4.187569</v>
      </c>
      <c r="X322" t="n">
        <v>3.928919</v>
      </c>
    </row>
    <row r="323">
      <c r="A323" t="inlineStr">
        <is>
          <t>Rhinochimaera atlantica</t>
        </is>
      </c>
      <c r="D323" t="inlineStr">
        <is>
          <t>Unresolved</t>
        </is>
      </c>
    </row>
    <row r="324">
      <c r="A324" t="inlineStr">
        <is>
          <t>Centrolophus niger</t>
        </is>
      </c>
      <c r="B324" t="n">
        <v>3.92</v>
      </c>
      <c r="C324" t="n">
        <v>831.763771</v>
      </c>
      <c r="D324" t="inlineStr">
        <is>
          <t>Unresolved</t>
        </is>
      </c>
    </row>
    <row r="325">
      <c r="A325" t="inlineStr">
        <is>
          <t>Alopias vulpinus</t>
        </is>
      </c>
      <c r="B325" t="n">
        <v>4.5</v>
      </c>
      <c r="C325" t="n">
        <v>3162.27766</v>
      </c>
      <c r="D325" t="inlineStr">
        <is>
          <t>Sharks &amp; rays</t>
        </is>
      </c>
      <c r="E325" t="n">
        <v>327.790917</v>
      </c>
      <c r="F325" t="n">
        <v>522.28227</v>
      </c>
      <c r="G325" t="n">
        <v>114.842938</v>
      </c>
      <c r="H325" t="n">
        <v>326.928715</v>
      </c>
      <c r="I325" t="n">
        <v>732.255138</v>
      </c>
      <c r="J325" t="n">
        <v>761.48662</v>
      </c>
      <c r="K325" t="n">
        <v>327.439247</v>
      </c>
      <c r="L325" t="n">
        <v>1275.246638</v>
      </c>
      <c r="M325" t="n">
        <v>1275.246638</v>
      </c>
      <c r="N325" t="n">
        <v>1275.246638</v>
      </c>
      <c r="O325" t="n">
        <v>317.659957</v>
      </c>
      <c r="P325" t="n">
        <v>115.247551</v>
      </c>
      <c r="Q325" t="n">
        <v>1275.246638</v>
      </c>
      <c r="R325" t="n">
        <v>1275.246638</v>
      </c>
      <c r="S325" t="n">
        <v>317.659957</v>
      </c>
      <c r="T325" t="n">
        <v>317.659957</v>
      </c>
      <c r="U325" t="n">
        <v>115.247551</v>
      </c>
      <c r="V325" t="n">
        <v>115.247551</v>
      </c>
      <c r="W325" t="n">
        <v>327.701462</v>
      </c>
      <c r="X325" t="n">
        <v>1310.378519</v>
      </c>
    </row>
    <row r="326">
      <c r="A326" t="inlineStr">
        <is>
          <t>Venerupis corrugata</t>
        </is>
      </c>
      <c r="B326" t="n">
        <v>2.1</v>
      </c>
      <c r="C326" t="n">
        <v>12.589254</v>
      </c>
      <c r="D326" t="inlineStr">
        <is>
          <t>Infauna</t>
        </is>
      </c>
      <c r="E326" t="n">
        <v>327.790917</v>
      </c>
      <c r="F326" t="n">
        <v>10</v>
      </c>
      <c r="G326" t="n">
        <v>5.727631</v>
      </c>
      <c r="H326" t="n">
        <v>5.721903</v>
      </c>
      <c r="I326" t="n">
        <v>4.44</v>
      </c>
      <c r="J326" t="n">
        <v>4.44</v>
      </c>
      <c r="K326" t="n">
        <v>3.996</v>
      </c>
      <c r="L326" t="n">
        <v>3.864936</v>
      </c>
      <c r="M326" t="n">
        <v>3.864936</v>
      </c>
      <c r="N326" t="n">
        <v>3.864936</v>
      </c>
      <c r="O326" t="n">
        <v>4.247203</v>
      </c>
      <c r="P326" t="n">
        <v>3.679841</v>
      </c>
      <c r="Q326" t="n">
        <v>3.864936</v>
      </c>
      <c r="R326" t="n">
        <v>3.864936</v>
      </c>
      <c r="S326" t="n">
        <v>4.247203</v>
      </c>
      <c r="T326" t="n">
        <v>4.247203</v>
      </c>
      <c r="U326" t="n">
        <v>3.679841</v>
      </c>
      <c r="V326" t="n">
        <v>3.679841</v>
      </c>
      <c r="W326" t="n">
        <v>4.187569</v>
      </c>
      <c r="X326" t="n">
        <v>3.928919</v>
      </c>
    </row>
    <row r="327">
      <c r="A327" t="inlineStr">
        <is>
          <t>Dentex</t>
        </is>
      </c>
      <c r="B327" t="n">
        <v>3.96</v>
      </c>
      <c r="C327" t="n">
        <v>912.010839</v>
      </c>
      <c r="D327" t="inlineStr">
        <is>
          <t>Large Dem. fish</t>
        </is>
      </c>
      <c r="E327" t="n">
        <v>327.790917</v>
      </c>
      <c r="F327" t="n">
        <v>665.972772</v>
      </c>
      <c r="G327" t="n">
        <v>138.073221</v>
      </c>
      <c r="H327" t="n">
        <v>328.210407</v>
      </c>
      <c r="I327" t="n">
        <v>321.185641</v>
      </c>
      <c r="J327" t="n">
        <v>337.306601</v>
      </c>
      <c r="K327" t="n">
        <v>317.068205</v>
      </c>
      <c r="L327" t="n">
        <v>461.958282</v>
      </c>
      <c r="M327" t="n">
        <v>461.958282</v>
      </c>
      <c r="N327" t="n">
        <v>461.958282</v>
      </c>
      <c r="O327" t="n">
        <v>304.533157</v>
      </c>
      <c r="P327" t="n">
        <v>108.42706</v>
      </c>
      <c r="Q327" t="n">
        <v>461.958282</v>
      </c>
      <c r="R327" t="n">
        <v>461.958282</v>
      </c>
      <c r="S327" t="n">
        <v>304.533157</v>
      </c>
      <c r="T327" t="n">
        <v>304.533157</v>
      </c>
      <c r="U327" t="n">
        <v>108.42706</v>
      </c>
      <c r="V327" t="n">
        <v>108.42706</v>
      </c>
      <c r="W327" t="n">
        <v>306.991308</v>
      </c>
      <c r="X327" t="n">
        <v>468.161038</v>
      </c>
    </row>
    <row r="328">
      <c r="A328" t="inlineStr">
        <is>
          <t>Arctica islandica</t>
        </is>
      </c>
      <c r="D328" t="inlineStr">
        <is>
          <t>Infauna</t>
        </is>
      </c>
      <c r="E328" t="n">
        <v>327.790917</v>
      </c>
      <c r="F328" t="n">
        <v>10</v>
      </c>
      <c r="G328" t="n">
        <v>5.727631</v>
      </c>
      <c r="H328" t="n">
        <v>5.721903</v>
      </c>
      <c r="I328" t="n">
        <v>4.44</v>
      </c>
      <c r="J328" t="n">
        <v>4.44</v>
      </c>
      <c r="K328" t="n">
        <v>3.996</v>
      </c>
      <c r="L328" t="n">
        <v>3.864936</v>
      </c>
      <c r="M328" t="n">
        <v>3.864936</v>
      </c>
      <c r="N328" t="n">
        <v>3.864936</v>
      </c>
      <c r="O328" t="n">
        <v>4.247203</v>
      </c>
      <c r="P328" t="n">
        <v>3.679841</v>
      </c>
      <c r="Q328" t="n">
        <v>3.864936</v>
      </c>
      <c r="R328" t="n">
        <v>3.864936</v>
      </c>
      <c r="S328" t="n">
        <v>4.247203</v>
      </c>
      <c r="T328" t="n">
        <v>4.247203</v>
      </c>
      <c r="U328" t="n">
        <v>3.679841</v>
      </c>
      <c r="V328" t="n">
        <v>3.679841</v>
      </c>
      <c r="W328" t="n">
        <v>4.187569</v>
      </c>
      <c r="X328" t="n">
        <v>3.928919</v>
      </c>
    </row>
    <row r="329">
      <c r="A329" t="inlineStr">
        <is>
          <t>Molva macrophthalma</t>
        </is>
      </c>
      <c r="B329" t="n">
        <v>4.5</v>
      </c>
      <c r="C329" t="n">
        <v>3162.27766</v>
      </c>
      <c r="D329" t="inlineStr">
        <is>
          <t>Ling</t>
        </is>
      </c>
      <c r="E329" t="n">
        <v>327.790917</v>
      </c>
      <c r="F329" t="n">
        <v>1898.245398</v>
      </c>
      <c r="G329" t="n">
        <v>305.428226</v>
      </c>
      <c r="H329" t="n">
        <v>911.558009</v>
      </c>
      <c r="I329" t="n">
        <v>376.10347</v>
      </c>
      <c r="J329" t="n">
        <v>391.847098</v>
      </c>
      <c r="K329" t="n">
        <v>368.336273</v>
      </c>
      <c r="L329" t="n">
        <v>491.495581</v>
      </c>
      <c r="M329" t="n">
        <v>491.495581</v>
      </c>
      <c r="N329" t="n">
        <v>491.495581</v>
      </c>
      <c r="O329" t="n">
        <v>302.549286</v>
      </c>
      <c r="P329" t="n">
        <v>96.52297900000001</v>
      </c>
      <c r="Q329" t="n">
        <v>491.495581</v>
      </c>
      <c r="R329" t="n">
        <v>491.495581</v>
      </c>
      <c r="S329" t="n">
        <v>302.549286</v>
      </c>
      <c r="T329" t="n">
        <v>302.549286</v>
      </c>
      <c r="U329" t="n">
        <v>96.52297900000001</v>
      </c>
      <c r="V329" t="n">
        <v>96.52297900000001</v>
      </c>
      <c r="W329" t="n">
        <v>307.895008</v>
      </c>
      <c r="X329" t="n">
        <v>544.500349</v>
      </c>
    </row>
    <row r="330">
      <c r="A330" t="inlineStr">
        <is>
          <t>Squatina squatina</t>
        </is>
      </c>
      <c r="B330" t="n">
        <v>4.05</v>
      </c>
      <c r="C330" t="n">
        <v>1122.018454</v>
      </c>
      <c r="D330" t="inlineStr">
        <is>
          <t>Sharks &amp; rays</t>
        </is>
      </c>
      <c r="E330" t="n">
        <v>327.790917</v>
      </c>
      <c r="F330" t="n">
        <v>522.28227</v>
      </c>
      <c r="G330" t="n">
        <v>114.842938</v>
      </c>
      <c r="H330" t="n">
        <v>326.928715</v>
      </c>
      <c r="I330" t="n">
        <v>732.255138</v>
      </c>
      <c r="J330" t="n">
        <v>761.48662</v>
      </c>
      <c r="K330" t="n">
        <v>327.439247</v>
      </c>
      <c r="L330" t="n">
        <v>1275.246638</v>
      </c>
      <c r="M330" t="n">
        <v>1275.246638</v>
      </c>
      <c r="N330" t="n">
        <v>1275.246638</v>
      </c>
      <c r="O330" t="n">
        <v>317.659957</v>
      </c>
      <c r="P330" t="n">
        <v>115.247551</v>
      </c>
      <c r="Q330" t="n">
        <v>1275.246638</v>
      </c>
      <c r="R330" t="n">
        <v>1275.246638</v>
      </c>
      <c r="S330" t="n">
        <v>317.659957</v>
      </c>
      <c r="T330" t="n">
        <v>317.659957</v>
      </c>
      <c r="U330" t="n">
        <v>115.247551</v>
      </c>
      <c r="V330" t="n">
        <v>115.247551</v>
      </c>
      <c r="W330" t="n">
        <v>327.701462</v>
      </c>
      <c r="X330" t="n">
        <v>1310.378519</v>
      </c>
    </row>
    <row r="331">
      <c r="A331" t="inlineStr">
        <is>
          <t>Gaidropsarus</t>
        </is>
      </c>
      <c r="B331" t="n">
        <v>3.4</v>
      </c>
      <c r="C331" t="n">
        <v>251.188643</v>
      </c>
      <c r="D331" t="inlineStr">
        <is>
          <t>Large Dem. fish</t>
        </is>
      </c>
      <c r="E331" t="n">
        <v>327.790917</v>
      </c>
      <c r="F331" t="n">
        <v>665.972772</v>
      </c>
      <c r="G331" t="n">
        <v>138.073221</v>
      </c>
      <c r="H331" t="n">
        <v>328.210407</v>
      </c>
      <c r="I331" t="n">
        <v>321.185641</v>
      </c>
      <c r="J331" t="n">
        <v>337.306601</v>
      </c>
      <c r="K331" t="n">
        <v>317.068205</v>
      </c>
      <c r="L331" t="n">
        <v>461.958282</v>
      </c>
      <c r="M331" t="n">
        <v>461.958282</v>
      </c>
      <c r="N331" t="n">
        <v>461.958282</v>
      </c>
      <c r="O331" t="n">
        <v>304.533157</v>
      </c>
      <c r="P331" t="n">
        <v>108.42706</v>
      </c>
      <c r="Q331" t="n">
        <v>461.958282</v>
      </c>
      <c r="R331" t="n">
        <v>461.958282</v>
      </c>
      <c r="S331" t="n">
        <v>304.533157</v>
      </c>
      <c r="T331" t="n">
        <v>304.533157</v>
      </c>
      <c r="U331" t="n">
        <v>108.42706</v>
      </c>
      <c r="V331" t="n">
        <v>108.42706</v>
      </c>
      <c r="W331" t="n">
        <v>306.991308</v>
      </c>
      <c r="X331" t="n">
        <v>468.161038</v>
      </c>
    </row>
    <row r="332">
      <c r="A332" t="inlineStr">
        <is>
          <t>Liocarcinus depurator</t>
        </is>
      </c>
      <c r="B332" t="n">
        <v>2.6</v>
      </c>
      <c r="C332" t="n">
        <v>39.810717</v>
      </c>
      <c r="D332" t="inlineStr">
        <is>
          <t>Crustacea</t>
        </is>
      </c>
      <c r="E332" t="n">
        <v>327.790917</v>
      </c>
      <c r="F332" t="n">
        <v>79.403785</v>
      </c>
      <c r="G332" t="n">
        <v>27.544327</v>
      </c>
      <c r="H332" t="n">
        <v>45.837748</v>
      </c>
      <c r="I332" t="n">
        <v>38.918317</v>
      </c>
      <c r="J332" t="n">
        <v>38.964516</v>
      </c>
      <c r="K332" t="n">
        <v>31.561258</v>
      </c>
      <c r="L332" t="n">
        <v>47.671907</v>
      </c>
      <c r="M332" t="n">
        <v>47.671907</v>
      </c>
      <c r="N332" t="n">
        <v>47.671907</v>
      </c>
      <c r="O332" t="n">
        <v>34.575524</v>
      </c>
      <c r="P332" t="n">
        <v>19.020842</v>
      </c>
      <c r="Q332" t="n">
        <v>47.671907</v>
      </c>
      <c r="R332" t="n">
        <v>47.671907</v>
      </c>
      <c r="S332" t="n">
        <v>34.575524</v>
      </c>
      <c r="T332" t="n">
        <v>34.575524</v>
      </c>
      <c r="U332" t="n">
        <v>19.020842</v>
      </c>
      <c r="V332" t="n">
        <v>19.020842</v>
      </c>
      <c r="W332" t="n">
        <v>34.954015</v>
      </c>
      <c r="X332" t="n">
        <v>47.765312</v>
      </c>
    </row>
    <row r="333">
      <c r="A333" t="inlineStr">
        <is>
          <t>Hypophthalmichthys nobilis</t>
        </is>
      </c>
      <c r="D333" t="inlineStr">
        <is>
          <t>Unresolved</t>
        </is>
      </c>
    </row>
    <row r="334">
      <c r="A334" t="inlineStr">
        <is>
          <t>Somniosus microcephalus</t>
        </is>
      </c>
      <c r="D334" t="inlineStr">
        <is>
          <t>Sharks &amp; rays</t>
        </is>
      </c>
      <c r="E334" t="n">
        <v>327.790917</v>
      </c>
      <c r="F334" t="n">
        <v>522.28227</v>
      </c>
      <c r="G334" t="n">
        <v>114.842938</v>
      </c>
      <c r="H334" t="n">
        <v>326.928715</v>
      </c>
      <c r="I334" t="n">
        <v>732.255138</v>
      </c>
      <c r="J334" t="n">
        <v>761.48662</v>
      </c>
      <c r="K334" t="n">
        <v>327.439247</v>
      </c>
      <c r="L334" t="n">
        <v>1275.246638</v>
      </c>
      <c r="M334" t="n">
        <v>1275.246638</v>
      </c>
      <c r="N334" t="n">
        <v>1275.246638</v>
      </c>
      <c r="O334" t="n">
        <v>317.659957</v>
      </c>
      <c r="P334" t="n">
        <v>115.247551</v>
      </c>
      <c r="Q334" t="n">
        <v>1275.246638</v>
      </c>
      <c r="R334" t="n">
        <v>1275.246638</v>
      </c>
      <c r="S334" t="n">
        <v>317.659957</v>
      </c>
      <c r="T334" t="n">
        <v>317.659957</v>
      </c>
      <c r="U334" t="n">
        <v>115.247551</v>
      </c>
      <c r="V334" t="n">
        <v>115.247551</v>
      </c>
      <c r="W334" t="n">
        <v>327.701462</v>
      </c>
      <c r="X334" t="n">
        <v>1310.378519</v>
      </c>
    </row>
    <row r="335">
      <c r="A335" t="inlineStr">
        <is>
          <t>Venus verrucosa</t>
        </is>
      </c>
      <c r="B335" t="n">
        <v>2</v>
      </c>
      <c r="C335" t="n">
        <v>10</v>
      </c>
      <c r="D335" t="inlineStr">
        <is>
          <t>Infauna</t>
        </is>
      </c>
      <c r="E335" t="n">
        <v>327.790917</v>
      </c>
      <c r="F335" t="n">
        <v>10</v>
      </c>
      <c r="G335" t="n">
        <v>5.727631</v>
      </c>
      <c r="H335" t="n">
        <v>5.721903</v>
      </c>
      <c r="I335" t="n">
        <v>4.44</v>
      </c>
      <c r="J335" t="n">
        <v>4.44</v>
      </c>
      <c r="K335" t="n">
        <v>3.996</v>
      </c>
      <c r="L335" t="n">
        <v>3.864936</v>
      </c>
      <c r="M335" t="n">
        <v>3.864936</v>
      </c>
      <c r="N335" t="n">
        <v>3.864936</v>
      </c>
      <c r="O335" t="n">
        <v>4.247203</v>
      </c>
      <c r="P335" t="n">
        <v>3.679841</v>
      </c>
      <c r="Q335" t="n">
        <v>3.864936</v>
      </c>
      <c r="R335" t="n">
        <v>3.864936</v>
      </c>
      <c r="S335" t="n">
        <v>4.247203</v>
      </c>
      <c r="T335" t="n">
        <v>4.247203</v>
      </c>
      <c r="U335" t="n">
        <v>3.679841</v>
      </c>
      <c r="V335" t="n">
        <v>3.679841</v>
      </c>
      <c r="W335" t="n">
        <v>4.187569</v>
      </c>
      <c r="X335" t="n">
        <v>3.928919</v>
      </c>
    </row>
    <row r="336">
      <c r="A336" t="inlineStr">
        <is>
          <t>Scorpaena scrofa</t>
        </is>
      </c>
      <c r="B336" t="n">
        <v>4.25</v>
      </c>
      <c r="C336" t="n">
        <v>1778.27941</v>
      </c>
      <c r="D336" t="inlineStr">
        <is>
          <t>Large Dem. fish</t>
        </is>
      </c>
      <c r="E336" t="n">
        <v>327.790917</v>
      </c>
      <c r="F336" t="n">
        <v>665.972772</v>
      </c>
      <c r="G336" t="n">
        <v>138.073221</v>
      </c>
      <c r="H336" t="n">
        <v>328.210407</v>
      </c>
      <c r="I336" t="n">
        <v>321.185641</v>
      </c>
      <c r="J336" t="n">
        <v>337.306601</v>
      </c>
      <c r="K336" t="n">
        <v>317.068205</v>
      </c>
      <c r="L336" t="n">
        <v>461.958282</v>
      </c>
      <c r="M336" t="n">
        <v>461.958282</v>
      </c>
      <c r="N336" t="n">
        <v>461.958282</v>
      </c>
      <c r="O336" t="n">
        <v>304.533157</v>
      </c>
      <c r="P336" t="n">
        <v>108.42706</v>
      </c>
      <c r="Q336" t="n">
        <v>461.958282</v>
      </c>
      <c r="R336" t="n">
        <v>461.958282</v>
      </c>
      <c r="S336" t="n">
        <v>304.533157</v>
      </c>
      <c r="T336" t="n">
        <v>304.533157</v>
      </c>
      <c r="U336" t="n">
        <v>108.42706</v>
      </c>
      <c r="V336" t="n">
        <v>108.42706</v>
      </c>
      <c r="W336" t="n">
        <v>306.991308</v>
      </c>
      <c r="X336" t="n">
        <v>468.161038</v>
      </c>
    </row>
    <row r="337">
      <c r="A337" t="inlineStr">
        <is>
          <t>Ostrea</t>
        </is>
      </c>
      <c r="D337" t="inlineStr">
        <is>
          <t>Epifauna</t>
        </is>
      </c>
      <c r="E337" t="n">
        <v>327.790917</v>
      </c>
      <c r="F337" t="n">
        <v>28.994229</v>
      </c>
      <c r="G337" t="n">
        <v>12.834993</v>
      </c>
      <c r="H337" t="n">
        <v>17.954978</v>
      </c>
      <c r="I337" t="n">
        <v>11.374014</v>
      </c>
      <c r="J337" t="n">
        <v>11.374014</v>
      </c>
      <c r="K337" t="n">
        <v>10.009132</v>
      </c>
      <c r="L337" t="n">
        <v>10.950321</v>
      </c>
      <c r="M337" t="n">
        <v>10.950321</v>
      </c>
      <c r="N337" t="n">
        <v>10.950321</v>
      </c>
      <c r="O337" t="n">
        <v>10.041084</v>
      </c>
      <c r="P337" t="n">
        <v>6.846302</v>
      </c>
      <c r="Q337" t="n">
        <v>10.950321</v>
      </c>
      <c r="R337" t="n">
        <v>10.950321</v>
      </c>
      <c r="S337" t="n">
        <v>10.041084</v>
      </c>
      <c r="T337" t="n">
        <v>10.041084</v>
      </c>
      <c r="U337" t="n">
        <v>6.846302</v>
      </c>
      <c r="V337" t="n">
        <v>6.846302</v>
      </c>
      <c r="W337" t="n">
        <v>9.947857000000001</v>
      </c>
      <c r="X337" t="n">
        <v>10.794705</v>
      </c>
    </row>
    <row r="338">
      <c r="A338" t="inlineStr">
        <is>
          <t>Acanthocardia tuberculata</t>
        </is>
      </c>
      <c r="B338" t="n">
        <v>2.5</v>
      </c>
      <c r="C338" t="n">
        <v>31.622777</v>
      </c>
      <c r="D338" t="inlineStr">
        <is>
          <t>Epifauna</t>
        </is>
      </c>
      <c r="E338" t="n">
        <v>327.790917</v>
      </c>
      <c r="F338" t="n">
        <v>28.994229</v>
      </c>
      <c r="G338" t="n">
        <v>12.834993</v>
      </c>
      <c r="H338" t="n">
        <v>17.954978</v>
      </c>
      <c r="I338" t="n">
        <v>11.374014</v>
      </c>
      <c r="J338" t="n">
        <v>11.374014</v>
      </c>
      <c r="K338" t="n">
        <v>10.009132</v>
      </c>
      <c r="L338" t="n">
        <v>10.950321</v>
      </c>
      <c r="M338" t="n">
        <v>10.950321</v>
      </c>
      <c r="N338" t="n">
        <v>10.950321</v>
      </c>
      <c r="O338" t="n">
        <v>10.041084</v>
      </c>
      <c r="P338" t="n">
        <v>6.846302</v>
      </c>
      <c r="Q338" t="n">
        <v>10.950321</v>
      </c>
      <c r="R338" t="n">
        <v>10.950321</v>
      </c>
      <c r="S338" t="n">
        <v>10.041084</v>
      </c>
      <c r="T338" t="n">
        <v>10.041084</v>
      </c>
      <c r="U338" t="n">
        <v>6.846302</v>
      </c>
      <c r="V338" t="n">
        <v>6.846302</v>
      </c>
      <c r="W338" t="n">
        <v>9.947857000000001</v>
      </c>
      <c r="X338" t="n">
        <v>10.794705</v>
      </c>
    </row>
    <row r="339">
      <c r="A339" t="inlineStr">
        <is>
          <t>Galeus</t>
        </is>
      </c>
      <c r="B339" t="n">
        <v>4.04</v>
      </c>
      <c r="C339" t="n">
        <v>1096.478196</v>
      </c>
      <c r="D339" t="inlineStr">
        <is>
          <t>Sharks &amp; rays</t>
        </is>
      </c>
      <c r="E339" t="n">
        <v>327.790917</v>
      </c>
      <c r="F339" t="n">
        <v>522.28227</v>
      </c>
      <c r="G339" t="n">
        <v>114.842938</v>
      </c>
      <c r="H339" t="n">
        <v>326.928715</v>
      </c>
      <c r="I339" t="n">
        <v>732.255138</v>
      </c>
      <c r="J339" t="n">
        <v>761.48662</v>
      </c>
      <c r="K339" t="n">
        <v>327.439247</v>
      </c>
      <c r="L339" t="n">
        <v>1275.246638</v>
      </c>
      <c r="M339" t="n">
        <v>1275.246638</v>
      </c>
      <c r="N339" t="n">
        <v>1275.246638</v>
      </c>
      <c r="O339" t="n">
        <v>317.659957</v>
      </c>
      <c r="P339" t="n">
        <v>115.247551</v>
      </c>
      <c r="Q339" t="n">
        <v>1275.246638</v>
      </c>
      <c r="R339" t="n">
        <v>1275.246638</v>
      </c>
      <c r="S339" t="n">
        <v>317.659957</v>
      </c>
      <c r="T339" t="n">
        <v>317.659957</v>
      </c>
      <c r="U339" t="n">
        <v>115.247551</v>
      </c>
      <c r="V339" t="n">
        <v>115.247551</v>
      </c>
      <c r="W339" t="n">
        <v>327.701462</v>
      </c>
      <c r="X339" t="n">
        <v>1310.378519</v>
      </c>
    </row>
    <row r="340">
      <c r="A340" t="inlineStr">
        <is>
          <t>Dendrobranchiata</t>
        </is>
      </c>
      <c r="B340" t="n">
        <v>3.24</v>
      </c>
      <c r="C340" t="n">
        <v>173.780083</v>
      </c>
      <c r="D340" t="inlineStr">
        <is>
          <t>Crustacea</t>
        </is>
      </c>
      <c r="E340" t="n">
        <v>327.790917</v>
      </c>
      <c r="F340" t="n">
        <v>79.403785</v>
      </c>
      <c r="G340" t="n">
        <v>27.544327</v>
      </c>
      <c r="H340" t="n">
        <v>45.837748</v>
      </c>
      <c r="I340" t="n">
        <v>38.918317</v>
      </c>
      <c r="J340" t="n">
        <v>38.964516</v>
      </c>
      <c r="K340" t="n">
        <v>31.561258</v>
      </c>
      <c r="L340" t="n">
        <v>47.671907</v>
      </c>
      <c r="M340" t="n">
        <v>47.671907</v>
      </c>
      <c r="N340" t="n">
        <v>47.671907</v>
      </c>
      <c r="O340" t="n">
        <v>34.575524</v>
      </c>
      <c r="P340" t="n">
        <v>19.020842</v>
      </c>
      <c r="Q340" t="n">
        <v>47.671907</v>
      </c>
      <c r="R340" t="n">
        <v>47.671907</v>
      </c>
      <c r="S340" t="n">
        <v>34.575524</v>
      </c>
      <c r="T340" t="n">
        <v>34.575524</v>
      </c>
      <c r="U340" t="n">
        <v>19.020842</v>
      </c>
      <c r="V340" t="n">
        <v>19.020842</v>
      </c>
      <c r="W340" t="n">
        <v>34.954015</v>
      </c>
      <c r="X340" t="n">
        <v>47.765312</v>
      </c>
    </row>
    <row r="341">
      <c r="A341" t="inlineStr">
        <is>
          <t>Nephropidae</t>
        </is>
      </c>
      <c r="D341" t="inlineStr">
        <is>
          <t>Crustacea</t>
        </is>
      </c>
      <c r="E341" t="n">
        <v>327.790917</v>
      </c>
      <c r="F341" t="n">
        <v>79.403785</v>
      </c>
      <c r="G341" t="n">
        <v>27.544327</v>
      </c>
      <c r="H341" t="n">
        <v>45.837748</v>
      </c>
      <c r="I341" t="n">
        <v>38.918317</v>
      </c>
      <c r="J341" t="n">
        <v>38.964516</v>
      </c>
      <c r="K341" t="n">
        <v>31.561258</v>
      </c>
      <c r="L341" t="n">
        <v>47.671907</v>
      </c>
      <c r="M341" t="n">
        <v>47.671907</v>
      </c>
      <c r="N341" t="n">
        <v>47.671907</v>
      </c>
      <c r="O341" t="n">
        <v>34.575524</v>
      </c>
      <c r="P341" t="n">
        <v>19.020842</v>
      </c>
      <c r="Q341" t="n">
        <v>47.671907</v>
      </c>
      <c r="R341" t="n">
        <v>47.671907</v>
      </c>
      <c r="S341" t="n">
        <v>34.575524</v>
      </c>
      <c r="T341" t="n">
        <v>34.575524</v>
      </c>
      <c r="U341" t="n">
        <v>19.020842</v>
      </c>
      <c r="V341" t="n">
        <v>19.020842</v>
      </c>
      <c r="W341" t="n">
        <v>34.954015</v>
      </c>
      <c r="X341" t="n">
        <v>47.765312</v>
      </c>
    </row>
    <row r="342">
      <c r="A342" t="inlineStr">
        <is>
          <t>Auxis</t>
        </is>
      </c>
      <c r="B342" t="n">
        <v>4.24</v>
      </c>
      <c r="C342" t="n">
        <v>1737.800829</v>
      </c>
      <c r="D342" t="inlineStr">
        <is>
          <t>Unresolved</t>
        </is>
      </c>
    </row>
    <row r="343">
      <c r="A343" t="inlineStr">
        <is>
          <t>Salvelinus</t>
        </is>
      </c>
      <c r="D343" t="inlineStr">
        <is>
          <t>Unresolved</t>
        </is>
      </c>
    </row>
    <row r="344">
      <c r="A344" t="inlineStr">
        <is>
          <t>Carcharhinidae</t>
        </is>
      </c>
      <c r="B344" t="n">
        <v>4.24</v>
      </c>
      <c r="C344" t="n">
        <v>1737.800829</v>
      </c>
      <c r="D344" t="inlineStr">
        <is>
          <t>Sharks &amp; rays</t>
        </is>
      </c>
      <c r="E344" t="n">
        <v>327.790917</v>
      </c>
      <c r="F344" t="n">
        <v>522.28227</v>
      </c>
      <c r="G344" t="n">
        <v>114.842938</v>
      </c>
      <c r="H344" t="n">
        <v>326.928715</v>
      </c>
      <c r="I344" t="n">
        <v>732.255138</v>
      </c>
      <c r="J344" t="n">
        <v>761.48662</v>
      </c>
      <c r="K344" t="n">
        <v>327.439247</v>
      </c>
      <c r="L344" t="n">
        <v>1275.246638</v>
      </c>
      <c r="M344" t="n">
        <v>1275.246638</v>
      </c>
      <c r="N344" t="n">
        <v>1275.246638</v>
      </c>
      <c r="O344" t="n">
        <v>317.659957</v>
      </c>
      <c r="P344" t="n">
        <v>115.247551</v>
      </c>
      <c r="Q344" t="n">
        <v>1275.246638</v>
      </c>
      <c r="R344" t="n">
        <v>1275.246638</v>
      </c>
      <c r="S344" t="n">
        <v>317.659957</v>
      </c>
      <c r="T344" t="n">
        <v>317.659957</v>
      </c>
      <c r="U344" t="n">
        <v>115.247551</v>
      </c>
      <c r="V344" t="n">
        <v>115.247551</v>
      </c>
      <c r="W344" t="n">
        <v>327.701462</v>
      </c>
      <c r="X344" t="n">
        <v>1310.378519</v>
      </c>
    </row>
    <row r="345">
      <c r="A345" t="inlineStr">
        <is>
          <t>Lithodes maja</t>
        </is>
      </c>
      <c r="D345" t="inlineStr">
        <is>
          <t>Crustacea</t>
        </is>
      </c>
      <c r="E345" t="n">
        <v>327.790917</v>
      </c>
      <c r="F345" t="n">
        <v>79.403785</v>
      </c>
      <c r="G345" t="n">
        <v>27.544327</v>
      </c>
      <c r="H345" t="n">
        <v>45.837748</v>
      </c>
      <c r="I345" t="n">
        <v>38.918317</v>
      </c>
      <c r="J345" t="n">
        <v>38.964516</v>
      </c>
      <c r="K345" t="n">
        <v>31.561258</v>
      </c>
      <c r="L345" t="n">
        <v>47.671907</v>
      </c>
      <c r="M345" t="n">
        <v>47.671907</v>
      </c>
      <c r="N345" t="n">
        <v>47.671907</v>
      </c>
      <c r="O345" t="n">
        <v>34.575524</v>
      </c>
      <c r="P345" t="n">
        <v>19.020842</v>
      </c>
      <c r="Q345" t="n">
        <v>47.671907</v>
      </c>
      <c r="R345" t="n">
        <v>47.671907</v>
      </c>
      <c r="S345" t="n">
        <v>34.575524</v>
      </c>
      <c r="T345" t="n">
        <v>34.575524</v>
      </c>
      <c r="U345" t="n">
        <v>19.020842</v>
      </c>
      <c r="V345" t="n">
        <v>19.020842</v>
      </c>
      <c r="W345" t="n">
        <v>34.954015</v>
      </c>
      <c r="X345" t="n">
        <v>47.765312</v>
      </c>
    </row>
    <row r="346">
      <c r="A346" t="inlineStr">
        <is>
          <t>Mactridae</t>
        </is>
      </c>
      <c r="D346" t="inlineStr">
        <is>
          <t>Infauna</t>
        </is>
      </c>
      <c r="E346" t="n">
        <v>327.790917</v>
      </c>
      <c r="F346" t="n">
        <v>10</v>
      </c>
      <c r="G346" t="n">
        <v>5.727631</v>
      </c>
      <c r="H346" t="n">
        <v>5.721903</v>
      </c>
      <c r="I346" t="n">
        <v>4.44</v>
      </c>
      <c r="J346" t="n">
        <v>4.44</v>
      </c>
      <c r="K346" t="n">
        <v>3.996</v>
      </c>
      <c r="L346" t="n">
        <v>3.864936</v>
      </c>
      <c r="M346" t="n">
        <v>3.864936</v>
      </c>
      <c r="N346" t="n">
        <v>3.864936</v>
      </c>
      <c r="O346" t="n">
        <v>4.247203</v>
      </c>
      <c r="P346" t="n">
        <v>3.679841</v>
      </c>
      <c r="Q346" t="n">
        <v>3.864936</v>
      </c>
      <c r="R346" t="n">
        <v>3.864936</v>
      </c>
      <c r="S346" t="n">
        <v>4.247203</v>
      </c>
      <c r="T346" t="n">
        <v>4.247203</v>
      </c>
      <c r="U346" t="n">
        <v>3.679841</v>
      </c>
      <c r="V346" t="n">
        <v>3.679841</v>
      </c>
      <c r="W346" t="n">
        <v>4.187569</v>
      </c>
      <c r="X346" t="n">
        <v>3.928919</v>
      </c>
    </row>
    <row r="347">
      <c r="A347" t="inlineStr">
        <is>
          <t>Scomber</t>
        </is>
      </c>
      <c r="B347" t="n">
        <v>3.65</v>
      </c>
      <c r="C347" t="n">
        <v>446.683592</v>
      </c>
      <c r="D347" t="inlineStr">
        <is>
          <t>Large Pelagics</t>
        </is>
      </c>
      <c r="E347" t="n">
        <v>327.790917</v>
      </c>
      <c r="F347" t="n">
        <v>409.325031</v>
      </c>
      <c r="G347" t="n">
        <v>95.473426</v>
      </c>
      <c r="H347" t="n">
        <v>171.971164</v>
      </c>
      <c r="I347" t="n">
        <v>151.710468</v>
      </c>
      <c r="J347" t="n">
        <v>166.941311</v>
      </c>
      <c r="K347" t="n">
        <v>150.24718</v>
      </c>
      <c r="L347" t="n">
        <v>208.675232</v>
      </c>
      <c r="M347" t="n">
        <v>208.675232</v>
      </c>
      <c r="N347" t="n">
        <v>208.675232</v>
      </c>
      <c r="O347" t="n">
        <v>139.225251</v>
      </c>
      <c r="P347" t="n">
        <v>55.587338</v>
      </c>
      <c r="Q347" t="n">
        <v>208.675232</v>
      </c>
      <c r="R347" t="n">
        <v>208.675232</v>
      </c>
      <c r="S347" t="n">
        <v>139.225251</v>
      </c>
      <c r="T347" t="n">
        <v>139.225251</v>
      </c>
      <c r="U347" t="n">
        <v>55.587338</v>
      </c>
      <c r="V347" t="n">
        <v>55.587338</v>
      </c>
      <c r="W347" t="n">
        <v>138.889014</v>
      </c>
      <c r="X347" t="n">
        <v>209.882396</v>
      </c>
    </row>
    <row r="348">
      <c r="A348" t="inlineStr">
        <is>
          <t>Polititapes rhomboides</t>
        </is>
      </c>
      <c r="B348" t="n">
        <v>2</v>
      </c>
      <c r="C348" t="n">
        <v>10</v>
      </c>
      <c r="D348" t="inlineStr">
        <is>
          <t>Infauna</t>
        </is>
      </c>
      <c r="E348" t="n">
        <v>327.790917</v>
      </c>
      <c r="F348" t="n">
        <v>10</v>
      </c>
      <c r="G348" t="n">
        <v>5.727631</v>
      </c>
      <c r="H348" t="n">
        <v>5.721903</v>
      </c>
      <c r="I348" t="n">
        <v>4.44</v>
      </c>
      <c r="J348" t="n">
        <v>4.44</v>
      </c>
      <c r="K348" t="n">
        <v>3.996</v>
      </c>
      <c r="L348" t="n">
        <v>3.864936</v>
      </c>
      <c r="M348" t="n">
        <v>3.864936</v>
      </c>
      <c r="N348" t="n">
        <v>3.864936</v>
      </c>
      <c r="O348" t="n">
        <v>4.247203</v>
      </c>
      <c r="P348" t="n">
        <v>3.679841</v>
      </c>
      <c r="Q348" t="n">
        <v>3.864936</v>
      </c>
      <c r="R348" t="n">
        <v>3.864936</v>
      </c>
      <c r="S348" t="n">
        <v>4.247203</v>
      </c>
      <c r="T348" t="n">
        <v>4.247203</v>
      </c>
      <c r="U348" t="n">
        <v>3.679841</v>
      </c>
      <c r="V348" t="n">
        <v>3.679841</v>
      </c>
      <c r="W348" t="n">
        <v>4.187569</v>
      </c>
      <c r="X348" t="n">
        <v>3.928919</v>
      </c>
    </row>
    <row r="349">
      <c r="A349" t="inlineStr">
        <is>
          <t>Acipenser sturio</t>
        </is>
      </c>
      <c r="B349" t="n">
        <v>3.51</v>
      </c>
      <c r="C349" t="n">
        <v>323.593657</v>
      </c>
      <c r="D349" t="inlineStr">
        <is>
          <t>Unresolved</t>
        </is>
      </c>
    </row>
    <row r="350">
      <c r="A350" t="inlineStr">
        <is>
          <t>Sebastes viviparus</t>
        </is>
      </c>
      <c r="D350" t="inlineStr">
        <is>
          <t>Large Dem. fish</t>
        </is>
      </c>
      <c r="E350" t="n">
        <v>327.790917</v>
      </c>
      <c r="F350" t="n">
        <v>665.972772</v>
      </c>
      <c r="G350" t="n">
        <v>138.073221</v>
      </c>
      <c r="H350" t="n">
        <v>328.210407</v>
      </c>
      <c r="I350" t="n">
        <v>321.185641</v>
      </c>
      <c r="J350" t="n">
        <v>337.306601</v>
      </c>
      <c r="K350" t="n">
        <v>317.068205</v>
      </c>
      <c r="L350" t="n">
        <v>461.958282</v>
      </c>
      <c r="M350" t="n">
        <v>461.958282</v>
      </c>
      <c r="N350" t="n">
        <v>461.958282</v>
      </c>
      <c r="O350" t="n">
        <v>304.533157</v>
      </c>
      <c r="P350" t="n">
        <v>108.42706</v>
      </c>
      <c r="Q350" t="n">
        <v>461.958282</v>
      </c>
      <c r="R350" t="n">
        <v>461.958282</v>
      </c>
      <c r="S350" t="n">
        <v>304.533157</v>
      </c>
      <c r="T350" t="n">
        <v>304.533157</v>
      </c>
      <c r="U350" t="n">
        <v>108.42706</v>
      </c>
      <c r="V350" t="n">
        <v>108.42706</v>
      </c>
      <c r="W350" t="n">
        <v>306.991308</v>
      </c>
      <c r="X350" t="n">
        <v>468.161038</v>
      </c>
    </row>
    <row r="351">
      <c r="A351" t="inlineStr">
        <is>
          <t>Scomberesocidae</t>
        </is>
      </c>
      <c r="B351" t="n">
        <v>4.01</v>
      </c>
      <c r="C351" t="n">
        <v>1023.292992</v>
      </c>
      <c r="D351" t="inlineStr">
        <is>
          <t>Large Pelagics</t>
        </is>
      </c>
      <c r="E351" t="n">
        <v>327.790917</v>
      </c>
      <c r="F351" t="n">
        <v>409.325031</v>
      </c>
      <c r="G351" t="n">
        <v>95.473426</v>
      </c>
      <c r="H351" t="n">
        <v>171.971164</v>
      </c>
      <c r="I351" t="n">
        <v>151.710468</v>
      </c>
      <c r="J351" t="n">
        <v>166.941311</v>
      </c>
      <c r="K351" t="n">
        <v>150.24718</v>
      </c>
      <c r="L351" t="n">
        <v>208.675232</v>
      </c>
      <c r="M351" t="n">
        <v>208.675232</v>
      </c>
      <c r="N351" t="n">
        <v>208.675232</v>
      </c>
      <c r="O351" t="n">
        <v>139.225251</v>
      </c>
      <c r="P351" t="n">
        <v>55.587338</v>
      </c>
      <c r="Q351" t="n">
        <v>208.675232</v>
      </c>
      <c r="R351" t="n">
        <v>208.675232</v>
      </c>
      <c r="S351" t="n">
        <v>139.225251</v>
      </c>
      <c r="T351" t="n">
        <v>139.225251</v>
      </c>
      <c r="U351" t="n">
        <v>55.587338</v>
      </c>
      <c r="V351" t="n">
        <v>55.587338</v>
      </c>
      <c r="W351" t="n">
        <v>138.889014</v>
      </c>
      <c r="X351" t="n">
        <v>209.882396</v>
      </c>
    </row>
    <row r="352">
      <c r="A352" t="inlineStr">
        <is>
          <t>Ensis ensis</t>
        </is>
      </c>
      <c r="B352" t="n">
        <v>2</v>
      </c>
      <c r="C352" t="n">
        <v>10</v>
      </c>
      <c r="D352" t="inlineStr">
        <is>
          <t>Infauna</t>
        </is>
      </c>
      <c r="E352" t="n">
        <v>327.790917</v>
      </c>
      <c r="F352" t="n">
        <v>10</v>
      </c>
      <c r="G352" t="n">
        <v>5.727631</v>
      </c>
      <c r="H352" t="n">
        <v>5.721903</v>
      </c>
      <c r="I352" t="n">
        <v>4.44</v>
      </c>
      <c r="J352" t="n">
        <v>4.44</v>
      </c>
      <c r="K352" t="n">
        <v>3.996</v>
      </c>
      <c r="L352" t="n">
        <v>3.864936</v>
      </c>
      <c r="M352" t="n">
        <v>3.864936</v>
      </c>
      <c r="N352" t="n">
        <v>3.864936</v>
      </c>
      <c r="O352" t="n">
        <v>4.247203</v>
      </c>
      <c r="P352" t="n">
        <v>3.679841</v>
      </c>
      <c r="Q352" t="n">
        <v>3.864936</v>
      </c>
      <c r="R352" t="n">
        <v>3.864936</v>
      </c>
      <c r="S352" t="n">
        <v>4.247203</v>
      </c>
      <c r="T352" t="n">
        <v>4.247203</v>
      </c>
      <c r="U352" t="n">
        <v>3.679841</v>
      </c>
      <c r="V352" t="n">
        <v>3.679841</v>
      </c>
      <c r="W352" t="n">
        <v>4.187569</v>
      </c>
      <c r="X352" t="n">
        <v>3.928919</v>
      </c>
    </row>
    <row r="353">
      <c r="A353" t="inlineStr">
        <is>
          <t>Donax</t>
        </is>
      </c>
      <c r="B353" t="n">
        <v>2</v>
      </c>
      <c r="C353" t="n">
        <v>10</v>
      </c>
      <c r="D353" t="inlineStr">
        <is>
          <t>Infauna</t>
        </is>
      </c>
      <c r="E353" t="n">
        <v>327.790917</v>
      </c>
      <c r="F353" t="n">
        <v>10</v>
      </c>
      <c r="G353" t="n">
        <v>5.727631</v>
      </c>
      <c r="H353" t="n">
        <v>5.721903</v>
      </c>
      <c r="I353" t="n">
        <v>4.44</v>
      </c>
      <c r="J353" t="n">
        <v>4.44</v>
      </c>
      <c r="K353" t="n">
        <v>3.996</v>
      </c>
      <c r="L353" t="n">
        <v>3.864936</v>
      </c>
      <c r="M353" t="n">
        <v>3.864936</v>
      </c>
      <c r="N353" t="n">
        <v>3.864936</v>
      </c>
      <c r="O353" t="n">
        <v>4.247203</v>
      </c>
      <c r="P353" t="n">
        <v>3.679841</v>
      </c>
      <c r="Q353" t="n">
        <v>3.864936</v>
      </c>
      <c r="R353" t="n">
        <v>3.864936</v>
      </c>
      <c r="S353" t="n">
        <v>4.247203</v>
      </c>
      <c r="T353" t="n">
        <v>4.247203</v>
      </c>
      <c r="U353" t="n">
        <v>3.679841</v>
      </c>
      <c r="V353" t="n">
        <v>3.679841</v>
      </c>
      <c r="W353" t="n">
        <v>4.187569</v>
      </c>
      <c r="X353" t="n">
        <v>3.928919</v>
      </c>
    </row>
    <row r="354">
      <c r="A354" t="inlineStr">
        <is>
          <t>Palinurus elephas</t>
        </is>
      </c>
      <c r="B354" t="n">
        <v>3.34</v>
      </c>
      <c r="C354" t="n">
        <v>218.776162</v>
      </c>
      <c r="D354" t="inlineStr">
        <is>
          <t>Crustacea</t>
        </is>
      </c>
      <c r="E354" t="n">
        <v>327.790917</v>
      </c>
      <c r="F354" t="n">
        <v>79.403785</v>
      </c>
      <c r="G354" t="n">
        <v>27.544327</v>
      </c>
      <c r="H354" t="n">
        <v>45.837748</v>
      </c>
      <c r="I354" t="n">
        <v>38.918317</v>
      </c>
      <c r="J354" t="n">
        <v>38.964516</v>
      </c>
      <c r="K354" t="n">
        <v>31.561258</v>
      </c>
      <c r="L354" t="n">
        <v>47.671907</v>
      </c>
      <c r="M354" t="n">
        <v>47.671907</v>
      </c>
      <c r="N354" t="n">
        <v>47.671907</v>
      </c>
      <c r="O354" t="n">
        <v>34.575524</v>
      </c>
      <c r="P354" t="n">
        <v>19.020842</v>
      </c>
      <c r="Q354" t="n">
        <v>47.671907</v>
      </c>
      <c r="R354" t="n">
        <v>47.671907</v>
      </c>
      <c r="S354" t="n">
        <v>34.575524</v>
      </c>
      <c r="T354" t="n">
        <v>34.575524</v>
      </c>
      <c r="U354" t="n">
        <v>19.020842</v>
      </c>
      <c r="V354" t="n">
        <v>19.020842</v>
      </c>
      <c r="W354" t="n">
        <v>34.954015</v>
      </c>
      <c r="X354" t="n">
        <v>47.765312</v>
      </c>
    </row>
    <row r="355">
      <c r="A355" t="inlineStr">
        <is>
          <t>Callista chione</t>
        </is>
      </c>
      <c r="B355" t="n">
        <v>2</v>
      </c>
      <c r="C355" t="n">
        <v>10</v>
      </c>
      <c r="D355" t="inlineStr">
        <is>
          <t>Infauna</t>
        </is>
      </c>
      <c r="E355" t="n">
        <v>327.790917</v>
      </c>
      <c r="F355" t="n">
        <v>10</v>
      </c>
      <c r="G355" t="n">
        <v>5.727631</v>
      </c>
      <c r="H355" t="n">
        <v>5.721903</v>
      </c>
      <c r="I355" t="n">
        <v>4.44</v>
      </c>
      <c r="J355" t="n">
        <v>4.44</v>
      </c>
      <c r="K355" t="n">
        <v>3.996</v>
      </c>
      <c r="L355" t="n">
        <v>3.864936</v>
      </c>
      <c r="M355" t="n">
        <v>3.864936</v>
      </c>
      <c r="N355" t="n">
        <v>3.864936</v>
      </c>
      <c r="O355" t="n">
        <v>4.247203</v>
      </c>
      <c r="P355" t="n">
        <v>3.679841</v>
      </c>
      <c r="Q355" t="n">
        <v>3.864936</v>
      </c>
      <c r="R355" t="n">
        <v>3.864936</v>
      </c>
      <c r="S355" t="n">
        <v>4.247203</v>
      </c>
      <c r="T355" t="n">
        <v>4.247203</v>
      </c>
      <c r="U355" t="n">
        <v>3.679841</v>
      </c>
      <c r="V355" t="n">
        <v>3.679841</v>
      </c>
      <c r="W355" t="n">
        <v>4.187569</v>
      </c>
      <c r="X355" t="n">
        <v>3.928919</v>
      </c>
    </row>
    <row r="356">
      <c r="A356" t="inlineStr">
        <is>
          <t>Ommastrephidae</t>
        </is>
      </c>
      <c r="B356" t="n">
        <v>4.09</v>
      </c>
      <c r="C356" t="n">
        <v>1230.268771</v>
      </c>
      <c r="D356" t="inlineStr">
        <is>
          <t>Squid &amp; Octopus</t>
        </is>
      </c>
      <c r="E356" t="n">
        <v>327.790917</v>
      </c>
      <c r="F356" t="n">
        <v>160.967585</v>
      </c>
      <c r="G356" t="n">
        <v>47.060072</v>
      </c>
      <c r="H356" t="n">
        <v>88.258037</v>
      </c>
      <c r="I356" t="n">
        <v>77.00034599999999</v>
      </c>
      <c r="J356" t="n">
        <v>77.34926</v>
      </c>
      <c r="K356" t="n">
        <v>73.481797</v>
      </c>
      <c r="L356" t="n">
        <v>94.097724</v>
      </c>
      <c r="M356" t="n">
        <v>94.097724</v>
      </c>
      <c r="N356" t="n">
        <v>94.097724</v>
      </c>
      <c r="O356" t="n">
        <v>70.413555</v>
      </c>
      <c r="P356" t="n">
        <v>31.50612</v>
      </c>
      <c r="Q356" t="n">
        <v>94.097724</v>
      </c>
      <c r="R356" t="n">
        <v>94.097724</v>
      </c>
      <c r="S356" t="n">
        <v>70.413555</v>
      </c>
      <c r="T356" t="n">
        <v>70.413555</v>
      </c>
      <c r="U356" t="n">
        <v>31.50612</v>
      </c>
      <c r="V356" t="n">
        <v>31.50612</v>
      </c>
      <c r="W356" t="n">
        <v>71.270959</v>
      </c>
      <c r="X356" t="n">
        <v>97.60397</v>
      </c>
    </row>
    <row r="357">
      <c r="A357" t="inlineStr">
        <is>
          <t>Palaemon longirostris</t>
        </is>
      </c>
      <c r="B357" t="n">
        <v>2.6</v>
      </c>
      <c r="C357" t="n">
        <v>39.810717</v>
      </c>
      <c r="D357" t="inlineStr">
        <is>
          <t>Crustacea</t>
        </is>
      </c>
      <c r="E357" t="n">
        <v>327.790917</v>
      </c>
      <c r="F357" t="n">
        <v>79.403785</v>
      </c>
      <c r="G357" t="n">
        <v>27.544327</v>
      </c>
      <c r="H357" t="n">
        <v>45.837748</v>
      </c>
      <c r="I357" t="n">
        <v>38.918317</v>
      </c>
      <c r="J357" t="n">
        <v>38.964516</v>
      </c>
      <c r="K357" t="n">
        <v>31.561258</v>
      </c>
      <c r="L357" t="n">
        <v>47.671907</v>
      </c>
      <c r="M357" t="n">
        <v>47.671907</v>
      </c>
      <c r="N357" t="n">
        <v>47.671907</v>
      </c>
      <c r="O357" t="n">
        <v>34.575524</v>
      </c>
      <c r="P357" t="n">
        <v>19.020842</v>
      </c>
      <c r="Q357" t="n">
        <v>47.671907</v>
      </c>
      <c r="R357" t="n">
        <v>47.671907</v>
      </c>
      <c r="S357" t="n">
        <v>34.575524</v>
      </c>
      <c r="T357" t="n">
        <v>34.575524</v>
      </c>
      <c r="U357" t="n">
        <v>19.020842</v>
      </c>
      <c r="V357" t="n">
        <v>19.020842</v>
      </c>
      <c r="W357" t="n">
        <v>34.954015</v>
      </c>
      <c r="X357" t="n">
        <v>47.765312</v>
      </c>
    </row>
    <row r="358">
      <c r="A358" t="inlineStr">
        <is>
          <t>Phycis</t>
        </is>
      </c>
      <c r="B358" t="n">
        <v>3.99</v>
      </c>
      <c r="C358" t="n">
        <v>977.237221</v>
      </c>
      <c r="D358" t="inlineStr">
        <is>
          <t>Large Dem. fish</t>
        </is>
      </c>
      <c r="E358" t="n">
        <v>327.790917</v>
      </c>
      <c r="F358" t="n">
        <v>665.972772</v>
      </c>
      <c r="G358" t="n">
        <v>138.073221</v>
      </c>
      <c r="H358" t="n">
        <v>328.210407</v>
      </c>
      <c r="I358" t="n">
        <v>321.185641</v>
      </c>
      <c r="J358" t="n">
        <v>337.306601</v>
      </c>
      <c r="K358" t="n">
        <v>317.068205</v>
      </c>
      <c r="L358" t="n">
        <v>461.958282</v>
      </c>
      <c r="M358" t="n">
        <v>461.958282</v>
      </c>
      <c r="N358" t="n">
        <v>461.958282</v>
      </c>
      <c r="O358" t="n">
        <v>304.533157</v>
      </c>
      <c r="P358" t="n">
        <v>108.42706</v>
      </c>
      <c r="Q358" t="n">
        <v>461.958282</v>
      </c>
      <c r="R358" t="n">
        <v>461.958282</v>
      </c>
      <c r="S358" t="n">
        <v>304.533157</v>
      </c>
      <c r="T358" t="n">
        <v>304.533157</v>
      </c>
      <c r="U358" t="n">
        <v>108.42706</v>
      </c>
      <c r="V358" t="n">
        <v>108.42706</v>
      </c>
      <c r="W358" t="n">
        <v>306.991308</v>
      </c>
      <c r="X358" t="n">
        <v>468.161038</v>
      </c>
    </row>
    <row r="359">
      <c r="A359" t="inlineStr">
        <is>
          <t>Palinuridae</t>
        </is>
      </c>
      <c r="B359" t="n">
        <v>3.14</v>
      </c>
      <c r="C359" t="n">
        <v>138.038426</v>
      </c>
      <c r="D359" t="inlineStr">
        <is>
          <t>Crustacea</t>
        </is>
      </c>
      <c r="E359" t="n">
        <v>327.790917</v>
      </c>
      <c r="F359" t="n">
        <v>79.403785</v>
      </c>
      <c r="G359" t="n">
        <v>27.544327</v>
      </c>
      <c r="H359" t="n">
        <v>45.837748</v>
      </c>
      <c r="I359" t="n">
        <v>38.918317</v>
      </c>
      <c r="J359" t="n">
        <v>38.964516</v>
      </c>
      <c r="K359" t="n">
        <v>31.561258</v>
      </c>
      <c r="L359" t="n">
        <v>47.671907</v>
      </c>
      <c r="M359" t="n">
        <v>47.671907</v>
      </c>
      <c r="N359" t="n">
        <v>47.671907</v>
      </c>
      <c r="O359" t="n">
        <v>34.575524</v>
      </c>
      <c r="P359" t="n">
        <v>19.020842</v>
      </c>
      <c r="Q359" t="n">
        <v>47.671907</v>
      </c>
      <c r="R359" t="n">
        <v>47.671907</v>
      </c>
      <c r="S359" t="n">
        <v>34.575524</v>
      </c>
      <c r="T359" t="n">
        <v>34.575524</v>
      </c>
      <c r="U359" t="n">
        <v>19.020842</v>
      </c>
      <c r="V359" t="n">
        <v>19.020842</v>
      </c>
      <c r="W359" t="n">
        <v>34.954015</v>
      </c>
      <c r="X359" t="n">
        <v>47.765312</v>
      </c>
    </row>
    <row r="360">
      <c r="A360" t="inlineStr">
        <is>
          <t>Chelon auratus</t>
        </is>
      </c>
      <c r="B360" t="n">
        <v>2.8</v>
      </c>
      <c r="C360" t="n">
        <v>63.095734</v>
      </c>
      <c r="D360" t="inlineStr">
        <is>
          <t>Large Pelagics</t>
        </is>
      </c>
      <c r="E360" t="n">
        <v>327.790917</v>
      </c>
      <c r="F360" t="n">
        <v>409.325031</v>
      </c>
      <c r="G360" t="n">
        <v>95.473426</v>
      </c>
      <c r="H360" t="n">
        <v>171.971164</v>
      </c>
      <c r="I360" t="n">
        <v>151.710468</v>
      </c>
      <c r="J360" t="n">
        <v>166.941311</v>
      </c>
      <c r="K360" t="n">
        <v>150.24718</v>
      </c>
      <c r="L360" t="n">
        <v>208.675232</v>
      </c>
      <c r="M360" t="n">
        <v>208.675232</v>
      </c>
      <c r="N360" t="n">
        <v>208.675232</v>
      </c>
      <c r="O360" t="n">
        <v>139.225251</v>
      </c>
      <c r="P360" t="n">
        <v>55.587338</v>
      </c>
      <c r="Q360" t="n">
        <v>208.675232</v>
      </c>
      <c r="R360" t="n">
        <v>208.675232</v>
      </c>
      <c r="S360" t="n">
        <v>139.225251</v>
      </c>
      <c r="T360" t="n">
        <v>139.225251</v>
      </c>
      <c r="U360" t="n">
        <v>55.587338</v>
      </c>
      <c r="V360" t="n">
        <v>55.587338</v>
      </c>
      <c r="W360" t="n">
        <v>138.889014</v>
      </c>
      <c r="X360" t="n">
        <v>209.882396</v>
      </c>
    </row>
    <row r="361">
      <c r="A361" t="inlineStr">
        <is>
          <t>Trachichthyidae</t>
        </is>
      </c>
      <c r="B361" t="n">
        <v>3.72</v>
      </c>
      <c r="C361" t="n">
        <v>524.80746</v>
      </c>
      <c r="D361" t="inlineStr">
        <is>
          <t>Unresolved</t>
        </is>
      </c>
    </row>
    <row r="362">
      <c r="A362" t="inlineStr">
        <is>
          <t>Paracentrotus lividus</t>
        </is>
      </c>
      <c r="D362" t="inlineStr">
        <is>
          <t>Epifauna</t>
        </is>
      </c>
      <c r="E362" t="n">
        <v>327.790917</v>
      </c>
      <c r="F362" t="n">
        <v>28.994229</v>
      </c>
      <c r="G362" t="n">
        <v>12.834993</v>
      </c>
      <c r="H362" t="n">
        <v>17.954978</v>
      </c>
      <c r="I362" t="n">
        <v>11.374014</v>
      </c>
      <c r="J362" t="n">
        <v>11.374014</v>
      </c>
      <c r="K362" t="n">
        <v>10.009132</v>
      </c>
      <c r="L362" t="n">
        <v>10.950321</v>
      </c>
      <c r="M362" t="n">
        <v>10.950321</v>
      </c>
      <c r="N362" t="n">
        <v>10.950321</v>
      </c>
      <c r="O362" t="n">
        <v>10.041084</v>
      </c>
      <c r="P362" t="n">
        <v>6.846302</v>
      </c>
      <c r="Q362" t="n">
        <v>10.950321</v>
      </c>
      <c r="R362" t="n">
        <v>10.950321</v>
      </c>
      <c r="S362" t="n">
        <v>10.041084</v>
      </c>
      <c r="T362" t="n">
        <v>10.041084</v>
      </c>
      <c r="U362" t="n">
        <v>6.846302</v>
      </c>
      <c r="V362" t="n">
        <v>6.846302</v>
      </c>
      <c r="W362" t="n">
        <v>9.947857000000001</v>
      </c>
      <c r="X362" t="n">
        <v>10.794705</v>
      </c>
    </row>
    <row r="363">
      <c r="A363" t="inlineStr">
        <is>
          <t>Istiophorus albicans</t>
        </is>
      </c>
      <c r="D363" t="inlineStr">
        <is>
          <t>Unresolved</t>
        </is>
      </c>
    </row>
    <row r="364">
      <c r="A364" t="inlineStr">
        <is>
          <t>Dicentrarchus punctatus</t>
        </is>
      </c>
      <c r="B364" t="n">
        <v>3.94</v>
      </c>
      <c r="C364" t="n">
        <v>870.96359</v>
      </c>
      <c r="D364" t="inlineStr">
        <is>
          <t>Large Pelagics</t>
        </is>
      </c>
      <c r="E364" t="n">
        <v>327.790917</v>
      </c>
      <c r="F364" t="n">
        <v>409.325031</v>
      </c>
      <c r="G364" t="n">
        <v>95.473426</v>
      </c>
      <c r="H364" t="n">
        <v>171.971164</v>
      </c>
      <c r="I364" t="n">
        <v>151.710468</v>
      </c>
      <c r="J364" t="n">
        <v>166.941311</v>
      </c>
      <c r="K364" t="n">
        <v>150.24718</v>
      </c>
      <c r="L364" t="n">
        <v>208.675232</v>
      </c>
      <c r="M364" t="n">
        <v>208.675232</v>
      </c>
      <c r="N364" t="n">
        <v>208.675232</v>
      </c>
      <c r="O364" t="n">
        <v>139.225251</v>
      </c>
      <c r="P364" t="n">
        <v>55.587338</v>
      </c>
      <c r="Q364" t="n">
        <v>208.675232</v>
      </c>
      <c r="R364" t="n">
        <v>208.675232</v>
      </c>
      <c r="S364" t="n">
        <v>139.225251</v>
      </c>
      <c r="T364" t="n">
        <v>139.225251</v>
      </c>
      <c r="U364" t="n">
        <v>55.587338</v>
      </c>
      <c r="V364" t="n">
        <v>55.587338</v>
      </c>
      <c r="W364" t="n">
        <v>138.889014</v>
      </c>
      <c r="X364" t="n">
        <v>209.882396</v>
      </c>
    </row>
    <row r="365">
      <c r="A365" t="inlineStr">
        <is>
          <t>Bramidae</t>
        </is>
      </c>
      <c r="B365" t="n">
        <v>4.14</v>
      </c>
      <c r="C365" t="n">
        <v>1380.384265</v>
      </c>
      <c r="D365" t="inlineStr">
        <is>
          <t>Unresolved</t>
        </is>
      </c>
    </row>
    <row r="366">
      <c r="A366" t="inlineStr">
        <is>
          <t>Spisula ovalis</t>
        </is>
      </c>
      <c r="B366" t="n">
        <v>2</v>
      </c>
      <c r="C366" t="n">
        <v>10</v>
      </c>
      <c r="D366" t="inlineStr">
        <is>
          <t>Infauna</t>
        </is>
      </c>
      <c r="E366" t="n">
        <v>327.790917</v>
      </c>
      <c r="F366" t="n">
        <v>10</v>
      </c>
      <c r="G366" t="n">
        <v>5.727631</v>
      </c>
      <c r="H366" t="n">
        <v>5.721903</v>
      </c>
      <c r="I366" t="n">
        <v>4.44</v>
      </c>
      <c r="J366" t="n">
        <v>4.44</v>
      </c>
      <c r="K366" t="n">
        <v>3.996</v>
      </c>
      <c r="L366" t="n">
        <v>3.864936</v>
      </c>
      <c r="M366" t="n">
        <v>3.864936</v>
      </c>
      <c r="N366" t="n">
        <v>3.864936</v>
      </c>
      <c r="O366" t="n">
        <v>4.247203</v>
      </c>
      <c r="P366" t="n">
        <v>3.679841</v>
      </c>
      <c r="Q366" t="n">
        <v>3.864936</v>
      </c>
      <c r="R366" t="n">
        <v>3.864936</v>
      </c>
      <c r="S366" t="n">
        <v>4.247203</v>
      </c>
      <c r="T366" t="n">
        <v>4.247203</v>
      </c>
      <c r="U366" t="n">
        <v>3.679841</v>
      </c>
      <c r="V366" t="n">
        <v>3.679841</v>
      </c>
      <c r="W366" t="n">
        <v>4.187569</v>
      </c>
      <c r="X366" t="n">
        <v>3.928919</v>
      </c>
    </row>
    <row r="367">
      <c r="A367" t="inlineStr">
        <is>
          <t>Chlamys islandica</t>
        </is>
      </c>
      <c r="D367" t="inlineStr">
        <is>
          <t>Epifauna</t>
        </is>
      </c>
      <c r="E367" t="n">
        <v>327.790917</v>
      </c>
      <c r="F367" t="n">
        <v>28.994229</v>
      </c>
      <c r="G367" t="n">
        <v>12.834993</v>
      </c>
      <c r="H367" t="n">
        <v>17.954978</v>
      </c>
      <c r="I367" t="n">
        <v>11.374014</v>
      </c>
      <c r="J367" t="n">
        <v>11.374014</v>
      </c>
      <c r="K367" t="n">
        <v>10.009132</v>
      </c>
      <c r="L367" t="n">
        <v>10.950321</v>
      </c>
      <c r="M367" t="n">
        <v>10.950321</v>
      </c>
      <c r="N367" t="n">
        <v>10.950321</v>
      </c>
      <c r="O367" t="n">
        <v>10.041084</v>
      </c>
      <c r="P367" t="n">
        <v>6.846302</v>
      </c>
      <c r="Q367" t="n">
        <v>10.950321</v>
      </c>
      <c r="R367" t="n">
        <v>10.950321</v>
      </c>
      <c r="S367" t="n">
        <v>10.041084</v>
      </c>
      <c r="T367" t="n">
        <v>10.041084</v>
      </c>
      <c r="U367" t="n">
        <v>6.846302</v>
      </c>
      <c r="V367" t="n">
        <v>6.846302</v>
      </c>
      <c r="W367" t="n">
        <v>9.947857000000001</v>
      </c>
      <c r="X367" t="n">
        <v>10.794705</v>
      </c>
    </row>
    <row r="368">
      <c r="A368" t="inlineStr">
        <is>
          <t>Ammodytes tobianus</t>
        </is>
      </c>
      <c r="B368" t="n">
        <v>3.08</v>
      </c>
      <c r="C368" t="n">
        <v>120.226443</v>
      </c>
      <c r="D368" t="inlineStr">
        <is>
          <t>Small pelagics</t>
        </is>
      </c>
      <c r="E368" t="n">
        <v>327.790917</v>
      </c>
      <c r="F368" t="n">
        <v>148.024912</v>
      </c>
      <c r="G368" t="n">
        <v>44.163101</v>
      </c>
      <c r="H368" t="n">
        <v>58.893278</v>
      </c>
      <c r="I368" t="n">
        <v>29.57747</v>
      </c>
      <c r="J368" t="n">
        <v>29.708263</v>
      </c>
      <c r="K368" t="n">
        <v>26.143271</v>
      </c>
      <c r="L368" t="n">
        <v>37.444032</v>
      </c>
      <c r="M368" t="n">
        <v>37.444032</v>
      </c>
      <c r="N368" t="n">
        <v>37.444032</v>
      </c>
      <c r="O368" t="n">
        <v>26.825837</v>
      </c>
      <c r="P368" t="n">
        <v>12.629082</v>
      </c>
      <c r="Q368" t="n">
        <v>37.444032</v>
      </c>
      <c r="R368" t="n">
        <v>37.444032</v>
      </c>
      <c r="S368" t="n">
        <v>26.825837</v>
      </c>
      <c r="T368" t="n">
        <v>26.825837</v>
      </c>
      <c r="U368" t="n">
        <v>12.629082</v>
      </c>
      <c r="V368" t="n">
        <v>12.629082</v>
      </c>
      <c r="W368" t="n">
        <v>26.643813</v>
      </c>
      <c r="X368" t="n">
        <v>39.607714</v>
      </c>
    </row>
    <row r="369">
      <c r="A369" t="inlineStr">
        <is>
          <t>Centroscyllium fabricii</t>
        </is>
      </c>
      <c r="D369" t="inlineStr">
        <is>
          <t>Sharks &amp; rays</t>
        </is>
      </c>
      <c r="E369" t="n">
        <v>327.790917</v>
      </c>
      <c r="F369" t="n">
        <v>522.28227</v>
      </c>
      <c r="G369" t="n">
        <v>114.842938</v>
      </c>
      <c r="H369" t="n">
        <v>326.928715</v>
      </c>
      <c r="I369" t="n">
        <v>732.255138</v>
      </c>
      <c r="J369" t="n">
        <v>761.48662</v>
      </c>
      <c r="K369" t="n">
        <v>327.439247</v>
      </c>
      <c r="L369" t="n">
        <v>1275.246638</v>
      </c>
      <c r="M369" t="n">
        <v>1275.246638</v>
      </c>
      <c r="N369" t="n">
        <v>1275.246638</v>
      </c>
      <c r="O369" t="n">
        <v>317.659957</v>
      </c>
      <c r="P369" t="n">
        <v>115.247551</v>
      </c>
      <c r="Q369" t="n">
        <v>1275.246638</v>
      </c>
      <c r="R369" t="n">
        <v>1275.246638</v>
      </c>
      <c r="S369" t="n">
        <v>317.659957</v>
      </c>
      <c r="T369" t="n">
        <v>317.659957</v>
      </c>
      <c r="U369" t="n">
        <v>115.247551</v>
      </c>
      <c r="V369" t="n">
        <v>115.247551</v>
      </c>
      <c r="W369" t="n">
        <v>327.701462</v>
      </c>
      <c r="X369" t="n">
        <v>1310.378519</v>
      </c>
    </row>
    <row r="370">
      <c r="A370" t="inlineStr">
        <is>
          <t>Myliobatis aquila</t>
        </is>
      </c>
      <c r="D370" t="inlineStr">
        <is>
          <t>Sharks &amp; rays</t>
        </is>
      </c>
      <c r="E370" t="n">
        <v>327.790917</v>
      </c>
      <c r="F370" t="n">
        <v>522.28227</v>
      </c>
      <c r="G370" t="n">
        <v>114.842938</v>
      </c>
      <c r="H370" t="n">
        <v>326.928715</v>
      </c>
      <c r="I370" t="n">
        <v>732.255138</v>
      </c>
      <c r="J370" t="n">
        <v>761.48662</v>
      </c>
      <c r="K370" t="n">
        <v>327.439247</v>
      </c>
      <c r="L370" t="n">
        <v>1275.246638</v>
      </c>
      <c r="M370" t="n">
        <v>1275.246638</v>
      </c>
      <c r="N370" t="n">
        <v>1275.246638</v>
      </c>
      <c r="O370" t="n">
        <v>317.659957</v>
      </c>
      <c r="P370" t="n">
        <v>115.247551</v>
      </c>
      <c r="Q370" t="n">
        <v>1275.246638</v>
      </c>
      <c r="R370" t="n">
        <v>1275.246638</v>
      </c>
      <c r="S370" t="n">
        <v>317.659957</v>
      </c>
      <c r="T370" t="n">
        <v>317.659957</v>
      </c>
      <c r="U370" t="n">
        <v>115.247551</v>
      </c>
      <c r="V370" t="n">
        <v>115.247551</v>
      </c>
      <c r="W370" t="n">
        <v>327.701462</v>
      </c>
      <c r="X370" t="n">
        <v>1310.378519</v>
      </c>
    </row>
    <row r="371">
      <c r="A371" t="inlineStr">
        <is>
          <t>Galeus melastomus</t>
        </is>
      </c>
      <c r="B371" t="n">
        <v>4.17</v>
      </c>
      <c r="C371" t="n">
        <v>1479.108388</v>
      </c>
      <c r="D371" t="inlineStr">
        <is>
          <t>Sharks &amp; rays</t>
        </is>
      </c>
      <c r="E371" t="n">
        <v>327.790917</v>
      </c>
      <c r="F371" t="n">
        <v>522.28227</v>
      </c>
      <c r="G371" t="n">
        <v>114.842938</v>
      </c>
      <c r="H371" t="n">
        <v>326.928715</v>
      </c>
      <c r="I371" t="n">
        <v>732.255138</v>
      </c>
      <c r="J371" t="n">
        <v>761.48662</v>
      </c>
      <c r="K371" t="n">
        <v>327.439247</v>
      </c>
      <c r="L371" t="n">
        <v>1275.246638</v>
      </c>
      <c r="M371" t="n">
        <v>1275.246638</v>
      </c>
      <c r="N371" t="n">
        <v>1275.246638</v>
      </c>
      <c r="O371" t="n">
        <v>317.659957</v>
      </c>
      <c r="P371" t="n">
        <v>115.247551</v>
      </c>
      <c r="Q371" t="n">
        <v>1275.246638</v>
      </c>
      <c r="R371" t="n">
        <v>1275.246638</v>
      </c>
      <c r="S371" t="n">
        <v>317.659957</v>
      </c>
      <c r="T371" t="n">
        <v>317.659957</v>
      </c>
      <c r="U371" t="n">
        <v>115.247551</v>
      </c>
      <c r="V371" t="n">
        <v>115.247551</v>
      </c>
      <c r="W371" t="n">
        <v>327.701462</v>
      </c>
      <c r="X371" t="n">
        <v>1310.378519</v>
      </c>
    </row>
    <row r="372">
      <c r="A372" t="inlineStr">
        <is>
          <t>Pagellus</t>
        </is>
      </c>
      <c r="B372" t="n">
        <v>3.44</v>
      </c>
      <c r="C372" t="n">
        <v>275.42287</v>
      </c>
      <c r="D372" t="inlineStr">
        <is>
          <t>Large Dem. fish</t>
        </is>
      </c>
      <c r="E372" t="n">
        <v>327.790917</v>
      </c>
      <c r="F372" t="n">
        <v>665.972772</v>
      </c>
      <c r="G372" t="n">
        <v>138.073221</v>
      </c>
      <c r="H372" t="n">
        <v>328.210407</v>
      </c>
      <c r="I372" t="n">
        <v>321.185641</v>
      </c>
      <c r="J372" t="n">
        <v>337.306601</v>
      </c>
      <c r="K372" t="n">
        <v>317.068205</v>
      </c>
      <c r="L372" t="n">
        <v>461.958282</v>
      </c>
      <c r="M372" t="n">
        <v>461.958282</v>
      </c>
      <c r="N372" t="n">
        <v>461.958282</v>
      </c>
      <c r="O372" t="n">
        <v>304.533157</v>
      </c>
      <c r="P372" t="n">
        <v>108.42706</v>
      </c>
      <c r="Q372" t="n">
        <v>461.958282</v>
      </c>
      <c r="R372" t="n">
        <v>461.958282</v>
      </c>
      <c r="S372" t="n">
        <v>304.533157</v>
      </c>
      <c r="T372" t="n">
        <v>304.533157</v>
      </c>
      <c r="U372" t="n">
        <v>108.42706</v>
      </c>
      <c r="V372" t="n">
        <v>108.42706</v>
      </c>
      <c r="W372" t="n">
        <v>306.991308</v>
      </c>
      <c r="X372" t="n">
        <v>468.161038</v>
      </c>
    </row>
    <row r="373">
      <c r="A373" t="inlineStr">
        <is>
          <t>Hexanchus griseus</t>
        </is>
      </c>
      <c r="D373" t="inlineStr">
        <is>
          <t>Sharks &amp; rays</t>
        </is>
      </c>
      <c r="E373" t="n">
        <v>327.790917</v>
      </c>
      <c r="F373" t="n">
        <v>522.28227</v>
      </c>
      <c r="G373" t="n">
        <v>114.842938</v>
      </c>
      <c r="H373" t="n">
        <v>326.928715</v>
      </c>
      <c r="I373" t="n">
        <v>732.255138</v>
      </c>
      <c r="J373" t="n">
        <v>761.48662</v>
      </c>
      <c r="K373" t="n">
        <v>327.439247</v>
      </c>
      <c r="L373" t="n">
        <v>1275.246638</v>
      </c>
      <c r="M373" t="n">
        <v>1275.246638</v>
      </c>
      <c r="N373" t="n">
        <v>1275.246638</v>
      </c>
      <c r="O373" t="n">
        <v>317.659957</v>
      </c>
      <c r="P373" t="n">
        <v>115.247551</v>
      </c>
      <c r="Q373" t="n">
        <v>1275.246638</v>
      </c>
      <c r="R373" t="n">
        <v>1275.246638</v>
      </c>
      <c r="S373" t="n">
        <v>317.659957</v>
      </c>
      <c r="T373" t="n">
        <v>317.659957</v>
      </c>
      <c r="U373" t="n">
        <v>115.247551</v>
      </c>
      <c r="V373" t="n">
        <v>115.247551</v>
      </c>
      <c r="W373" t="n">
        <v>327.701462</v>
      </c>
      <c r="X373" t="n">
        <v>1310.378519</v>
      </c>
    </row>
    <row r="374">
      <c r="A374" t="inlineStr">
        <is>
          <t>Lamnidae</t>
        </is>
      </c>
      <c r="B374" t="n">
        <v>4.5</v>
      </c>
      <c r="C374" t="n">
        <v>3162.27766</v>
      </c>
      <c r="D374" t="inlineStr">
        <is>
          <t>Sharks &amp; rays</t>
        </is>
      </c>
      <c r="E374" t="n">
        <v>327.790917</v>
      </c>
      <c r="F374" t="n">
        <v>522.28227</v>
      </c>
      <c r="G374" t="n">
        <v>114.842938</v>
      </c>
      <c r="H374" t="n">
        <v>326.928715</v>
      </c>
      <c r="I374" t="n">
        <v>732.255138</v>
      </c>
      <c r="J374" t="n">
        <v>761.48662</v>
      </c>
      <c r="K374" t="n">
        <v>327.439247</v>
      </c>
      <c r="L374" t="n">
        <v>1275.246638</v>
      </c>
      <c r="M374" t="n">
        <v>1275.246638</v>
      </c>
      <c r="N374" t="n">
        <v>1275.246638</v>
      </c>
      <c r="O374" t="n">
        <v>317.659957</v>
      </c>
      <c r="P374" t="n">
        <v>115.247551</v>
      </c>
      <c r="Q374" t="n">
        <v>1275.246638</v>
      </c>
      <c r="R374" t="n">
        <v>1275.246638</v>
      </c>
      <c r="S374" t="n">
        <v>317.659957</v>
      </c>
      <c r="T374" t="n">
        <v>317.659957</v>
      </c>
      <c r="U374" t="n">
        <v>115.247551</v>
      </c>
      <c r="V374" t="n">
        <v>115.247551</v>
      </c>
      <c r="W374" t="n">
        <v>327.701462</v>
      </c>
      <c r="X374" t="n">
        <v>1310.378519</v>
      </c>
    </row>
    <row r="375">
      <c r="A375" t="inlineStr">
        <is>
          <t>Sepia</t>
        </is>
      </c>
      <c r="D375" t="inlineStr">
        <is>
          <t>Squid &amp; Octopus</t>
        </is>
      </c>
      <c r="E375" t="n">
        <v>327.790917</v>
      </c>
      <c r="F375" t="n">
        <v>160.967585</v>
      </c>
      <c r="G375" t="n">
        <v>47.060072</v>
      </c>
      <c r="H375" t="n">
        <v>88.258037</v>
      </c>
      <c r="I375" t="n">
        <v>77.00034599999999</v>
      </c>
      <c r="J375" t="n">
        <v>77.34926</v>
      </c>
      <c r="K375" t="n">
        <v>73.481797</v>
      </c>
      <c r="L375" t="n">
        <v>94.097724</v>
      </c>
      <c r="M375" t="n">
        <v>94.097724</v>
      </c>
      <c r="N375" t="n">
        <v>94.097724</v>
      </c>
      <c r="O375" t="n">
        <v>70.413555</v>
      </c>
      <c r="P375" t="n">
        <v>31.50612</v>
      </c>
      <c r="Q375" t="n">
        <v>94.097724</v>
      </c>
      <c r="R375" t="n">
        <v>94.097724</v>
      </c>
      <c r="S375" t="n">
        <v>70.413555</v>
      </c>
      <c r="T375" t="n">
        <v>70.413555</v>
      </c>
      <c r="U375" t="n">
        <v>31.50612</v>
      </c>
      <c r="V375" t="n">
        <v>31.50612</v>
      </c>
      <c r="W375" t="n">
        <v>71.270959</v>
      </c>
      <c r="X375" t="n">
        <v>97.60397</v>
      </c>
    </row>
    <row r="376">
      <c r="A376" t="inlineStr">
        <is>
          <t>Chlamys</t>
        </is>
      </c>
      <c r="B376" t="n">
        <v>2</v>
      </c>
      <c r="C376" t="n">
        <v>10</v>
      </c>
      <c r="D376" t="inlineStr">
        <is>
          <t>Epifauna</t>
        </is>
      </c>
      <c r="E376" t="n">
        <v>327.790917</v>
      </c>
      <c r="F376" t="n">
        <v>28.994229</v>
      </c>
      <c r="G376" t="n">
        <v>12.834993</v>
      </c>
      <c r="H376" t="n">
        <v>17.954978</v>
      </c>
      <c r="I376" t="n">
        <v>11.374014</v>
      </c>
      <c r="J376" t="n">
        <v>11.374014</v>
      </c>
      <c r="K376" t="n">
        <v>10.009132</v>
      </c>
      <c r="L376" t="n">
        <v>10.950321</v>
      </c>
      <c r="M376" t="n">
        <v>10.950321</v>
      </c>
      <c r="N376" t="n">
        <v>10.950321</v>
      </c>
      <c r="O376" t="n">
        <v>10.041084</v>
      </c>
      <c r="P376" t="n">
        <v>6.846302</v>
      </c>
      <c r="Q376" t="n">
        <v>10.950321</v>
      </c>
      <c r="R376" t="n">
        <v>10.950321</v>
      </c>
      <c r="S376" t="n">
        <v>10.041084</v>
      </c>
      <c r="T376" t="n">
        <v>10.041084</v>
      </c>
      <c r="U376" t="n">
        <v>6.846302</v>
      </c>
      <c r="V376" t="n">
        <v>6.846302</v>
      </c>
      <c r="W376" t="n">
        <v>9.947857000000001</v>
      </c>
      <c r="X376" t="n">
        <v>10.794705</v>
      </c>
    </row>
    <row r="377">
      <c r="A377" t="inlineStr">
        <is>
          <t>Torpedo marmorata</t>
        </is>
      </c>
      <c r="B377" t="n">
        <v>4.5</v>
      </c>
      <c r="C377" t="n">
        <v>3162.27766</v>
      </c>
      <c r="D377" t="inlineStr">
        <is>
          <t>Sharks &amp; rays</t>
        </is>
      </c>
      <c r="E377" t="n">
        <v>327.790917</v>
      </c>
      <c r="F377" t="n">
        <v>522.28227</v>
      </c>
      <c r="G377" t="n">
        <v>114.842938</v>
      </c>
      <c r="H377" t="n">
        <v>326.928715</v>
      </c>
      <c r="I377" t="n">
        <v>732.255138</v>
      </c>
      <c r="J377" t="n">
        <v>761.48662</v>
      </c>
      <c r="K377" t="n">
        <v>327.439247</v>
      </c>
      <c r="L377" t="n">
        <v>1275.246638</v>
      </c>
      <c r="M377" t="n">
        <v>1275.246638</v>
      </c>
      <c r="N377" t="n">
        <v>1275.246638</v>
      </c>
      <c r="O377" t="n">
        <v>317.659957</v>
      </c>
      <c r="P377" t="n">
        <v>115.247551</v>
      </c>
      <c r="Q377" t="n">
        <v>1275.246638</v>
      </c>
      <c r="R377" t="n">
        <v>1275.246638</v>
      </c>
      <c r="S377" t="n">
        <v>317.659957</v>
      </c>
      <c r="T377" t="n">
        <v>317.659957</v>
      </c>
      <c r="U377" t="n">
        <v>115.247551</v>
      </c>
      <c r="V377" t="n">
        <v>115.247551</v>
      </c>
      <c r="W377" t="n">
        <v>327.701462</v>
      </c>
      <c r="X377" t="n">
        <v>1310.378519</v>
      </c>
    </row>
    <row r="378">
      <c r="A378" t="inlineStr">
        <is>
          <t>Haliotis tuberculata</t>
        </is>
      </c>
      <c r="D378" t="inlineStr">
        <is>
          <t>Epifauna</t>
        </is>
      </c>
      <c r="E378" t="n">
        <v>327.790917</v>
      </c>
      <c r="F378" t="n">
        <v>28.994229</v>
      </c>
      <c r="G378" t="n">
        <v>12.834993</v>
      </c>
      <c r="H378" t="n">
        <v>17.954978</v>
      </c>
      <c r="I378" t="n">
        <v>11.374014</v>
      </c>
      <c r="J378" t="n">
        <v>11.374014</v>
      </c>
      <c r="K378" t="n">
        <v>10.009132</v>
      </c>
      <c r="L378" t="n">
        <v>10.950321</v>
      </c>
      <c r="M378" t="n">
        <v>10.950321</v>
      </c>
      <c r="N378" t="n">
        <v>10.950321</v>
      </c>
      <c r="O378" t="n">
        <v>10.041084</v>
      </c>
      <c r="P378" t="n">
        <v>6.846302</v>
      </c>
      <c r="Q378" t="n">
        <v>10.950321</v>
      </c>
      <c r="R378" t="n">
        <v>10.950321</v>
      </c>
      <c r="S378" t="n">
        <v>10.041084</v>
      </c>
      <c r="T378" t="n">
        <v>10.041084</v>
      </c>
      <c r="U378" t="n">
        <v>6.846302</v>
      </c>
      <c r="V378" t="n">
        <v>6.846302</v>
      </c>
      <c r="W378" t="n">
        <v>9.947857000000001</v>
      </c>
      <c r="X378" t="n">
        <v>10.794705</v>
      </c>
    </row>
    <row r="379">
      <c r="A379" t="inlineStr">
        <is>
          <t>Ostreidae</t>
        </is>
      </c>
      <c r="B379" t="n">
        <v>2</v>
      </c>
      <c r="C379" t="n">
        <v>10</v>
      </c>
      <c r="D379" t="inlineStr">
        <is>
          <t>Epifauna</t>
        </is>
      </c>
      <c r="E379" t="n">
        <v>327.790917</v>
      </c>
      <c r="F379" t="n">
        <v>28.994229</v>
      </c>
      <c r="G379" t="n">
        <v>12.834993</v>
      </c>
      <c r="H379" t="n">
        <v>17.954978</v>
      </c>
      <c r="I379" t="n">
        <v>11.374014</v>
      </c>
      <c r="J379" t="n">
        <v>11.374014</v>
      </c>
      <c r="K379" t="n">
        <v>10.009132</v>
      </c>
      <c r="L379" t="n">
        <v>10.950321</v>
      </c>
      <c r="M379" t="n">
        <v>10.950321</v>
      </c>
      <c r="N379" t="n">
        <v>10.950321</v>
      </c>
      <c r="O379" t="n">
        <v>10.041084</v>
      </c>
      <c r="P379" t="n">
        <v>6.846302</v>
      </c>
      <c r="Q379" t="n">
        <v>10.950321</v>
      </c>
      <c r="R379" t="n">
        <v>10.950321</v>
      </c>
      <c r="S379" t="n">
        <v>10.041084</v>
      </c>
      <c r="T379" t="n">
        <v>10.041084</v>
      </c>
      <c r="U379" t="n">
        <v>6.846302</v>
      </c>
      <c r="V379" t="n">
        <v>6.846302</v>
      </c>
      <c r="W379" t="n">
        <v>9.947857000000001</v>
      </c>
      <c r="X379" t="n">
        <v>10.794705</v>
      </c>
    </row>
    <row r="380">
      <c r="A380" t="inlineStr">
        <is>
          <t>Murex</t>
        </is>
      </c>
      <c r="B380" t="n">
        <v>2</v>
      </c>
      <c r="C380" t="n">
        <v>10</v>
      </c>
      <c r="D380" t="inlineStr">
        <is>
          <t>Epifauna</t>
        </is>
      </c>
      <c r="E380" t="n">
        <v>327.790917</v>
      </c>
      <c r="F380" t="n">
        <v>28.994229</v>
      </c>
      <c r="G380" t="n">
        <v>12.834993</v>
      </c>
      <c r="H380" t="n">
        <v>17.954978</v>
      </c>
      <c r="I380" t="n">
        <v>11.374014</v>
      </c>
      <c r="J380" t="n">
        <v>11.374014</v>
      </c>
      <c r="K380" t="n">
        <v>10.009132</v>
      </c>
      <c r="L380" t="n">
        <v>10.950321</v>
      </c>
      <c r="M380" t="n">
        <v>10.950321</v>
      </c>
      <c r="N380" t="n">
        <v>10.950321</v>
      </c>
      <c r="O380" t="n">
        <v>10.041084</v>
      </c>
      <c r="P380" t="n">
        <v>6.846302</v>
      </c>
      <c r="Q380" t="n">
        <v>10.950321</v>
      </c>
      <c r="R380" t="n">
        <v>10.950321</v>
      </c>
      <c r="S380" t="n">
        <v>10.041084</v>
      </c>
      <c r="T380" t="n">
        <v>10.041084</v>
      </c>
      <c r="U380" t="n">
        <v>6.846302</v>
      </c>
      <c r="V380" t="n">
        <v>6.846302</v>
      </c>
      <c r="W380" t="n">
        <v>9.947857000000001</v>
      </c>
      <c r="X380" t="n">
        <v>10.794705</v>
      </c>
    </row>
    <row r="381">
      <c r="A381" t="inlineStr">
        <is>
          <t>Modiolus</t>
        </is>
      </c>
      <c r="D381" t="inlineStr">
        <is>
          <t>Epifauna</t>
        </is>
      </c>
      <c r="E381" t="n">
        <v>327.790917</v>
      </c>
      <c r="F381" t="n">
        <v>28.994229</v>
      </c>
      <c r="G381" t="n">
        <v>12.834993</v>
      </c>
      <c r="H381" t="n">
        <v>17.954978</v>
      </c>
      <c r="I381" t="n">
        <v>11.374014</v>
      </c>
      <c r="J381" t="n">
        <v>11.374014</v>
      </c>
      <c r="K381" t="n">
        <v>10.009132</v>
      </c>
      <c r="L381" t="n">
        <v>10.950321</v>
      </c>
      <c r="M381" t="n">
        <v>10.950321</v>
      </c>
      <c r="N381" t="n">
        <v>10.950321</v>
      </c>
      <c r="O381" t="n">
        <v>10.041084</v>
      </c>
      <c r="P381" t="n">
        <v>6.846302</v>
      </c>
      <c r="Q381" t="n">
        <v>10.950321</v>
      </c>
      <c r="R381" t="n">
        <v>10.950321</v>
      </c>
      <c r="S381" t="n">
        <v>10.041084</v>
      </c>
      <c r="T381" t="n">
        <v>10.041084</v>
      </c>
      <c r="U381" t="n">
        <v>6.846302</v>
      </c>
      <c r="V381" t="n">
        <v>6.846302</v>
      </c>
      <c r="W381" t="n">
        <v>9.947857000000001</v>
      </c>
      <c r="X381" t="n">
        <v>10.794705</v>
      </c>
    </row>
    <row r="382">
      <c r="A382" t="inlineStr">
        <is>
          <t>Solen vagina</t>
        </is>
      </c>
      <c r="B382" t="n">
        <v>2</v>
      </c>
      <c r="C382" t="n">
        <v>10</v>
      </c>
      <c r="D382" t="inlineStr">
        <is>
          <t>Infauna</t>
        </is>
      </c>
      <c r="E382" t="n">
        <v>327.790917</v>
      </c>
      <c r="F382" t="n">
        <v>10</v>
      </c>
      <c r="G382" t="n">
        <v>5.727631</v>
      </c>
      <c r="H382" t="n">
        <v>5.721903</v>
      </c>
      <c r="I382" t="n">
        <v>4.44</v>
      </c>
      <c r="J382" t="n">
        <v>4.44</v>
      </c>
      <c r="K382" t="n">
        <v>3.996</v>
      </c>
      <c r="L382" t="n">
        <v>3.864936</v>
      </c>
      <c r="M382" t="n">
        <v>3.864936</v>
      </c>
      <c r="N382" t="n">
        <v>3.864936</v>
      </c>
      <c r="O382" t="n">
        <v>4.247203</v>
      </c>
      <c r="P382" t="n">
        <v>3.679841</v>
      </c>
      <c r="Q382" t="n">
        <v>3.864936</v>
      </c>
      <c r="R382" t="n">
        <v>3.864936</v>
      </c>
      <c r="S382" t="n">
        <v>4.247203</v>
      </c>
      <c r="T382" t="n">
        <v>4.247203</v>
      </c>
      <c r="U382" t="n">
        <v>3.679841</v>
      </c>
      <c r="V382" t="n">
        <v>3.679841</v>
      </c>
      <c r="W382" t="n">
        <v>4.187569</v>
      </c>
      <c r="X382" t="n">
        <v>3.928919</v>
      </c>
    </row>
    <row r="383">
      <c r="A383" t="inlineStr">
        <is>
          <t>Trichiurus</t>
        </is>
      </c>
      <c r="B383" t="n">
        <v>4.42</v>
      </c>
      <c r="C383" t="n">
        <v>2630.267992</v>
      </c>
      <c r="D383" t="inlineStr">
        <is>
          <t>Unresolved</t>
        </is>
      </c>
    </row>
    <row r="384">
      <c r="A384" t="inlineStr">
        <is>
          <t>Petromyzontidae</t>
        </is>
      </c>
      <c r="D384" t="inlineStr">
        <is>
          <t>Unresolved</t>
        </is>
      </c>
    </row>
    <row r="385">
      <c r="A385" t="inlineStr">
        <is>
          <t>Chelon saliens</t>
        </is>
      </c>
      <c r="D385" t="inlineStr">
        <is>
          <t>Large Dem. fish</t>
        </is>
      </c>
      <c r="E385" t="n">
        <v>327.790917</v>
      </c>
      <c r="F385" t="n">
        <v>665.972772</v>
      </c>
      <c r="G385" t="n">
        <v>138.073221</v>
      </c>
      <c r="H385" t="n">
        <v>328.210407</v>
      </c>
      <c r="I385" t="n">
        <v>321.185641</v>
      </c>
      <c r="J385" t="n">
        <v>337.306601</v>
      </c>
      <c r="K385" t="n">
        <v>317.068205</v>
      </c>
      <c r="L385" t="n">
        <v>461.958282</v>
      </c>
      <c r="M385" t="n">
        <v>461.958282</v>
      </c>
      <c r="N385" t="n">
        <v>461.958282</v>
      </c>
      <c r="O385" t="n">
        <v>304.533157</v>
      </c>
      <c r="P385" t="n">
        <v>108.42706</v>
      </c>
      <c r="Q385" t="n">
        <v>461.958282</v>
      </c>
      <c r="R385" t="n">
        <v>461.958282</v>
      </c>
      <c r="S385" t="n">
        <v>304.533157</v>
      </c>
      <c r="T385" t="n">
        <v>304.533157</v>
      </c>
      <c r="U385" t="n">
        <v>108.42706</v>
      </c>
      <c r="V385" t="n">
        <v>108.42706</v>
      </c>
      <c r="W385" t="n">
        <v>306.991308</v>
      </c>
      <c r="X385" t="n">
        <v>468.161038</v>
      </c>
    </row>
    <row r="386">
      <c r="A386" t="inlineStr">
        <is>
          <t>Dasyatidae</t>
        </is>
      </c>
      <c r="D386" t="inlineStr">
        <is>
          <t>Sharks &amp; rays</t>
        </is>
      </c>
      <c r="E386" t="n">
        <v>327.790917</v>
      </c>
      <c r="F386" t="n">
        <v>522.28227</v>
      </c>
      <c r="G386" t="n">
        <v>114.842938</v>
      </c>
      <c r="H386" t="n">
        <v>326.928715</v>
      </c>
      <c r="I386" t="n">
        <v>732.255138</v>
      </c>
      <c r="J386" t="n">
        <v>761.48662</v>
      </c>
      <c r="K386" t="n">
        <v>327.439247</v>
      </c>
      <c r="L386" t="n">
        <v>1275.246638</v>
      </c>
      <c r="M386" t="n">
        <v>1275.246638</v>
      </c>
      <c r="N386" t="n">
        <v>1275.246638</v>
      </c>
      <c r="O386" t="n">
        <v>317.659957</v>
      </c>
      <c r="P386" t="n">
        <v>115.247551</v>
      </c>
      <c r="Q386" t="n">
        <v>1275.246638</v>
      </c>
      <c r="R386" t="n">
        <v>1275.246638</v>
      </c>
      <c r="S386" t="n">
        <v>317.659957</v>
      </c>
      <c r="T386" t="n">
        <v>317.659957</v>
      </c>
      <c r="U386" t="n">
        <v>115.247551</v>
      </c>
      <c r="V386" t="n">
        <v>115.247551</v>
      </c>
      <c r="W386" t="n">
        <v>327.701462</v>
      </c>
      <c r="X386" t="n">
        <v>1310.378519</v>
      </c>
    </row>
    <row r="387">
      <c r="A387" t="inlineStr">
        <is>
          <t>Patella</t>
        </is>
      </c>
      <c r="D387" t="inlineStr">
        <is>
          <t>Epifauna</t>
        </is>
      </c>
      <c r="E387" t="n">
        <v>327.790917</v>
      </c>
      <c r="F387" t="n">
        <v>28.994229</v>
      </c>
      <c r="G387" t="n">
        <v>12.834993</v>
      </c>
      <c r="H387" t="n">
        <v>17.954978</v>
      </c>
      <c r="I387" t="n">
        <v>11.374014</v>
      </c>
      <c r="J387" t="n">
        <v>11.374014</v>
      </c>
      <c r="K387" t="n">
        <v>10.009132</v>
      </c>
      <c r="L387" t="n">
        <v>10.950321</v>
      </c>
      <c r="M387" t="n">
        <v>10.950321</v>
      </c>
      <c r="N387" t="n">
        <v>10.950321</v>
      </c>
      <c r="O387" t="n">
        <v>10.041084</v>
      </c>
      <c r="P387" t="n">
        <v>6.846302</v>
      </c>
      <c r="Q387" t="n">
        <v>10.950321</v>
      </c>
      <c r="R387" t="n">
        <v>10.950321</v>
      </c>
      <c r="S387" t="n">
        <v>10.041084</v>
      </c>
      <c r="T387" t="n">
        <v>10.041084</v>
      </c>
      <c r="U387" t="n">
        <v>6.846302</v>
      </c>
      <c r="V387" t="n">
        <v>6.846302</v>
      </c>
      <c r="W387" t="n">
        <v>9.947857000000001</v>
      </c>
      <c r="X387" t="n">
        <v>10.794705</v>
      </c>
    </row>
    <row r="388">
      <c r="A388" t="inlineStr">
        <is>
          <t>Merluccius</t>
        </is>
      </c>
      <c r="B388" t="n">
        <v>4.27</v>
      </c>
      <c r="C388" t="n">
        <v>1862.087137</v>
      </c>
      <c r="D388" t="inlineStr">
        <is>
          <t>Hake</t>
        </is>
      </c>
      <c r="E388" t="n">
        <v>327.790917</v>
      </c>
      <c r="F388" t="n">
        <v>3460.403727</v>
      </c>
      <c r="G388" t="n">
        <v>481.470476</v>
      </c>
      <c r="H388" t="n">
        <v>916.217923</v>
      </c>
      <c r="I388" t="n">
        <v>505.277782</v>
      </c>
      <c r="J388" t="n">
        <v>553.81095</v>
      </c>
      <c r="K388" t="n">
        <v>509.506074</v>
      </c>
      <c r="L388" t="n">
        <v>696.576775</v>
      </c>
      <c r="M388" t="n">
        <v>696.576775</v>
      </c>
      <c r="N388" t="n">
        <v>696.576775</v>
      </c>
      <c r="O388" t="n">
        <v>427.075473</v>
      </c>
      <c r="P388" t="n">
        <v>136.464814</v>
      </c>
      <c r="Q388" t="n">
        <v>696.576775</v>
      </c>
      <c r="R388" t="n">
        <v>696.576775</v>
      </c>
      <c r="S388" t="n">
        <v>427.075473</v>
      </c>
      <c r="T388" t="n">
        <v>427.075473</v>
      </c>
      <c r="U388" t="n">
        <v>136.464814</v>
      </c>
      <c r="V388" t="n">
        <v>136.464814</v>
      </c>
      <c r="W388" t="n">
        <v>429.835101</v>
      </c>
      <c r="X388" t="n">
        <v>722.871201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T3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6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1" t="inlineStr">
        <is>
          <t>Total PPR by method and year — every taxon summed, tonnes wet weight equivalent of primary production.</t>
        </is>
      </c>
    </row>
    <row r="2">
      <c r="A2" t="inlineStr">
        <is>
          <t>All basal sources, including imports. The simple chain rows are unpartitioned references; model rows use this scope.</t>
        </is>
      </c>
    </row>
    <row r="3">
      <c r="A3" t="inlineStr">
        <is>
          <t>Methods are not alternatives to be averaged. They rest on different assumptions and the spread between them is the result.</t>
        </is>
      </c>
    </row>
    <row r="4">
      <c r="A4" t="inlineStr">
        <is>
          <t>The two grey rows aggregate the catch to a group before exponentiating, which understates the total: SPPR is convex in trophic level, so they measure the Jensen effect rather than the PPR.</t>
        </is>
      </c>
    </row>
    <row r="5">
      <c r="A5" s="4" t="inlineStr">
        <is>
          <t>method</t>
        </is>
      </c>
      <c r="B5" s="4" t="inlineStr">
        <is>
          <t>status</t>
        </is>
      </c>
      <c r="C5" s="4" t="n">
        <v>1950</v>
      </c>
      <c r="D5" s="4" t="n">
        <v>1951</v>
      </c>
      <c r="E5" s="4" t="n">
        <v>1952</v>
      </c>
      <c r="F5" s="4" t="n">
        <v>1953</v>
      </c>
      <c r="G5" s="4" t="n">
        <v>1954</v>
      </c>
      <c r="H5" s="4" t="n">
        <v>1955</v>
      </c>
      <c r="I5" s="4" t="n">
        <v>1956</v>
      </c>
      <c r="J5" s="4" t="n">
        <v>1957</v>
      </c>
      <c r="K5" s="4" t="n">
        <v>1958</v>
      </c>
      <c r="L5" s="4" t="n">
        <v>1959</v>
      </c>
      <c r="M5" s="4" t="n">
        <v>1960</v>
      </c>
      <c r="N5" s="4" t="n">
        <v>1961</v>
      </c>
      <c r="O5" s="4" t="n">
        <v>1962</v>
      </c>
      <c r="P5" s="4" t="n">
        <v>1963</v>
      </c>
      <c r="Q5" s="4" t="n">
        <v>1964</v>
      </c>
      <c r="R5" s="4" t="n">
        <v>1965</v>
      </c>
      <c r="S5" s="4" t="n">
        <v>1966</v>
      </c>
      <c r="T5" s="4" t="n">
        <v>1967</v>
      </c>
      <c r="U5" s="4" t="n">
        <v>1968</v>
      </c>
      <c r="V5" s="4" t="n">
        <v>1969</v>
      </c>
      <c r="W5" s="4" t="n">
        <v>1970</v>
      </c>
      <c r="X5" s="4" t="n">
        <v>1971</v>
      </c>
      <c r="Y5" s="4" t="n">
        <v>1972</v>
      </c>
      <c r="Z5" s="4" t="n">
        <v>1973</v>
      </c>
      <c r="AA5" s="4" t="n">
        <v>1974</v>
      </c>
      <c r="AB5" s="4" t="n">
        <v>1975</v>
      </c>
      <c r="AC5" s="4" t="n">
        <v>1976</v>
      </c>
      <c r="AD5" s="4" t="n">
        <v>1977</v>
      </c>
      <c r="AE5" s="4" t="n">
        <v>1978</v>
      </c>
      <c r="AF5" s="4" t="n">
        <v>1979</v>
      </c>
      <c r="AG5" s="4" t="n">
        <v>1980</v>
      </c>
      <c r="AH5" s="4" t="n">
        <v>1981</v>
      </c>
      <c r="AI5" s="4" t="n">
        <v>1982</v>
      </c>
      <c r="AJ5" s="4" t="n">
        <v>1983</v>
      </c>
      <c r="AK5" s="4" t="n">
        <v>1984</v>
      </c>
      <c r="AL5" s="4" t="n">
        <v>1985</v>
      </c>
      <c r="AM5" s="4" t="n">
        <v>1986</v>
      </c>
      <c r="AN5" s="4" t="n">
        <v>1987</v>
      </c>
      <c r="AO5" s="4" t="n">
        <v>1988</v>
      </c>
      <c r="AP5" s="4" t="n">
        <v>1989</v>
      </c>
      <c r="AQ5" s="4" t="n">
        <v>1990</v>
      </c>
      <c r="AR5" s="4" t="n">
        <v>1991</v>
      </c>
      <c r="AS5" s="4" t="n">
        <v>1992</v>
      </c>
      <c r="AT5" s="4" t="n">
        <v>1993</v>
      </c>
      <c r="AU5" s="4" t="n">
        <v>1994</v>
      </c>
      <c r="AV5" s="4" t="n">
        <v>1995</v>
      </c>
      <c r="AW5" s="4" t="n">
        <v>1996</v>
      </c>
      <c r="AX5" s="4" t="n">
        <v>1997</v>
      </c>
      <c r="AY5" s="4" t="n">
        <v>1998</v>
      </c>
      <c r="AZ5" s="4" t="n">
        <v>1999</v>
      </c>
      <c r="BA5" s="4" t="n">
        <v>2000</v>
      </c>
      <c r="BB5" s="4" t="n">
        <v>2001</v>
      </c>
      <c r="BC5" s="4" t="n">
        <v>2002</v>
      </c>
      <c r="BD5" s="4" t="n">
        <v>2003</v>
      </c>
      <c r="BE5" s="4" t="n">
        <v>2004</v>
      </c>
      <c r="BF5" s="4" t="n">
        <v>2005</v>
      </c>
      <c r="BG5" s="4" t="n">
        <v>2006</v>
      </c>
      <c r="BH5" s="4" t="n">
        <v>2007</v>
      </c>
      <c r="BI5" s="4" t="n">
        <v>2008</v>
      </c>
      <c r="BJ5" s="4" t="n">
        <v>2009</v>
      </c>
      <c r="BK5" s="4" t="n">
        <v>2010</v>
      </c>
      <c r="BL5" s="4" t="n">
        <v>2011</v>
      </c>
      <c r="BM5" s="4" t="n">
        <v>2012</v>
      </c>
      <c r="BN5" s="4" t="n">
        <v>2013</v>
      </c>
      <c r="BO5" s="4" t="n">
        <v>2014</v>
      </c>
      <c r="BP5" s="4" t="n">
        <v>2015</v>
      </c>
      <c r="BQ5" s="4" t="n">
        <v>2016</v>
      </c>
      <c r="BR5" s="4" t="n">
        <v>2017</v>
      </c>
      <c r="BS5" s="4" t="n">
        <v>2018</v>
      </c>
      <c r="BT5" s="4" t="n">
        <v>2019</v>
      </c>
    </row>
    <row r="6">
      <c r="A6" s="3" t="inlineStr">
        <is>
          <t>simple trophic chain, per taxon</t>
        </is>
      </c>
      <c r="B6" t="inlineStr">
        <is>
          <t>ok</t>
        </is>
      </c>
      <c r="C6" t="n">
        <v>968833784.474</v>
      </c>
      <c r="D6" t="n">
        <v>1116696883.715</v>
      </c>
      <c r="E6" t="n">
        <v>1105472927.697</v>
      </c>
      <c r="F6" t="n">
        <v>1175682564.867</v>
      </c>
      <c r="G6" t="n">
        <v>1337171481.102</v>
      </c>
      <c r="H6" t="n">
        <v>1239356788.43</v>
      </c>
      <c r="I6" t="n">
        <v>1243872576.112</v>
      </c>
      <c r="J6" t="n">
        <v>1402603315.903</v>
      </c>
      <c r="K6" t="n">
        <v>1323050811.095</v>
      </c>
      <c r="L6" t="n">
        <v>1387472816.399</v>
      </c>
      <c r="M6" t="n">
        <v>1175308544.029</v>
      </c>
      <c r="N6" t="n">
        <v>1364659510.602</v>
      </c>
      <c r="O6" t="n">
        <v>1208669448.564</v>
      </c>
      <c r="P6" t="n">
        <v>1447570890.468</v>
      </c>
      <c r="Q6" t="n">
        <v>1750787912.935</v>
      </c>
      <c r="R6" t="n">
        <v>1969628397.905</v>
      </c>
      <c r="S6" t="n">
        <v>2495641797.909</v>
      </c>
      <c r="T6" t="n">
        <v>2311760622.944</v>
      </c>
      <c r="U6" t="n">
        <v>2575944515.787</v>
      </c>
      <c r="V6" t="n">
        <v>3291841937.37</v>
      </c>
      <c r="W6" t="n">
        <v>3597468628.018</v>
      </c>
      <c r="X6" t="n">
        <v>2806711294.754</v>
      </c>
      <c r="Y6" t="n">
        <v>2734766466.217</v>
      </c>
      <c r="Z6" t="n">
        <v>2726142032.366</v>
      </c>
      <c r="AA6" t="n">
        <v>2970558978.538</v>
      </c>
      <c r="AB6" t="n">
        <v>2687259011.792</v>
      </c>
      <c r="AC6" t="n">
        <v>2907199172.495</v>
      </c>
      <c r="AD6" t="n">
        <v>2208153967.278</v>
      </c>
      <c r="AE6" t="n">
        <v>2148019698.716</v>
      </c>
      <c r="AF6" t="n">
        <v>1967185915.043</v>
      </c>
      <c r="AG6" t="n">
        <v>1937206752.937</v>
      </c>
      <c r="AH6" t="n">
        <v>2044062257.958</v>
      </c>
      <c r="AI6" t="n">
        <v>2191552512.477</v>
      </c>
      <c r="AJ6" t="n">
        <v>2185643563.868</v>
      </c>
      <c r="AK6" t="n">
        <v>2142822328.849</v>
      </c>
      <c r="AL6" t="n">
        <v>2127867273.545</v>
      </c>
      <c r="AM6" t="n">
        <v>1965245799.919</v>
      </c>
      <c r="AN6" t="n">
        <v>1894836401.913</v>
      </c>
      <c r="AO6" t="n">
        <v>1879970708.447</v>
      </c>
      <c r="AP6" t="n">
        <v>1605036516.616</v>
      </c>
      <c r="AQ6" t="n">
        <v>1498812614.626</v>
      </c>
      <c r="AR6" t="n">
        <v>1645368194.952</v>
      </c>
      <c r="AS6" t="n">
        <v>1659566996.466</v>
      </c>
      <c r="AT6" t="n">
        <v>1735271581.964</v>
      </c>
      <c r="AU6" t="n">
        <v>1655334474.358</v>
      </c>
      <c r="AV6" t="n">
        <v>1707434501.767</v>
      </c>
      <c r="AW6" t="n">
        <v>1442811055.468</v>
      </c>
      <c r="AX6" t="n">
        <v>1475314920.57</v>
      </c>
      <c r="AY6" t="n">
        <v>1411866662.291</v>
      </c>
      <c r="AZ6" t="n">
        <v>1460196692.552</v>
      </c>
      <c r="BA6" t="n">
        <v>1399581728.772</v>
      </c>
      <c r="BB6" t="n">
        <v>1288983923.853</v>
      </c>
      <c r="BC6" t="n">
        <v>1411818772.963</v>
      </c>
      <c r="BD6" t="n">
        <v>1279750285.327</v>
      </c>
      <c r="BE6" t="n">
        <v>1242241615.866</v>
      </c>
      <c r="BF6" t="n">
        <v>1129223201.71</v>
      </c>
      <c r="BG6" t="n">
        <v>1077486288.531</v>
      </c>
      <c r="BH6" t="n">
        <v>930946375.712</v>
      </c>
      <c r="BI6" t="n">
        <v>921214742.012</v>
      </c>
      <c r="BJ6" t="n">
        <v>931626037.8</v>
      </c>
      <c r="BK6" t="n">
        <v>864808958.534</v>
      </c>
      <c r="BL6" t="n">
        <v>823500035.188</v>
      </c>
      <c r="BM6" t="n">
        <v>737070173.877</v>
      </c>
      <c r="BN6" t="n">
        <v>857252775.51</v>
      </c>
      <c r="BO6" t="n">
        <v>966580495.768</v>
      </c>
      <c r="BP6" t="n">
        <v>968272325.604</v>
      </c>
      <c r="BQ6" t="n">
        <v>930050625.716</v>
      </c>
      <c r="BR6" t="n">
        <v>1051994981.736</v>
      </c>
      <c r="BS6" t="n">
        <v>1059040774.838</v>
      </c>
      <c r="BT6" t="n">
        <v>1700184792.549</v>
      </c>
    </row>
    <row r="7">
      <c r="A7" s="10" t="inlineStr">
        <is>
          <t>simple, aggregated to SAU functional group</t>
        </is>
      </c>
      <c r="B7" t="inlineStr">
        <is>
          <t>Jensen comparison, not a PPR estimate</t>
        </is>
      </c>
      <c r="C7" t="n">
        <v>889176060.962</v>
      </c>
      <c r="D7" t="n">
        <v>1027759715.068</v>
      </c>
      <c r="E7" t="n">
        <v>1027307442.029</v>
      </c>
      <c r="F7" t="n">
        <v>1090177606.673</v>
      </c>
      <c r="G7" t="n">
        <v>1260579989.509</v>
      </c>
      <c r="H7" t="n">
        <v>1147809137.966</v>
      </c>
      <c r="I7" t="n">
        <v>1146945351.728</v>
      </c>
      <c r="J7" t="n">
        <v>1293843982.479</v>
      </c>
      <c r="K7" t="n">
        <v>1217989045.541</v>
      </c>
      <c r="L7" t="n">
        <v>1249310661.682</v>
      </c>
      <c r="M7" t="n">
        <v>998194182.7180001</v>
      </c>
      <c r="N7" t="n">
        <v>1195122943.126</v>
      </c>
      <c r="O7" t="n">
        <v>975381139.007</v>
      </c>
      <c r="P7" t="n">
        <v>1202824183.844</v>
      </c>
      <c r="Q7" t="n">
        <v>1457510603.351</v>
      </c>
      <c r="R7" t="n">
        <v>1691627943.879</v>
      </c>
      <c r="S7" t="n">
        <v>2159173523.836</v>
      </c>
      <c r="T7" t="n">
        <v>1933029984.136</v>
      </c>
      <c r="U7" t="n">
        <v>2069026599.726</v>
      </c>
      <c r="V7" t="n">
        <v>2812743865.289</v>
      </c>
      <c r="W7" t="n">
        <v>3004597961.348</v>
      </c>
      <c r="X7" t="n">
        <v>2352515264.4</v>
      </c>
      <c r="Y7" t="n">
        <v>2298702192.44</v>
      </c>
      <c r="Z7" t="n">
        <v>2225763779.961</v>
      </c>
      <c r="AA7" t="n">
        <v>2338410968.08</v>
      </c>
      <c r="AB7" t="n">
        <v>2181008243.481</v>
      </c>
      <c r="AC7" t="n">
        <v>2319953267.021</v>
      </c>
      <c r="AD7" t="n">
        <v>1773490482.608</v>
      </c>
      <c r="AE7" t="n">
        <v>1725526047.081</v>
      </c>
      <c r="AF7" t="n">
        <v>1537618383.531</v>
      </c>
      <c r="AG7" t="n">
        <v>1507279013.855</v>
      </c>
      <c r="AH7" t="n">
        <v>1633662786.469</v>
      </c>
      <c r="AI7" t="n">
        <v>1722985228.48</v>
      </c>
      <c r="AJ7" t="n">
        <v>1717662368.753</v>
      </c>
      <c r="AK7" t="n">
        <v>1711641540.627</v>
      </c>
      <c r="AL7" t="n">
        <v>1743468468.486</v>
      </c>
      <c r="AM7" t="n">
        <v>1617830736.303</v>
      </c>
      <c r="AN7" t="n">
        <v>1579061875.337</v>
      </c>
      <c r="AO7" t="n">
        <v>1544244728.309</v>
      </c>
      <c r="AP7" t="n">
        <v>1349086068.012</v>
      </c>
      <c r="AQ7" t="n">
        <v>1253523448.745</v>
      </c>
      <c r="AR7" t="n">
        <v>1361278598.977</v>
      </c>
      <c r="AS7" t="n">
        <v>1371130861.972</v>
      </c>
      <c r="AT7" t="n">
        <v>1419719040.865</v>
      </c>
      <c r="AU7" t="n">
        <v>1363954339.605</v>
      </c>
      <c r="AV7" t="n">
        <v>1417344210.893</v>
      </c>
      <c r="AW7" t="n">
        <v>1195495379.358</v>
      </c>
      <c r="AX7" t="n">
        <v>1238195484.442</v>
      </c>
      <c r="AY7" t="n">
        <v>1224807147.329</v>
      </c>
      <c r="AZ7" t="n">
        <v>1254138831.049</v>
      </c>
      <c r="BA7" t="n">
        <v>1162949456.911</v>
      </c>
      <c r="BB7" t="n">
        <v>1121335919.157</v>
      </c>
      <c r="BC7" t="n">
        <v>1222189283.131</v>
      </c>
      <c r="BD7" t="n">
        <v>1169543876.844</v>
      </c>
      <c r="BE7" t="n">
        <v>1139595336.139</v>
      </c>
      <c r="BF7" t="n">
        <v>1065454060.236</v>
      </c>
      <c r="BG7" t="n">
        <v>943367957.337</v>
      </c>
      <c r="BH7" t="n">
        <v>861004629.029</v>
      </c>
      <c r="BI7" t="n">
        <v>819281960.446</v>
      </c>
      <c r="BJ7" t="n">
        <v>822234437.571</v>
      </c>
      <c r="BK7" t="n">
        <v>747815962.0700001</v>
      </c>
      <c r="BL7" t="n">
        <v>750844651.864</v>
      </c>
      <c r="BM7" t="n">
        <v>644875737.6950001</v>
      </c>
      <c r="BN7" t="n">
        <v>741159187.883</v>
      </c>
      <c r="BO7" t="n">
        <v>843775546.36</v>
      </c>
      <c r="BP7" t="n">
        <v>841569289.855</v>
      </c>
      <c r="BQ7" t="n">
        <v>806044691.5089999</v>
      </c>
      <c r="BR7" t="n">
        <v>940860321.48</v>
      </c>
      <c r="BS7" t="n">
        <v>944908278.8559999</v>
      </c>
      <c r="BT7" t="n">
        <v>1529129232.223</v>
      </c>
    </row>
    <row r="8">
      <c r="A8" s="10" t="inlineStr">
        <is>
          <t>simple, aggregated to SAU commercial group</t>
        </is>
      </c>
      <c r="B8" t="inlineStr">
        <is>
          <t>Jensen comparison, not a PPR estimate</t>
        </is>
      </c>
      <c r="C8" t="n">
        <v>898317692.9400001</v>
      </c>
      <c r="D8" t="n">
        <v>1030934053.795</v>
      </c>
      <c r="E8" t="n">
        <v>1027855229.985</v>
      </c>
      <c r="F8" t="n">
        <v>1093539180.578</v>
      </c>
      <c r="G8" t="n">
        <v>1249394353.969</v>
      </c>
      <c r="H8" t="n">
        <v>1146437279.645</v>
      </c>
      <c r="I8" t="n">
        <v>1151094225.647</v>
      </c>
      <c r="J8" t="n">
        <v>1304462633.182</v>
      </c>
      <c r="K8" t="n">
        <v>1228924372.641</v>
      </c>
      <c r="L8" t="n">
        <v>1269007202.086</v>
      </c>
      <c r="M8" t="n">
        <v>1018373217.987</v>
      </c>
      <c r="N8" t="n">
        <v>1214205633.863</v>
      </c>
      <c r="O8" t="n">
        <v>968323958.449</v>
      </c>
      <c r="P8" t="n">
        <v>1224688999.72</v>
      </c>
      <c r="Q8" t="n">
        <v>1540372887.26</v>
      </c>
      <c r="R8" t="n">
        <v>1781500229.792</v>
      </c>
      <c r="S8" t="n">
        <v>2254911966.403</v>
      </c>
      <c r="T8" t="n">
        <v>1961765749.86</v>
      </c>
      <c r="U8" t="n">
        <v>1976473636.76</v>
      </c>
      <c r="V8" t="n">
        <v>2950273449.876</v>
      </c>
      <c r="W8" t="n">
        <v>3096217974.9</v>
      </c>
      <c r="X8" t="n">
        <v>2242926670.896</v>
      </c>
      <c r="Y8" t="n">
        <v>2079626408.932</v>
      </c>
      <c r="Z8" t="n">
        <v>2107299105.23</v>
      </c>
      <c r="AA8" t="n">
        <v>2056046031.251</v>
      </c>
      <c r="AB8" t="n">
        <v>1924279997.832</v>
      </c>
      <c r="AC8" t="n">
        <v>2152101855.98</v>
      </c>
      <c r="AD8" t="n">
        <v>1620601013.551</v>
      </c>
      <c r="AE8" t="n">
        <v>1661975476.741</v>
      </c>
      <c r="AF8" t="n">
        <v>1461968455.541</v>
      </c>
      <c r="AG8" t="n">
        <v>1362826370.355</v>
      </c>
      <c r="AH8" t="n">
        <v>1577841126.064</v>
      </c>
      <c r="AI8" t="n">
        <v>1618270742.111</v>
      </c>
      <c r="AJ8" t="n">
        <v>1608745387.215</v>
      </c>
      <c r="AK8" t="n">
        <v>1605253717.674</v>
      </c>
      <c r="AL8" t="n">
        <v>1673895935.761</v>
      </c>
      <c r="AM8" t="n">
        <v>1593061004.379</v>
      </c>
      <c r="AN8" t="n">
        <v>1511488341.378</v>
      </c>
      <c r="AO8" t="n">
        <v>1527731391.5</v>
      </c>
      <c r="AP8" t="n">
        <v>1267505289.944</v>
      </c>
      <c r="AQ8" t="n">
        <v>1181292318.066</v>
      </c>
      <c r="AR8" t="n">
        <v>1287564660.284</v>
      </c>
      <c r="AS8" t="n">
        <v>1239320524.043</v>
      </c>
      <c r="AT8" t="n">
        <v>1337435953.038</v>
      </c>
      <c r="AU8" t="n">
        <v>1287773888.493</v>
      </c>
      <c r="AV8" t="n">
        <v>1292893859.731</v>
      </c>
      <c r="AW8" t="n">
        <v>1081925351.388</v>
      </c>
      <c r="AX8" t="n">
        <v>1141126483.6</v>
      </c>
      <c r="AY8" t="n">
        <v>1175052263.115</v>
      </c>
      <c r="AZ8" t="n">
        <v>1215325121.895</v>
      </c>
      <c r="BA8" t="n">
        <v>1083401882.66</v>
      </c>
      <c r="BB8" t="n">
        <v>1079251433.81</v>
      </c>
      <c r="BC8" t="n">
        <v>1170339631.976</v>
      </c>
      <c r="BD8" t="n">
        <v>1132167674.018</v>
      </c>
      <c r="BE8" t="n">
        <v>1099897069.414</v>
      </c>
      <c r="BF8" t="n">
        <v>1013883660.509</v>
      </c>
      <c r="BG8" t="n">
        <v>905087928.559</v>
      </c>
      <c r="BH8" t="n">
        <v>848126731.687</v>
      </c>
      <c r="BI8" t="n">
        <v>781681566.549</v>
      </c>
      <c r="BJ8" t="n">
        <v>769541601.141</v>
      </c>
      <c r="BK8" t="n">
        <v>652939767.4170001</v>
      </c>
      <c r="BL8" t="n">
        <v>743341073.428</v>
      </c>
      <c r="BM8" t="n">
        <v>623391099.34</v>
      </c>
      <c r="BN8" t="n">
        <v>688322214.2640001</v>
      </c>
      <c r="BO8" t="n">
        <v>820463996.704</v>
      </c>
      <c r="BP8" t="n">
        <v>796447810.7640001</v>
      </c>
      <c r="BQ8" t="n">
        <v>755415837.777</v>
      </c>
      <c r="BR8" t="n">
        <v>905905407.747</v>
      </c>
      <c r="BS8" t="n">
        <v>910263828.7869999</v>
      </c>
      <c r="BT8" t="n">
        <v>1461271649.863</v>
      </c>
    </row>
    <row r="9">
      <c r="A9" t="inlineStr">
        <is>
          <t>SPPR_1986</t>
        </is>
      </c>
      <c r="B9" t="inlineStr">
        <is>
          <t>ok</t>
        </is>
      </c>
      <c r="C9" t="n">
        <v>651392030.494</v>
      </c>
      <c r="D9" t="n">
        <v>736301656.836</v>
      </c>
      <c r="E9" t="n">
        <v>657817493.926</v>
      </c>
      <c r="F9" t="n">
        <v>786584698.934</v>
      </c>
      <c r="G9" t="n">
        <v>802609092.914</v>
      </c>
      <c r="H9" t="n">
        <v>711393620.602</v>
      </c>
      <c r="I9" t="n">
        <v>761172336.051</v>
      </c>
      <c r="J9" t="n">
        <v>821810505.625</v>
      </c>
      <c r="K9" t="n">
        <v>772211288.482</v>
      </c>
      <c r="L9" t="n">
        <v>833709977.3940001</v>
      </c>
      <c r="M9" t="n">
        <v>741741499.854</v>
      </c>
      <c r="N9" t="n">
        <v>748885876.619</v>
      </c>
      <c r="O9" t="n">
        <v>784789133.716</v>
      </c>
      <c r="P9" t="n">
        <v>917867431.097</v>
      </c>
      <c r="Q9" t="n">
        <v>1050477529.305</v>
      </c>
      <c r="R9" t="n">
        <v>1109152685.933</v>
      </c>
      <c r="S9" t="n">
        <v>1247389565.663</v>
      </c>
      <c r="T9" t="n">
        <v>1306875480.017</v>
      </c>
      <c r="U9" t="n">
        <v>1452463155.632</v>
      </c>
      <c r="V9" t="n">
        <v>1456789618.121</v>
      </c>
      <c r="W9" t="n">
        <v>1476631093.405</v>
      </c>
      <c r="X9" t="n">
        <v>1280639941.049</v>
      </c>
      <c r="Y9" t="n">
        <v>1263737376.19</v>
      </c>
      <c r="Z9" t="n">
        <v>1347595779.028</v>
      </c>
      <c r="AA9" t="n">
        <v>1488893287.458</v>
      </c>
      <c r="AB9" t="n">
        <v>1427952501.637</v>
      </c>
      <c r="AC9" t="n">
        <v>1417760174.798</v>
      </c>
      <c r="AD9" t="n">
        <v>1197577624.999</v>
      </c>
      <c r="AE9" t="n">
        <v>1102449987.761</v>
      </c>
      <c r="AF9" t="n">
        <v>1030410211.979</v>
      </c>
      <c r="AG9" t="n">
        <v>1141067235.645</v>
      </c>
      <c r="AH9" t="n">
        <v>1092081087.821</v>
      </c>
      <c r="AI9" t="n">
        <v>1169695680.431</v>
      </c>
      <c r="AJ9" t="n">
        <v>1157970504.926</v>
      </c>
      <c r="AK9" t="n">
        <v>1158574605.557</v>
      </c>
      <c r="AL9" t="n">
        <v>1172495549.161</v>
      </c>
      <c r="AM9" t="n">
        <v>1184230483.657</v>
      </c>
      <c r="AN9" t="n">
        <v>1170934119.75</v>
      </c>
      <c r="AO9" t="n">
        <v>1226469675.307</v>
      </c>
      <c r="AP9" t="n">
        <v>1220989948.329</v>
      </c>
      <c r="AQ9" t="n">
        <v>1029585224.521</v>
      </c>
      <c r="AR9" t="n">
        <v>1135320929.098</v>
      </c>
      <c r="AS9" t="n">
        <v>1217747268.16</v>
      </c>
      <c r="AT9" t="n">
        <v>1109798631.697</v>
      </c>
      <c r="AU9" t="n">
        <v>1161354678.994</v>
      </c>
      <c r="AV9" t="n">
        <v>1262421275.663</v>
      </c>
      <c r="AW9" t="n">
        <v>902695086.0089999</v>
      </c>
      <c r="AX9" t="n">
        <v>989376444.875</v>
      </c>
      <c r="AY9" t="n">
        <v>952420724.242</v>
      </c>
      <c r="AZ9" t="n">
        <v>917679419.733</v>
      </c>
      <c r="BA9" t="n">
        <v>945098000.044</v>
      </c>
      <c r="BB9" t="n">
        <v>908284595.41</v>
      </c>
      <c r="BC9" t="n">
        <v>952961374.386</v>
      </c>
      <c r="BD9" t="n">
        <v>783988711.892</v>
      </c>
      <c r="BE9" t="n">
        <v>801085872.779</v>
      </c>
      <c r="BF9" t="n">
        <v>714538690.864</v>
      </c>
      <c r="BG9" t="n">
        <v>691716632.766</v>
      </c>
      <c r="BH9" t="n">
        <v>572019817.087</v>
      </c>
      <c r="BI9" t="n">
        <v>552429128.733</v>
      </c>
      <c r="BJ9" t="n">
        <v>607533943.752</v>
      </c>
      <c r="BK9" t="n">
        <v>613742184.404</v>
      </c>
      <c r="BL9" t="n">
        <v>588895040.905</v>
      </c>
      <c r="BM9" t="n">
        <v>505590788.28</v>
      </c>
      <c r="BN9" t="n">
        <v>639261755.568</v>
      </c>
      <c r="BO9" t="n">
        <v>683290936.057</v>
      </c>
      <c r="BP9" t="n">
        <v>702185976.693</v>
      </c>
      <c r="BQ9" t="n">
        <v>636131176.615</v>
      </c>
      <c r="BR9" t="n">
        <v>722991542.756</v>
      </c>
      <c r="BS9" t="n">
        <v>734150680.71</v>
      </c>
      <c r="BT9" t="n">
        <v>890315331.0549999</v>
      </c>
    </row>
    <row r="10">
      <c r="A10" t="inlineStr">
        <is>
          <t>SPPR_1995_TE0.1</t>
        </is>
      </c>
      <c r="B10" t="inlineStr">
        <is>
          <t>ok</t>
        </is>
      </c>
      <c r="C10" t="n">
        <v>632465695.898</v>
      </c>
      <c r="D10" t="n">
        <v>729122098.262</v>
      </c>
      <c r="E10" t="n">
        <v>678454445.485</v>
      </c>
      <c r="F10" t="n">
        <v>760225647.051</v>
      </c>
      <c r="G10" t="n">
        <v>811001007.164</v>
      </c>
      <c r="H10" t="n">
        <v>722132402.0369999</v>
      </c>
      <c r="I10" t="n">
        <v>756217089.286</v>
      </c>
      <c r="J10" t="n">
        <v>854588016.08</v>
      </c>
      <c r="K10" t="n">
        <v>817922892.577</v>
      </c>
      <c r="L10" t="n">
        <v>876148221.136</v>
      </c>
      <c r="M10" t="n">
        <v>745456021.6900001</v>
      </c>
      <c r="N10" t="n">
        <v>800664067.046</v>
      </c>
      <c r="O10" t="n">
        <v>761360294.558</v>
      </c>
      <c r="P10" t="n">
        <v>915972883.675</v>
      </c>
      <c r="Q10" t="n">
        <v>1055733562.844</v>
      </c>
      <c r="R10" t="n">
        <v>1174195726.531</v>
      </c>
      <c r="S10" t="n">
        <v>1420608379.235</v>
      </c>
      <c r="T10" t="n">
        <v>1488540733.247</v>
      </c>
      <c r="U10" t="n">
        <v>1624398023.274</v>
      </c>
      <c r="V10" t="n">
        <v>1688377385.425</v>
      </c>
      <c r="W10" t="n">
        <v>1744025351.061</v>
      </c>
      <c r="X10" t="n">
        <v>1604708010.147</v>
      </c>
      <c r="Y10" t="n">
        <v>1580786191.647</v>
      </c>
      <c r="Z10" t="n">
        <v>1583979656.977</v>
      </c>
      <c r="AA10" t="n">
        <v>1745897342.763</v>
      </c>
      <c r="AB10" t="n">
        <v>1619649218.044</v>
      </c>
      <c r="AC10" t="n">
        <v>1704346790.229</v>
      </c>
      <c r="AD10" t="n">
        <v>1402189584.657</v>
      </c>
      <c r="AE10" t="n">
        <v>1332639601.609</v>
      </c>
      <c r="AF10" t="n">
        <v>1205965587.705</v>
      </c>
      <c r="AG10" t="n">
        <v>1243064450.247</v>
      </c>
      <c r="AH10" t="n">
        <v>1261058888.78</v>
      </c>
      <c r="AI10" t="n">
        <v>1319879290.662</v>
      </c>
      <c r="AJ10" t="n">
        <v>1306255136.342</v>
      </c>
      <c r="AK10" t="n">
        <v>1335278176.034</v>
      </c>
      <c r="AL10" t="n">
        <v>1326944448.177</v>
      </c>
      <c r="AM10" t="n">
        <v>1298561637.259</v>
      </c>
      <c r="AN10" t="n">
        <v>1277224155.71</v>
      </c>
      <c r="AO10" t="n">
        <v>1305634862.387</v>
      </c>
      <c r="AP10" t="n">
        <v>1259677314.742</v>
      </c>
      <c r="AQ10" t="n">
        <v>1099404865.817</v>
      </c>
      <c r="AR10" t="n">
        <v>1207254975.742</v>
      </c>
      <c r="AS10" t="n">
        <v>1266234235.173</v>
      </c>
      <c r="AT10" t="n">
        <v>1212399274.153</v>
      </c>
      <c r="AU10" t="n">
        <v>1221604020.313</v>
      </c>
      <c r="AV10" t="n">
        <v>1283341798.614</v>
      </c>
      <c r="AW10" t="n">
        <v>1029966857.871</v>
      </c>
      <c r="AX10" t="n">
        <v>1100553234.039</v>
      </c>
      <c r="AY10" t="n">
        <v>1015352223.375</v>
      </c>
      <c r="AZ10" t="n">
        <v>983560794.314</v>
      </c>
      <c r="BA10" t="n">
        <v>981791661.7079999</v>
      </c>
      <c r="BB10" t="n">
        <v>951031978.026</v>
      </c>
      <c r="BC10" t="n">
        <v>1014329908.293</v>
      </c>
      <c r="BD10" t="n">
        <v>826465186.95</v>
      </c>
      <c r="BE10" t="n">
        <v>820606291.595</v>
      </c>
      <c r="BF10" t="n">
        <v>724863578.51</v>
      </c>
      <c r="BG10" t="n">
        <v>721484471.643</v>
      </c>
      <c r="BH10" t="n">
        <v>631289637.265</v>
      </c>
      <c r="BI10" t="n">
        <v>648697332.219</v>
      </c>
      <c r="BJ10" t="n">
        <v>694645302.2819999</v>
      </c>
      <c r="BK10" t="n">
        <v>653090763.915</v>
      </c>
      <c r="BL10" t="n">
        <v>665642089.501</v>
      </c>
      <c r="BM10" t="n">
        <v>530644218.645</v>
      </c>
      <c r="BN10" t="n">
        <v>661301891.1619999</v>
      </c>
      <c r="BO10" t="n">
        <v>719576381.026</v>
      </c>
      <c r="BP10" t="n">
        <v>730838442.656</v>
      </c>
      <c r="BQ10" t="n">
        <v>669614595.9450001</v>
      </c>
      <c r="BR10" t="n">
        <v>829112272.296</v>
      </c>
      <c r="BS10" t="n">
        <v>800253972.676</v>
      </c>
      <c r="BT10" t="n">
        <v>1115187238.301</v>
      </c>
    </row>
    <row r="11">
      <c r="A11" t="inlineStr">
        <is>
          <t>SPPR_1995_TEmean</t>
        </is>
      </c>
      <c r="B11" t="inlineStr">
        <is>
          <t>ok</t>
        </is>
      </c>
      <c r="C11" t="n">
        <v>148413620.275</v>
      </c>
      <c r="D11" t="n">
        <v>169940368.643</v>
      </c>
      <c r="E11" t="n">
        <v>156639438.608</v>
      </c>
      <c r="F11" t="n">
        <v>178707005.653</v>
      </c>
      <c r="G11" t="n">
        <v>189110284.674</v>
      </c>
      <c r="H11" t="n">
        <v>167029357.752</v>
      </c>
      <c r="I11" t="n">
        <v>176241839.598</v>
      </c>
      <c r="J11" t="n">
        <v>197073007.137</v>
      </c>
      <c r="K11" t="n">
        <v>187761335.751</v>
      </c>
      <c r="L11" t="n">
        <v>201483730.09</v>
      </c>
      <c r="M11" t="n">
        <v>173820119.501</v>
      </c>
      <c r="N11" t="n">
        <v>183599907.43</v>
      </c>
      <c r="O11" t="n">
        <v>179204496.691</v>
      </c>
      <c r="P11" t="n">
        <v>213867380.041</v>
      </c>
      <c r="Q11" t="n">
        <v>246547287.7</v>
      </c>
      <c r="R11" t="n">
        <v>271376960.734</v>
      </c>
      <c r="S11" t="n">
        <v>324216560.305</v>
      </c>
      <c r="T11" t="n">
        <v>341695241.575</v>
      </c>
      <c r="U11" t="n">
        <v>372832531.922</v>
      </c>
      <c r="V11" t="n">
        <v>386111253.365</v>
      </c>
      <c r="W11" t="n">
        <v>394355300.545</v>
      </c>
      <c r="X11" t="n">
        <v>354859684.095</v>
      </c>
      <c r="Y11" t="n">
        <v>349124480.293</v>
      </c>
      <c r="Z11" t="n">
        <v>355257457.785</v>
      </c>
      <c r="AA11" t="n">
        <v>389437402.153</v>
      </c>
      <c r="AB11" t="n">
        <v>363642509.681</v>
      </c>
      <c r="AC11" t="n">
        <v>377007882.925</v>
      </c>
      <c r="AD11" t="n">
        <v>311710434.424</v>
      </c>
      <c r="AE11" t="n">
        <v>294376267.493</v>
      </c>
      <c r="AF11" t="n">
        <v>268200324.808</v>
      </c>
      <c r="AG11" t="n">
        <v>279917954.347</v>
      </c>
      <c r="AH11" t="n">
        <v>281336678.917</v>
      </c>
      <c r="AI11" t="n">
        <v>296421372.558</v>
      </c>
      <c r="AJ11" t="n">
        <v>293570115.988</v>
      </c>
      <c r="AK11" t="n">
        <v>297619857.673</v>
      </c>
      <c r="AL11" t="n">
        <v>297355434.685</v>
      </c>
      <c r="AM11" t="n">
        <v>293446201.103</v>
      </c>
      <c r="AN11" t="n">
        <v>288654715.363</v>
      </c>
      <c r="AO11" t="n">
        <v>297414369.234</v>
      </c>
      <c r="AP11" t="n">
        <v>288584791.843</v>
      </c>
      <c r="AQ11" t="n">
        <v>249818139.879</v>
      </c>
      <c r="AR11" t="n">
        <v>274366492.259</v>
      </c>
      <c r="AS11" t="n">
        <v>288627321.289</v>
      </c>
      <c r="AT11" t="n">
        <v>275060333.239</v>
      </c>
      <c r="AU11" t="n">
        <v>277977965.154</v>
      </c>
      <c r="AV11" t="n">
        <v>293913709.837</v>
      </c>
      <c r="AW11" t="n">
        <v>227854121.082</v>
      </c>
      <c r="AX11" t="n">
        <v>245327923.409</v>
      </c>
      <c r="AY11" t="n">
        <v>228849311.857</v>
      </c>
      <c r="AZ11" t="n">
        <v>222714189.922</v>
      </c>
      <c r="BA11" t="n">
        <v>224088906.315</v>
      </c>
      <c r="BB11" t="n">
        <v>216619388.234</v>
      </c>
      <c r="BC11" t="n">
        <v>230781983.191</v>
      </c>
      <c r="BD11" t="n">
        <v>189217521.294</v>
      </c>
      <c r="BE11" t="n">
        <v>188798793.309</v>
      </c>
      <c r="BF11" t="n">
        <v>167155766.304</v>
      </c>
      <c r="BG11" t="n">
        <v>165007858.392</v>
      </c>
      <c r="BH11" t="n">
        <v>141965385.928</v>
      </c>
      <c r="BI11" t="n">
        <v>142669720.005</v>
      </c>
      <c r="BJ11" t="n">
        <v>154011436.117</v>
      </c>
      <c r="BK11" t="n">
        <v>147473698.668</v>
      </c>
      <c r="BL11" t="n">
        <v>148355383.039</v>
      </c>
      <c r="BM11" t="n">
        <v>120476675.34</v>
      </c>
      <c r="BN11" t="n">
        <v>151115770.238</v>
      </c>
      <c r="BO11" t="n">
        <v>164122623.354</v>
      </c>
      <c r="BP11" t="n">
        <v>166296847.081</v>
      </c>
      <c r="BQ11" t="n">
        <v>151045559.552</v>
      </c>
      <c r="BR11" t="n">
        <v>183091597.689</v>
      </c>
      <c r="BS11" t="n">
        <v>179596129.038</v>
      </c>
      <c r="BT11" t="n">
        <v>243546814.907</v>
      </c>
    </row>
    <row r="12">
      <c r="A12" t="inlineStr">
        <is>
          <t>Ulanowicz_globalTEmean</t>
        </is>
      </c>
      <c r="B12" t="inlineStr">
        <is>
          <t>ok</t>
        </is>
      </c>
      <c r="C12" t="n">
        <v>271023005.682</v>
      </c>
      <c r="D12" t="n">
        <v>310066961.954</v>
      </c>
      <c r="E12" t="n">
        <v>291135530.985</v>
      </c>
      <c r="F12" t="n">
        <v>326613062.835</v>
      </c>
      <c r="G12" t="n">
        <v>343354110.769</v>
      </c>
      <c r="H12" t="n">
        <v>307377934.366</v>
      </c>
      <c r="I12" t="n">
        <v>322366503.812</v>
      </c>
      <c r="J12" t="n">
        <v>365216437.666</v>
      </c>
      <c r="K12" t="n">
        <v>352330376.423</v>
      </c>
      <c r="L12" t="n">
        <v>376820114.373</v>
      </c>
      <c r="M12" t="n">
        <v>323040914.618</v>
      </c>
      <c r="N12" t="n">
        <v>342604550.687</v>
      </c>
      <c r="O12" t="n">
        <v>328811802.931</v>
      </c>
      <c r="P12" t="n">
        <v>395425719.595</v>
      </c>
      <c r="Q12" t="n">
        <v>456005669.474</v>
      </c>
      <c r="R12" t="n">
        <v>507087571.135</v>
      </c>
      <c r="S12" t="n">
        <v>609977206.808</v>
      </c>
      <c r="T12" t="n">
        <v>639644147.993</v>
      </c>
      <c r="U12" t="n">
        <v>691041594.248</v>
      </c>
      <c r="V12" t="n">
        <v>734911013.262</v>
      </c>
      <c r="W12" t="n">
        <v>758462106.2690001</v>
      </c>
      <c r="X12" t="n">
        <v>684949867.688</v>
      </c>
      <c r="Y12" t="n">
        <v>677232521.601</v>
      </c>
      <c r="Z12" t="n">
        <v>672170527.59</v>
      </c>
      <c r="AA12" t="n">
        <v>737893928.942</v>
      </c>
      <c r="AB12" t="n">
        <v>686822072.586</v>
      </c>
      <c r="AC12" t="n">
        <v>721541582.337</v>
      </c>
      <c r="AD12" t="n">
        <v>605355542.136</v>
      </c>
      <c r="AE12" t="n">
        <v>576423153.933</v>
      </c>
      <c r="AF12" t="n">
        <v>521162295.756</v>
      </c>
      <c r="AG12" t="n">
        <v>538705031.966</v>
      </c>
      <c r="AH12" t="n">
        <v>549181006.329</v>
      </c>
      <c r="AI12" t="n">
        <v>575932129.158</v>
      </c>
      <c r="AJ12" t="n">
        <v>567385962.822</v>
      </c>
      <c r="AK12" t="n">
        <v>578696892.472</v>
      </c>
      <c r="AL12" t="n">
        <v>576967425.138</v>
      </c>
      <c r="AM12" t="n">
        <v>568372700.596</v>
      </c>
      <c r="AN12" t="n">
        <v>554008986.659</v>
      </c>
      <c r="AO12" t="n">
        <v>571187618.913</v>
      </c>
      <c r="AP12" t="n">
        <v>554843753.682</v>
      </c>
      <c r="AQ12" t="n">
        <v>479990564.224</v>
      </c>
      <c r="AR12" t="n">
        <v>527197100.921</v>
      </c>
      <c r="AS12" t="n">
        <v>551117131.442</v>
      </c>
      <c r="AT12" t="n">
        <v>520540143.624</v>
      </c>
      <c r="AU12" t="n">
        <v>529820652.512</v>
      </c>
      <c r="AV12" t="n">
        <v>552544477.544</v>
      </c>
      <c r="AW12" t="n">
        <v>441354463.715</v>
      </c>
      <c r="AX12" t="n">
        <v>475734099.388</v>
      </c>
      <c r="AY12" t="n">
        <v>439214243.371</v>
      </c>
      <c r="AZ12" t="n">
        <v>424034589.345</v>
      </c>
      <c r="BA12" t="n">
        <v>423557950.435</v>
      </c>
      <c r="BB12" t="n">
        <v>411868867.607</v>
      </c>
      <c r="BC12" t="n">
        <v>437387030.411</v>
      </c>
      <c r="BD12" t="n">
        <v>351720842.933</v>
      </c>
      <c r="BE12" t="n">
        <v>348720860.784</v>
      </c>
      <c r="BF12" t="n">
        <v>303808199.201</v>
      </c>
      <c r="BG12" t="n">
        <v>305003348.676</v>
      </c>
      <c r="BH12" t="n">
        <v>265420395.392</v>
      </c>
      <c r="BI12" t="n">
        <v>271918930.53</v>
      </c>
      <c r="BJ12" t="n">
        <v>292769006.473</v>
      </c>
      <c r="BK12" t="n">
        <v>276910553.605</v>
      </c>
      <c r="BL12" t="n">
        <v>284042687.898</v>
      </c>
      <c r="BM12" t="n">
        <v>222238665.87</v>
      </c>
      <c r="BN12" t="n">
        <v>280334267.879</v>
      </c>
      <c r="BO12" t="n">
        <v>301455272.48</v>
      </c>
      <c r="BP12" t="n">
        <v>304608270.871</v>
      </c>
      <c r="BQ12" t="n">
        <v>273813995.799</v>
      </c>
      <c r="BR12" t="n">
        <v>345761063.124</v>
      </c>
      <c r="BS12" t="n">
        <v>330354642.145</v>
      </c>
      <c r="BT12" t="n">
        <v>461546566.52</v>
      </c>
    </row>
    <row r="13">
      <c r="A13" t="inlineStr">
        <is>
          <t>Ulanowicz_TE</t>
        </is>
      </c>
      <c r="B13" t="inlineStr">
        <is>
          <t>ok</t>
        </is>
      </c>
      <c r="C13" t="n">
        <v>189726437.838</v>
      </c>
      <c r="D13" t="n">
        <v>221423621.002</v>
      </c>
      <c r="E13" t="n">
        <v>208842724.423</v>
      </c>
      <c r="F13" t="n">
        <v>228963716.629</v>
      </c>
      <c r="G13" t="n">
        <v>233901833.929</v>
      </c>
      <c r="H13" t="n">
        <v>220586615.085</v>
      </c>
      <c r="I13" t="n">
        <v>229502486.505</v>
      </c>
      <c r="J13" t="n">
        <v>258822881.396</v>
      </c>
      <c r="K13" t="n">
        <v>252967738.184</v>
      </c>
      <c r="L13" t="n">
        <v>273360034.424</v>
      </c>
      <c r="M13" t="n">
        <v>235545276.176</v>
      </c>
      <c r="N13" t="n">
        <v>253757248.45</v>
      </c>
      <c r="O13" t="n">
        <v>239692593.214</v>
      </c>
      <c r="P13" t="n">
        <v>289613271.208</v>
      </c>
      <c r="Q13" t="n">
        <v>322782746.523</v>
      </c>
      <c r="R13" t="n">
        <v>364540004.719</v>
      </c>
      <c r="S13" t="n">
        <v>447822698.285</v>
      </c>
      <c r="T13" t="n">
        <v>482096914.748</v>
      </c>
      <c r="U13" t="n">
        <v>511653598.83</v>
      </c>
      <c r="V13" t="n">
        <v>554723297.265</v>
      </c>
      <c r="W13" t="n">
        <v>543793384.637</v>
      </c>
      <c r="X13" t="n">
        <v>480041178.022</v>
      </c>
      <c r="Y13" t="n">
        <v>478858462.069</v>
      </c>
      <c r="Z13" t="n">
        <v>478734466.745</v>
      </c>
      <c r="AA13" t="n">
        <v>528699196.099</v>
      </c>
      <c r="AB13" t="n">
        <v>488871309.847</v>
      </c>
      <c r="AC13" t="n">
        <v>511158982.969</v>
      </c>
      <c r="AD13" t="n">
        <v>438692397.077</v>
      </c>
      <c r="AE13" t="n">
        <v>420507399.565</v>
      </c>
      <c r="AF13" t="n">
        <v>379913661.805</v>
      </c>
      <c r="AG13" t="n">
        <v>383047038.64</v>
      </c>
      <c r="AH13" t="n">
        <v>391040288.056</v>
      </c>
      <c r="AI13" t="n">
        <v>407639014.292</v>
      </c>
      <c r="AJ13" t="n">
        <v>401553686.129</v>
      </c>
      <c r="AK13" t="n">
        <v>411917048.902</v>
      </c>
      <c r="AL13" t="n">
        <v>406919227.018</v>
      </c>
      <c r="AM13" t="n">
        <v>406967848.132</v>
      </c>
      <c r="AN13" t="n">
        <v>396858333.886</v>
      </c>
      <c r="AO13" t="n">
        <v>418787329.491</v>
      </c>
      <c r="AP13" t="n">
        <v>409140441.274</v>
      </c>
      <c r="AQ13" t="n">
        <v>355673408.957</v>
      </c>
      <c r="AR13" t="n">
        <v>394172041.107</v>
      </c>
      <c r="AS13" t="n">
        <v>407870218.163</v>
      </c>
      <c r="AT13" t="n">
        <v>380031191.814</v>
      </c>
      <c r="AU13" t="n">
        <v>388832174.731</v>
      </c>
      <c r="AV13" t="n">
        <v>397752841.745</v>
      </c>
      <c r="AW13" t="n">
        <v>318876333.839</v>
      </c>
      <c r="AX13" t="n">
        <v>348782863.484</v>
      </c>
      <c r="AY13" t="n">
        <v>315694765.653</v>
      </c>
      <c r="AZ13" t="n">
        <v>309421000.612</v>
      </c>
      <c r="BA13" t="n">
        <v>310223425.232</v>
      </c>
      <c r="BB13" t="n">
        <v>306795015.122</v>
      </c>
      <c r="BC13" t="n">
        <v>324611319.589</v>
      </c>
      <c r="BD13" t="n">
        <v>258700423.536</v>
      </c>
      <c r="BE13" t="n">
        <v>254297961.032</v>
      </c>
      <c r="BF13" t="n">
        <v>213768895.392</v>
      </c>
      <c r="BG13" t="n">
        <v>220223719.073</v>
      </c>
      <c r="BH13" t="n">
        <v>192355085.922</v>
      </c>
      <c r="BI13" t="n">
        <v>196566842.047</v>
      </c>
      <c r="BJ13" t="n">
        <v>213458894.33</v>
      </c>
      <c r="BK13" t="n">
        <v>199296264.487</v>
      </c>
      <c r="BL13" t="n">
        <v>209554031.982</v>
      </c>
      <c r="BM13" t="n">
        <v>155325548.482</v>
      </c>
      <c r="BN13" t="n">
        <v>199058836.418</v>
      </c>
      <c r="BO13" t="n">
        <v>217287306.927</v>
      </c>
      <c r="BP13" t="n">
        <v>215355635.92</v>
      </c>
      <c r="BQ13" t="n">
        <v>188364376.951</v>
      </c>
      <c r="BR13" t="n">
        <v>246841916.147</v>
      </c>
      <c r="BS13" t="n">
        <v>233569022.246</v>
      </c>
      <c r="BT13" t="n">
        <v>304818639.086</v>
      </c>
    </row>
    <row r="14">
      <c r="A14" t="inlineStr">
        <is>
          <t>EwE_TE_noEE</t>
        </is>
      </c>
      <c r="B14" t="inlineStr">
        <is>
          <t>ok</t>
        </is>
      </c>
      <c r="C14" t="n">
        <v>196357817.624</v>
      </c>
      <c r="D14" t="n">
        <v>229444298.922</v>
      </c>
      <c r="E14" t="n">
        <v>216690106.099</v>
      </c>
      <c r="F14" t="n">
        <v>236961111.179</v>
      </c>
      <c r="G14" t="n">
        <v>242190692.441</v>
      </c>
      <c r="H14" t="n">
        <v>228833725.644</v>
      </c>
      <c r="I14" t="n">
        <v>237729671.672</v>
      </c>
      <c r="J14" t="n">
        <v>268510911.926</v>
      </c>
      <c r="K14" t="n">
        <v>262483078.534</v>
      </c>
      <c r="L14" t="n">
        <v>283733855.691</v>
      </c>
      <c r="M14" t="n">
        <v>244428955.562</v>
      </c>
      <c r="N14" t="n">
        <v>263913796.539</v>
      </c>
      <c r="O14" t="n">
        <v>248760163.619</v>
      </c>
      <c r="P14" t="n">
        <v>300574157.417</v>
      </c>
      <c r="Q14" t="n">
        <v>334914037.612</v>
      </c>
      <c r="R14" t="n">
        <v>379447094.586</v>
      </c>
      <c r="S14" t="n">
        <v>470161623.702</v>
      </c>
      <c r="T14" t="n">
        <v>509442272.502</v>
      </c>
      <c r="U14" t="n">
        <v>539051177.354</v>
      </c>
      <c r="V14" t="n">
        <v>583927859.928</v>
      </c>
      <c r="W14" t="n">
        <v>567715704.591</v>
      </c>
      <c r="X14" t="n">
        <v>499778746.465</v>
      </c>
      <c r="Y14" t="n">
        <v>497939019.324</v>
      </c>
      <c r="Z14" t="n">
        <v>499819330.623</v>
      </c>
      <c r="AA14" t="n">
        <v>551470528.765</v>
      </c>
      <c r="AB14" t="n">
        <v>509066480.178</v>
      </c>
      <c r="AC14" t="n">
        <v>533126584.343</v>
      </c>
      <c r="AD14" t="n">
        <v>457398970.473</v>
      </c>
      <c r="AE14" t="n">
        <v>439314726.747</v>
      </c>
      <c r="AF14" t="n">
        <v>397189138.346</v>
      </c>
      <c r="AG14" t="n">
        <v>398870285.488</v>
      </c>
      <c r="AH14" t="n">
        <v>407438472.843</v>
      </c>
      <c r="AI14" t="n">
        <v>424483326.664</v>
      </c>
      <c r="AJ14" t="n">
        <v>418264453.74</v>
      </c>
      <c r="AK14" t="n">
        <v>429062593.329</v>
      </c>
      <c r="AL14" t="n">
        <v>423361206.161</v>
      </c>
      <c r="AM14" t="n">
        <v>423386008.69</v>
      </c>
      <c r="AN14" t="n">
        <v>413519915.437</v>
      </c>
      <c r="AO14" t="n">
        <v>437111317.824</v>
      </c>
      <c r="AP14" t="n">
        <v>426674861.199</v>
      </c>
      <c r="AQ14" t="n">
        <v>371724656.406</v>
      </c>
      <c r="AR14" t="n">
        <v>412614090.835</v>
      </c>
      <c r="AS14" t="n">
        <v>426615335.739</v>
      </c>
      <c r="AT14" t="n">
        <v>398785122.915</v>
      </c>
      <c r="AU14" t="n">
        <v>407025215.088</v>
      </c>
      <c r="AV14" t="n">
        <v>415629460.503</v>
      </c>
      <c r="AW14" t="n">
        <v>333225172.046</v>
      </c>
      <c r="AX14" t="n">
        <v>364751814.308</v>
      </c>
      <c r="AY14" t="n">
        <v>330102606.288</v>
      </c>
      <c r="AZ14" t="n">
        <v>324749298.653</v>
      </c>
      <c r="BA14" t="n">
        <v>325519241.305</v>
      </c>
      <c r="BB14" t="n">
        <v>321951392.439</v>
      </c>
      <c r="BC14" t="n">
        <v>341154247.606</v>
      </c>
      <c r="BD14" t="n">
        <v>272588337.237</v>
      </c>
      <c r="BE14" t="n">
        <v>267602030.431</v>
      </c>
      <c r="BF14" t="n">
        <v>224442811.109</v>
      </c>
      <c r="BG14" t="n">
        <v>231347344.255</v>
      </c>
      <c r="BH14" t="n">
        <v>202432802.071</v>
      </c>
      <c r="BI14" t="n">
        <v>206427592.966</v>
      </c>
      <c r="BJ14" t="n">
        <v>224391718.984</v>
      </c>
      <c r="BK14" t="n">
        <v>209041423.038</v>
      </c>
      <c r="BL14" t="n">
        <v>220097149.367</v>
      </c>
      <c r="BM14" t="n">
        <v>162803356.626</v>
      </c>
      <c r="BN14" t="n">
        <v>208448099.554</v>
      </c>
      <c r="BO14" t="n">
        <v>229152789.969</v>
      </c>
      <c r="BP14" t="n">
        <v>226362120.269</v>
      </c>
      <c r="BQ14" t="n">
        <v>198096822.495</v>
      </c>
      <c r="BR14" t="n">
        <v>259096770.223</v>
      </c>
      <c r="BS14" t="n">
        <v>245770304.38</v>
      </c>
      <c r="BT14" t="n">
        <v>317995047.81</v>
      </c>
    </row>
    <row r="15">
      <c r="A15" t="inlineStr">
        <is>
          <t>EwE_TE_EE</t>
        </is>
      </c>
      <c r="B15" t="inlineStr">
        <is>
          <t>ok</t>
        </is>
      </c>
      <c r="C15" t="n">
        <v>162509835.484</v>
      </c>
      <c r="D15" t="n">
        <v>189497789.75</v>
      </c>
      <c r="E15" t="n">
        <v>179659360.484</v>
      </c>
      <c r="F15" t="n">
        <v>197674848.02</v>
      </c>
      <c r="G15" t="n">
        <v>201115853.776</v>
      </c>
      <c r="H15" t="n">
        <v>188819279.569</v>
      </c>
      <c r="I15" t="n">
        <v>197012217.83</v>
      </c>
      <c r="J15" t="n">
        <v>225147350.493</v>
      </c>
      <c r="K15" t="n">
        <v>218530030.293</v>
      </c>
      <c r="L15" t="n">
        <v>238158266.026</v>
      </c>
      <c r="M15" t="n">
        <v>202092928.521</v>
      </c>
      <c r="N15" t="n">
        <v>218047057.464</v>
      </c>
      <c r="O15" t="n">
        <v>208299784.028</v>
      </c>
      <c r="P15" t="n">
        <v>252153932.931</v>
      </c>
      <c r="Q15" t="n">
        <v>286744288.885</v>
      </c>
      <c r="R15" t="n">
        <v>323371388.994</v>
      </c>
      <c r="S15" t="n">
        <v>405931768.384</v>
      </c>
      <c r="T15" t="n">
        <v>438619374.706</v>
      </c>
      <c r="U15" t="n">
        <v>463297974.803</v>
      </c>
      <c r="V15" t="n">
        <v>504723793.131</v>
      </c>
      <c r="W15" t="n">
        <v>495105653.184</v>
      </c>
      <c r="X15" t="n">
        <v>432628042.464</v>
      </c>
      <c r="Y15" t="n">
        <v>427434173.276</v>
      </c>
      <c r="Z15" t="n">
        <v>431640618</v>
      </c>
      <c r="AA15" t="n">
        <v>478799286.158</v>
      </c>
      <c r="AB15" t="n">
        <v>440606139.505</v>
      </c>
      <c r="AC15" t="n">
        <v>465743351.245</v>
      </c>
      <c r="AD15" t="n">
        <v>399176379.345</v>
      </c>
      <c r="AE15" t="n">
        <v>382074899.53</v>
      </c>
      <c r="AF15" t="n">
        <v>344759024.533</v>
      </c>
      <c r="AG15" t="n">
        <v>348280310.897</v>
      </c>
      <c r="AH15" t="n">
        <v>355789525.368</v>
      </c>
      <c r="AI15" t="n">
        <v>373312042.153</v>
      </c>
      <c r="AJ15" t="n">
        <v>366797501.42</v>
      </c>
      <c r="AK15" t="n">
        <v>377506549.229</v>
      </c>
      <c r="AL15" t="n">
        <v>373459286.479</v>
      </c>
      <c r="AM15" t="n">
        <v>375661956.12</v>
      </c>
      <c r="AN15" t="n">
        <v>365080984.579</v>
      </c>
      <c r="AO15" t="n">
        <v>387242479.134</v>
      </c>
      <c r="AP15" t="n">
        <v>379235510.472</v>
      </c>
      <c r="AQ15" t="n">
        <v>328146370.071</v>
      </c>
      <c r="AR15" t="n">
        <v>366257895.727</v>
      </c>
      <c r="AS15" t="n">
        <v>379196104.843</v>
      </c>
      <c r="AT15" t="n">
        <v>354605636.847</v>
      </c>
      <c r="AU15" t="n">
        <v>363712556.369</v>
      </c>
      <c r="AV15" t="n">
        <v>369872855.752</v>
      </c>
      <c r="AW15" t="n">
        <v>296677511.917</v>
      </c>
      <c r="AX15" t="n">
        <v>325998781.094</v>
      </c>
      <c r="AY15" t="n">
        <v>294429543.266</v>
      </c>
      <c r="AZ15" t="n">
        <v>289948585.743</v>
      </c>
      <c r="BA15" t="n">
        <v>290685222.615</v>
      </c>
      <c r="BB15" t="n">
        <v>287538801.893</v>
      </c>
      <c r="BC15" t="n">
        <v>305090850.844</v>
      </c>
      <c r="BD15" t="n">
        <v>242967596.026</v>
      </c>
      <c r="BE15" t="n">
        <v>238792992.294</v>
      </c>
      <c r="BF15" t="n">
        <v>200195733.821</v>
      </c>
      <c r="BG15" t="n">
        <v>206685872.21</v>
      </c>
      <c r="BH15" t="n">
        <v>180880145.041</v>
      </c>
      <c r="BI15" t="n">
        <v>184705295.646</v>
      </c>
      <c r="BJ15" t="n">
        <v>200972452.559</v>
      </c>
      <c r="BK15" t="n">
        <v>187457929.013</v>
      </c>
      <c r="BL15" t="n">
        <v>197557955.277</v>
      </c>
      <c r="BM15" t="n">
        <v>144942385.306</v>
      </c>
      <c r="BN15" t="n">
        <v>186639992.325</v>
      </c>
      <c r="BO15" t="n">
        <v>204891151.38</v>
      </c>
      <c r="BP15" t="n">
        <v>202839268.319</v>
      </c>
      <c r="BQ15" t="n">
        <v>177029802.733</v>
      </c>
      <c r="BR15" t="n">
        <v>233284027.598</v>
      </c>
      <c r="BS15" t="n">
        <v>219665212.832</v>
      </c>
      <c r="BT15" t="n">
        <v>283832024.314</v>
      </c>
    </row>
    <row r="16">
      <c r="A16" s="11" t="inlineStr">
        <is>
          <t>SPPR_2015</t>
        </is>
      </c>
      <c r="B16" s="9" t="inlineStr">
        <is>
          <t>DIVERGED - negative SPPR in a source-model group</t>
        </is>
      </c>
      <c r="C16" t="n">
        <v>257138323.892</v>
      </c>
      <c r="D16" t="n">
        <v>301546464.154</v>
      </c>
      <c r="E16" t="n">
        <v>282944688.555</v>
      </c>
      <c r="F16" t="n">
        <v>308198823.761</v>
      </c>
      <c r="G16" t="n">
        <v>316861647.374</v>
      </c>
      <c r="H16" t="n">
        <v>300486110.585</v>
      </c>
      <c r="I16" t="n">
        <v>311496913.68</v>
      </c>
      <c r="J16" t="n">
        <v>349581320.327</v>
      </c>
      <c r="K16" t="n">
        <v>342466945.95</v>
      </c>
      <c r="L16" t="n">
        <v>368462652.345</v>
      </c>
      <c r="M16" t="n">
        <v>319690822.87</v>
      </c>
      <c r="N16" t="n">
        <v>346339732.083</v>
      </c>
      <c r="O16" t="n">
        <v>323164536.009</v>
      </c>
      <c r="P16" t="n">
        <v>390160958.923</v>
      </c>
      <c r="Q16" t="n">
        <v>428717206.674</v>
      </c>
      <c r="R16" t="n">
        <v>487313937.224</v>
      </c>
      <c r="S16" t="n">
        <v>598383166.801</v>
      </c>
      <c r="T16" t="n">
        <v>649321126.742</v>
      </c>
      <c r="U16" t="n">
        <v>689282497.262</v>
      </c>
      <c r="V16" t="n">
        <v>739489935.405</v>
      </c>
      <c r="W16" t="n">
        <v>711218303.951</v>
      </c>
      <c r="X16" t="n">
        <v>630961171.625</v>
      </c>
      <c r="Y16" t="n">
        <v>634932012.3279999</v>
      </c>
      <c r="Z16" t="n">
        <v>635037683.415</v>
      </c>
      <c r="AA16" t="n">
        <v>700886965.8049999</v>
      </c>
      <c r="AB16" t="n">
        <v>646922130.339</v>
      </c>
      <c r="AC16" t="n">
        <v>671078973.041</v>
      </c>
      <c r="AD16" t="n">
        <v>574561322.242</v>
      </c>
      <c r="AE16" t="n">
        <v>553531317.9119999</v>
      </c>
      <c r="AF16" t="n">
        <v>501411787.434</v>
      </c>
      <c r="AG16" t="n">
        <v>500262508.021</v>
      </c>
      <c r="AH16" t="n">
        <v>510335518.676</v>
      </c>
      <c r="AI16" t="n">
        <v>528959779.769</v>
      </c>
      <c r="AJ16" t="n">
        <v>523018240.769</v>
      </c>
      <c r="AK16" t="n">
        <v>536200136.264</v>
      </c>
      <c r="AL16" t="n">
        <v>527683170.685</v>
      </c>
      <c r="AM16" t="n">
        <v>524952761.146</v>
      </c>
      <c r="AN16" t="n">
        <v>518147812.678</v>
      </c>
      <c r="AO16" t="n">
        <v>546008790.464</v>
      </c>
      <c r="AP16" t="n">
        <v>530871612.359</v>
      </c>
      <c r="AQ16" t="n">
        <v>465123116.744</v>
      </c>
      <c r="AR16" t="n">
        <v>513959014.079</v>
      </c>
      <c r="AS16" t="n">
        <v>530735333.457</v>
      </c>
      <c r="AT16" t="n">
        <v>496987938.94</v>
      </c>
      <c r="AU16" t="n">
        <v>504648863.776</v>
      </c>
      <c r="AV16" t="n">
        <v>516379263.985</v>
      </c>
      <c r="AW16" t="n">
        <v>413275117.883</v>
      </c>
      <c r="AX16" t="n">
        <v>450655762.99</v>
      </c>
      <c r="AY16" t="n">
        <v>408058203.974</v>
      </c>
      <c r="AZ16" t="n">
        <v>401994807.853</v>
      </c>
      <c r="BA16" t="n">
        <v>403262367.636</v>
      </c>
      <c r="BB16" t="n">
        <v>398767995.625</v>
      </c>
      <c r="BC16" t="n">
        <v>422606048.383</v>
      </c>
      <c r="BD16" t="n">
        <v>339691088.438</v>
      </c>
      <c r="BE16" t="n">
        <v>333064219.936</v>
      </c>
      <c r="BF16" t="n">
        <v>280154688.216</v>
      </c>
      <c r="BG16" t="n">
        <v>288345520.471</v>
      </c>
      <c r="BH16" t="n">
        <v>252100621.472</v>
      </c>
      <c r="BI16" t="n">
        <v>256274629.922</v>
      </c>
      <c r="BJ16" t="n">
        <v>278115462.906</v>
      </c>
      <c r="BK16" t="n">
        <v>258347719.435</v>
      </c>
      <c r="BL16" t="n">
        <v>272155453.553</v>
      </c>
      <c r="BM16" t="n">
        <v>203374615.557</v>
      </c>
      <c r="BN16" t="n">
        <v>259017006.958</v>
      </c>
      <c r="BO16" t="n">
        <v>285903773.209</v>
      </c>
      <c r="BP16" t="n">
        <v>281836916.927</v>
      </c>
      <c r="BQ16" t="n">
        <v>247765109.678</v>
      </c>
      <c r="BR16" t="n">
        <v>321067785.721</v>
      </c>
      <c r="BS16" t="n">
        <v>307062014.775</v>
      </c>
      <c r="BT16" t="n">
        <v>395791832.837</v>
      </c>
    </row>
    <row r="17">
      <c r="A17" s="11" t="inlineStr">
        <is>
          <t>new_TE_noEEfix</t>
        </is>
      </c>
      <c r="B17" s="9" t="inlineStr">
        <is>
          <t>DIVERGED - negative SPPR in a source-model group</t>
        </is>
      </c>
      <c r="C17" t="n">
        <v>257138323.892</v>
      </c>
      <c r="D17" t="n">
        <v>301546464.154</v>
      </c>
      <c r="E17" t="n">
        <v>282944688.555</v>
      </c>
      <c r="F17" t="n">
        <v>308198823.761</v>
      </c>
      <c r="G17" t="n">
        <v>316861647.374</v>
      </c>
      <c r="H17" t="n">
        <v>300486110.585</v>
      </c>
      <c r="I17" t="n">
        <v>311496913.68</v>
      </c>
      <c r="J17" t="n">
        <v>349581320.327</v>
      </c>
      <c r="K17" t="n">
        <v>342466945.95</v>
      </c>
      <c r="L17" t="n">
        <v>368462652.345</v>
      </c>
      <c r="M17" t="n">
        <v>319690822.87</v>
      </c>
      <c r="N17" t="n">
        <v>346339732.083</v>
      </c>
      <c r="O17" t="n">
        <v>323164536.009</v>
      </c>
      <c r="P17" t="n">
        <v>390160958.923</v>
      </c>
      <c r="Q17" t="n">
        <v>428717206.674</v>
      </c>
      <c r="R17" t="n">
        <v>487313937.224</v>
      </c>
      <c r="S17" t="n">
        <v>598383166.801</v>
      </c>
      <c r="T17" t="n">
        <v>649321126.742</v>
      </c>
      <c r="U17" t="n">
        <v>689282497.262</v>
      </c>
      <c r="V17" t="n">
        <v>739489935.405</v>
      </c>
      <c r="W17" t="n">
        <v>711218303.951</v>
      </c>
      <c r="X17" t="n">
        <v>630961171.625</v>
      </c>
      <c r="Y17" t="n">
        <v>634932012.3279999</v>
      </c>
      <c r="Z17" t="n">
        <v>635037683.415</v>
      </c>
      <c r="AA17" t="n">
        <v>700886965.8049999</v>
      </c>
      <c r="AB17" t="n">
        <v>646922130.339</v>
      </c>
      <c r="AC17" t="n">
        <v>671078973.041</v>
      </c>
      <c r="AD17" t="n">
        <v>574561322.242</v>
      </c>
      <c r="AE17" t="n">
        <v>553531317.9119999</v>
      </c>
      <c r="AF17" t="n">
        <v>501411787.434</v>
      </c>
      <c r="AG17" t="n">
        <v>500262508.021</v>
      </c>
      <c r="AH17" t="n">
        <v>510335518.676</v>
      </c>
      <c r="AI17" t="n">
        <v>528959779.769</v>
      </c>
      <c r="AJ17" t="n">
        <v>523018240.769</v>
      </c>
      <c r="AK17" t="n">
        <v>536200136.264</v>
      </c>
      <c r="AL17" t="n">
        <v>527683170.685</v>
      </c>
      <c r="AM17" t="n">
        <v>524952761.146</v>
      </c>
      <c r="AN17" t="n">
        <v>518147812.678</v>
      </c>
      <c r="AO17" t="n">
        <v>546008790.464</v>
      </c>
      <c r="AP17" t="n">
        <v>530871612.359</v>
      </c>
      <c r="AQ17" t="n">
        <v>465123116.744</v>
      </c>
      <c r="AR17" t="n">
        <v>513959014.079</v>
      </c>
      <c r="AS17" t="n">
        <v>530735333.457</v>
      </c>
      <c r="AT17" t="n">
        <v>496987938.94</v>
      </c>
      <c r="AU17" t="n">
        <v>504648863.776</v>
      </c>
      <c r="AV17" t="n">
        <v>516379263.985</v>
      </c>
      <c r="AW17" t="n">
        <v>413275117.883</v>
      </c>
      <c r="AX17" t="n">
        <v>450655762.99</v>
      </c>
      <c r="AY17" t="n">
        <v>408058203.974</v>
      </c>
      <c r="AZ17" t="n">
        <v>401994807.853</v>
      </c>
      <c r="BA17" t="n">
        <v>403262367.636</v>
      </c>
      <c r="BB17" t="n">
        <v>398767995.625</v>
      </c>
      <c r="BC17" t="n">
        <v>422606048.383</v>
      </c>
      <c r="BD17" t="n">
        <v>339691088.438</v>
      </c>
      <c r="BE17" t="n">
        <v>333064219.936</v>
      </c>
      <c r="BF17" t="n">
        <v>280154688.216</v>
      </c>
      <c r="BG17" t="n">
        <v>288345520.471</v>
      </c>
      <c r="BH17" t="n">
        <v>252100621.472</v>
      </c>
      <c r="BI17" t="n">
        <v>256274629.922</v>
      </c>
      <c r="BJ17" t="n">
        <v>278115462.906</v>
      </c>
      <c r="BK17" t="n">
        <v>258347719.435</v>
      </c>
      <c r="BL17" t="n">
        <v>272155453.553</v>
      </c>
      <c r="BM17" t="n">
        <v>203374615.557</v>
      </c>
      <c r="BN17" t="n">
        <v>259017006.958</v>
      </c>
      <c r="BO17" t="n">
        <v>285903773.209</v>
      </c>
      <c r="BP17" t="n">
        <v>281836916.927</v>
      </c>
      <c r="BQ17" t="n">
        <v>247765109.678</v>
      </c>
      <c r="BR17" t="n">
        <v>321067785.721</v>
      </c>
      <c r="BS17" t="n">
        <v>307062014.775</v>
      </c>
      <c r="BT17" t="n">
        <v>395791832.837</v>
      </c>
    </row>
    <row r="18">
      <c r="A18" s="11" t="inlineStr">
        <is>
          <t>new_TE_EEfix</t>
        </is>
      </c>
      <c r="B18" s="9" t="inlineStr">
        <is>
          <t>FAILED diagnostic for this SPPR_new configuration</t>
        </is>
      </c>
      <c r="C18" t="n">
        <v>257138323.892</v>
      </c>
      <c r="D18" t="n">
        <v>301546464.154</v>
      </c>
      <c r="E18" t="n">
        <v>282944688.555</v>
      </c>
      <c r="F18" t="n">
        <v>308198823.761</v>
      </c>
      <c r="G18" t="n">
        <v>316861647.374</v>
      </c>
      <c r="H18" t="n">
        <v>300486110.585</v>
      </c>
      <c r="I18" t="n">
        <v>311496913.68</v>
      </c>
      <c r="J18" t="n">
        <v>349581320.327</v>
      </c>
      <c r="K18" t="n">
        <v>342466945.95</v>
      </c>
      <c r="L18" t="n">
        <v>368462652.345</v>
      </c>
      <c r="M18" t="n">
        <v>319690822.87</v>
      </c>
      <c r="N18" t="n">
        <v>346339732.083</v>
      </c>
      <c r="O18" t="n">
        <v>323164536.009</v>
      </c>
      <c r="P18" t="n">
        <v>390160958.923</v>
      </c>
      <c r="Q18" t="n">
        <v>428717206.674</v>
      </c>
      <c r="R18" t="n">
        <v>487313937.224</v>
      </c>
      <c r="S18" t="n">
        <v>598383166.801</v>
      </c>
      <c r="T18" t="n">
        <v>649321126.742</v>
      </c>
      <c r="U18" t="n">
        <v>689282497.262</v>
      </c>
      <c r="V18" t="n">
        <v>739489935.405</v>
      </c>
      <c r="W18" t="n">
        <v>711218303.951</v>
      </c>
      <c r="X18" t="n">
        <v>630961171.625</v>
      </c>
      <c r="Y18" t="n">
        <v>634932012.3279999</v>
      </c>
      <c r="Z18" t="n">
        <v>635037683.415</v>
      </c>
      <c r="AA18" t="n">
        <v>700886965.8049999</v>
      </c>
      <c r="AB18" t="n">
        <v>646922130.339</v>
      </c>
      <c r="AC18" t="n">
        <v>671078973.041</v>
      </c>
      <c r="AD18" t="n">
        <v>574561322.242</v>
      </c>
      <c r="AE18" t="n">
        <v>553531317.9119999</v>
      </c>
      <c r="AF18" t="n">
        <v>501411787.434</v>
      </c>
      <c r="AG18" t="n">
        <v>500262508.021</v>
      </c>
      <c r="AH18" t="n">
        <v>510335518.676</v>
      </c>
      <c r="AI18" t="n">
        <v>528959779.769</v>
      </c>
      <c r="AJ18" t="n">
        <v>523018240.769</v>
      </c>
      <c r="AK18" t="n">
        <v>536200136.264</v>
      </c>
      <c r="AL18" t="n">
        <v>527683170.685</v>
      </c>
      <c r="AM18" t="n">
        <v>524952761.146</v>
      </c>
      <c r="AN18" t="n">
        <v>518147812.678</v>
      </c>
      <c r="AO18" t="n">
        <v>546008790.464</v>
      </c>
      <c r="AP18" t="n">
        <v>530871612.359</v>
      </c>
      <c r="AQ18" t="n">
        <v>465123116.744</v>
      </c>
      <c r="AR18" t="n">
        <v>513959014.079</v>
      </c>
      <c r="AS18" t="n">
        <v>530735333.457</v>
      </c>
      <c r="AT18" t="n">
        <v>496987938.94</v>
      </c>
      <c r="AU18" t="n">
        <v>504648863.776</v>
      </c>
      <c r="AV18" t="n">
        <v>516379263.985</v>
      </c>
      <c r="AW18" t="n">
        <v>413275117.883</v>
      </c>
      <c r="AX18" t="n">
        <v>450655762.99</v>
      </c>
      <c r="AY18" t="n">
        <v>408058203.974</v>
      </c>
      <c r="AZ18" t="n">
        <v>401994807.853</v>
      </c>
      <c r="BA18" t="n">
        <v>403262367.636</v>
      </c>
      <c r="BB18" t="n">
        <v>398767995.625</v>
      </c>
      <c r="BC18" t="n">
        <v>422606048.383</v>
      </c>
      <c r="BD18" t="n">
        <v>339691088.438</v>
      </c>
      <c r="BE18" t="n">
        <v>333064219.936</v>
      </c>
      <c r="BF18" t="n">
        <v>280154688.216</v>
      </c>
      <c r="BG18" t="n">
        <v>288345520.471</v>
      </c>
      <c r="BH18" t="n">
        <v>252100621.472</v>
      </c>
      <c r="BI18" t="n">
        <v>256274629.922</v>
      </c>
      <c r="BJ18" t="n">
        <v>278115462.906</v>
      </c>
      <c r="BK18" t="n">
        <v>258347719.435</v>
      </c>
      <c r="BL18" t="n">
        <v>272155453.553</v>
      </c>
      <c r="BM18" t="n">
        <v>203374615.557</v>
      </c>
      <c r="BN18" t="n">
        <v>259017006.958</v>
      </c>
      <c r="BO18" t="n">
        <v>285903773.209</v>
      </c>
      <c r="BP18" t="n">
        <v>281836916.927</v>
      </c>
      <c r="BQ18" t="n">
        <v>247765109.678</v>
      </c>
      <c r="BR18" t="n">
        <v>321067785.721</v>
      </c>
      <c r="BS18" t="n">
        <v>307062014.775</v>
      </c>
      <c r="BT18" t="n">
        <v>395791832.837</v>
      </c>
    </row>
    <row r="19">
      <c r="A19" t="inlineStr">
        <is>
          <t>new_GE</t>
        </is>
      </c>
      <c r="B19" t="inlineStr">
        <is>
          <t>ok</t>
        </is>
      </c>
      <c r="C19" t="n">
        <v>151566552.234</v>
      </c>
      <c r="D19" t="n">
        <v>176691400.442</v>
      </c>
      <c r="E19" t="n">
        <v>166519193.914</v>
      </c>
      <c r="F19" t="n">
        <v>184053945.355</v>
      </c>
      <c r="G19" t="n">
        <v>187351099.706</v>
      </c>
      <c r="H19" t="n">
        <v>175670669.592</v>
      </c>
      <c r="I19" t="n">
        <v>183477786.336</v>
      </c>
      <c r="J19" t="n">
        <v>208751256.727</v>
      </c>
      <c r="K19" t="n">
        <v>202068252.804</v>
      </c>
      <c r="L19" t="n">
        <v>220207654.402</v>
      </c>
      <c r="M19" t="n">
        <v>187534275.206</v>
      </c>
      <c r="N19" t="n">
        <v>202120494.646</v>
      </c>
      <c r="O19" t="n">
        <v>193785901.04</v>
      </c>
      <c r="P19" t="n">
        <v>234186191.374</v>
      </c>
      <c r="Q19" t="n">
        <v>265212259.925</v>
      </c>
      <c r="R19" t="n">
        <v>298347801.307</v>
      </c>
      <c r="S19" t="n">
        <v>372909177.693</v>
      </c>
      <c r="T19" t="n">
        <v>403616134.149</v>
      </c>
      <c r="U19" t="n">
        <v>427161440.989</v>
      </c>
      <c r="V19" t="n">
        <v>461753565.754</v>
      </c>
      <c r="W19" t="n">
        <v>449606768.061</v>
      </c>
      <c r="X19" t="n">
        <v>392153269.133</v>
      </c>
      <c r="Y19" t="n">
        <v>388592764.093</v>
      </c>
      <c r="Z19" t="n">
        <v>394247099.733</v>
      </c>
      <c r="AA19" t="n">
        <v>437411318.194</v>
      </c>
      <c r="AB19" t="n">
        <v>402561456.237</v>
      </c>
      <c r="AC19" t="n">
        <v>422884844.256</v>
      </c>
      <c r="AD19" t="n">
        <v>362133994.223</v>
      </c>
      <c r="AE19" t="n">
        <v>346520310.309</v>
      </c>
      <c r="AF19" t="n">
        <v>313467962.048</v>
      </c>
      <c r="AG19" t="n">
        <v>316761860.322</v>
      </c>
      <c r="AH19" t="n">
        <v>322554433.862</v>
      </c>
      <c r="AI19" t="n">
        <v>338660830.638</v>
      </c>
      <c r="AJ19" t="n">
        <v>333227325.131</v>
      </c>
      <c r="AK19" t="n">
        <v>342499595.997</v>
      </c>
      <c r="AL19" t="n">
        <v>339027514.752</v>
      </c>
      <c r="AM19" t="n">
        <v>341202705.342</v>
      </c>
      <c r="AN19" t="n">
        <v>333361461.854</v>
      </c>
      <c r="AO19" t="n">
        <v>353887979.581</v>
      </c>
      <c r="AP19" t="n">
        <v>346607349.131</v>
      </c>
      <c r="AQ19" t="n">
        <v>299887654.983</v>
      </c>
      <c r="AR19" t="n">
        <v>334486789.456</v>
      </c>
      <c r="AS19" t="n">
        <v>346394761.864</v>
      </c>
      <c r="AT19" t="n">
        <v>324148873.005</v>
      </c>
      <c r="AU19" t="n">
        <v>332065344.173</v>
      </c>
      <c r="AV19" t="n">
        <v>338178774.506</v>
      </c>
      <c r="AW19" t="n">
        <v>268809954.932</v>
      </c>
      <c r="AX19" t="n">
        <v>295597641.822</v>
      </c>
      <c r="AY19" t="n">
        <v>267601797.751</v>
      </c>
      <c r="AZ19" t="n">
        <v>264354425.185</v>
      </c>
      <c r="BA19" t="n">
        <v>265625746.872</v>
      </c>
      <c r="BB19" t="n">
        <v>262537344.405</v>
      </c>
      <c r="BC19" t="n">
        <v>278661994.955</v>
      </c>
      <c r="BD19" t="n">
        <v>223124304.665</v>
      </c>
      <c r="BE19" t="n">
        <v>219512610.593</v>
      </c>
      <c r="BF19" t="n">
        <v>184672877.703</v>
      </c>
      <c r="BG19" t="n">
        <v>190101860.909</v>
      </c>
      <c r="BH19" t="n">
        <v>165756074.643</v>
      </c>
      <c r="BI19" t="n">
        <v>168123464.41</v>
      </c>
      <c r="BJ19" t="n">
        <v>183184634.922</v>
      </c>
      <c r="BK19" t="n">
        <v>171348108.151</v>
      </c>
      <c r="BL19" t="n">
        <v>180050586.281</v>
      </c>
      <c r="BM19" t="n">
        <v>133413724.409</v>
      </c>
      <c r="BN19" t="n">
        <v>171578865.519</v>
      </c>
      <c r="BO19" t="n">
        <v>188810130.569</v>
      </c>
      <c r="BP19" t="n">
        <v>186530306.323</v>
      </c>
      <c r="BQ19" t="n">
        <v>163055495.519</v>
      </c>
      <c r="BR19" t="n">
        <v>212723339.162</v>
      </c>
      <c r="BS19" t="n">
        <v>201855536.341</v>
      </c>
      <c r="BT19" t="n">
        <v>257586341.922</v>
      </c>
    </row>
    <row r="20">
      <c r="A20" t="inlineStr">
        <is>
          <t>new_WithEgestion</t>
        </is>
      </c>
      <c r="B20" t="inlineStr">
        <is>
          <t>ok</t>
        </is>
      </c>
      <c r="C20" t="n">
        <v>62441553.301</v>
      </c>
      <c r="D20" t="n">
        <v>72479182.626</v>
      </c>
      <c r="E20" t="n">
        <v>68147216.98899999</v>
      </c>
      <c r="F20" t="n">
        <v>76081333.263</v>
      </c>
      <c r="G20" t="n">
        <v>76562770.265</v>
      </c>
      <c r="H20" t="n">
        <v>71851264.977</v>
      </c>
      <c r="I20" t="n">
        <v>75337872.484</v>
      </c>
      <c r="J20" t="n">
        <v>85258566.714</v>
      </c>
      <c r="K20" t="n">
        <v>82405119.455</v>
      </c>
      <c r="L20" t="n">
        <v>90032926.37</v>
      </c>
      <c r="M20" t="n">
        <v>76980826.69400001</v>
      </c>
      <c r="N20" t="n">
        <v>82141457.213</v>
      </c>
      <c r="O20" t="n">
        <v>79956965.31200001</v>
      </c>
      <c r="P20" t="n">
        <v>96431435.20200001</v>
      </c>
      <c r="Q20" t="n">
        <v>109430906.018</v>
      </c>
      <c r="R20" t="n">
        <v>122039949.944</v>
      </c>
      <c r="S20" t="n">
        <v>151337909.874</v>
      </c>
      <c r="T20" t="n">
        <v>163475616.323</v>
      </c>
      <c r="U20" t="n">
        <v>172925208.444</v>
      </c>
      <c r="V20" t="n">
        <v>187716639.414</v>
      </c>
      <c r="W20" t="n">
        <v>183750719.36</v>
      </c>
      <c r="X20" t="n">
        <v>158950323.302</v>
      </c>
      <c r="Y20" t="n">
        <v>156532907.219</v>
      </c>
      <c r="Z20" t="n">
        <v>159842549.324</v>
      </c>
      <c r="AA20" t="n">
        <v>176703027.714</v>
      </c>
      <c r="AB20" t="n">
        <v>163422046.518</v>
      </c>
      <c r="AC20" t="n">
        <v>171414747.87</v>
      </c>
      <c r="AD20" t="n">
        <v>147678905.718</v>
      </c>
      <c r="AE20" t="n">
        <v>140409340.891</v>
      </c>
      <c r="AF20" t="n">
        <v>127110635.129</v>
      </c>
      <c r="AG20" t="n">
        <v>129636639.678</v>
      </c>
      <c r="AH20" t="n">
        <v>131536935.447</v>
      </c>
      <c r="AI20" t="n">
        <v>138788455.358</v>
      </c>
      <c r="AJ20" t="n">
        <v>136381963.095</v>
      </c>
      <c r="AK20" t="n">
        <v>139988764.745</v>
      </c>
      <c r="AL20" t="n">
        <v>139166606.768</v>
      </c>
      <c r="AM20" t="n">
        <v>141039777.513</v>
      </c>
      <c r="AN20" t="n">
        <v>136531337.453</v>
      </c>
      <c r="AO20" t="n">
        <v>145614112.736</v>
      </c>
      <c r="AP20" t="n">
        <v>143569592.145</v>
      </c>
      <c r="AQ20" t="n">
        <v>123487551.898</v>
      </c>
      <c r="AR20" t="n">
        <v>138001231.01</v>
      </c>
      <c r="AS20" t="n">
        <v>143184192.723</v>
      </c>
      <c r="AT20" t="n">
        <v>133024352.895</v>
      </c>
      <c r="AU20" t="n">
        <v>137138036.475</v>
      </c>
      <c r="AV20" t="n">
        <v>140024324.458</v>
      </c>
      <c r="AW20" t="n">
        <v>110227485.812</v>
      </c>
      <c r="AX20" t="n">
        <v>121808288.582</v>
      </c>
      <c r="AY20" t="n">
        <v>110516742.371</v>
      </c>
      <c r="AZ20" t="n">
        <v>109014045.734</v>
      </c>
      <c r="BA20" t="n">
        <v>109783579.231</v>
      </c>
      <c r="BB20" t="n">
        <v>108647731.877</v>
      </c>
      <c r="BC20" t="n">
        <v>115019413.449</v>
      </c>
      <c r="BD20" t="n">
        <v>91804575.35699999</v>
      </c>
      <c r="BE20" t="n">
        <v>90646114.384</v>
      </c>
      <c r="BF20" t="n">
        <v>76239885.904</v>
      </c>
      <c r="BG20" t="n">
        <v>78346248.616</v>
      </c>
      <c r="BH20" t="n">
        <v>67975167.09</v>
      </c>
      <c r="BI20" t="n">
        <v>68737232.92900001</v>
      </c>
      <c r="BJ20" t="n">
        <v>75135736.373</v>
      </c>
      <c r="BK20" t="n">
        <v>70852506.182</v>
      </c>
      <c r="BL20" t="n">
        <v>74101564.476</v>
      </c>
      <c r="BM20" t="n">
        <v>54925585.518</v>
      </c>
      <c r="BN20" t="n">
        <v>71022601.067</v>
      </c>
      <c r="BO20" t="n">
        <v>77513216.594</v>
      </c>
      <c r="BP20" t="n">
        <v>76671816.236</v>
      </c>
      <c r="BQ20" t="n">
        <v>66666559.45</v>
      </c>
      <c r="BR20" t="n">
        <v>87053250.91</v>
      </c>
      <c r="BS20" t="n">
        <v>82553820.78</v>
      </c>
      <c r="BT20" t="n">
        <v>104009178.907</v>
      </c>
    </row>
    <row r="21">
      <c r="A21" s="11" t="inlineStr">
        <is>
          <t>sym_TE_asPP</t>
        </is>
      </c>
      <c r="B21" s="9" t="inlineStr">
        <is>
          <t>DIVERGED - negative SPPR in a source-model group</t>
        </is>
      </c>
      <c r="C21" t="n">
        <v>257138323.892</v>
      </c>
      <c r="D21" t="n">
        <v>301546464.154</v>
      </c>
      <c r="E21" t="n">
        <v>282944688.555</v>
      </c>
      <c r="F21" t="n">
        <v>308198823.761</v>
      </c>
      <c r="G21" t="n">
        <v>316861647.374</v>
      </c>
      <c r="H21" t="n">
        <v>300486110.585</v>
      </c>
      <c r="I21" t="n">
        <v>311496913.68</v>
      </c>
      <c r="J21" t="n">
        <v>349581320.327</v>
      </c>
      <c r="K21" t="n">
        <v>342466945.95</v>
      </c>
      <c r="L21" t="n">
        <v>368462652.345</v>
      </c>
      <c r="M21" t="n">
        <v>319690822.87</v>
      </c>
      <c r="N21" t="n">
        <v>346339732.083</v>
      </c>
      <c r="O21" t="n">
        <v>323164536.009</v>
      </c>
      <c r="P21" t="n">
        <v>390160958.923</v>
      </c>
      <c r="Q21" t="n">
        <v>428717206.674</v>
      </c>
      <c r="R21" t="n">
        <v>487313937.224</v>
      </c>
      <c r="S21" t="n">
        <v>598383166.801</v>
      </c>
      <c r="T21" t="n">
        <v>649321126.742</v>
      </c>
      <c r="U21" t="n">
        <v>689282497.262</v>
      </c>
      <c r="V21" t="n">
        <v>739489935.405</v>
      </c>
      <c r="W21" t="n">
        <v>711218303.951</v>
      </c>
      <c r="X21" t="n">
        <v>630961171.625</v>
      </c>
      <c r="Y21" t="n">
        <v>634932012.3279999</v>
      </c>
      <c r="Z21" t="n">
        <v>635037683.415</v>
      </c>
      <c r="AA21" t="n">
        <v>700886965.8049999</v>
      </c>
      <c r="AB21" t="n">
        <v>646922130.339</v>
      </c>
      <c r="AC21" t="n">
        <v>671078973.041</v>
      </c>
      <c r="AD21" t="n">
        <v>574561322.242</v>
      </c>
      <c r="AE21" t="n">
        <v>553531317.9119999</v>
      </c>
      <c r="AF21" t="n">
        <v>501411787.434</v>
      </c>
      <c r="AG21" t="n">
        <v>500262508.021</v>
      </c>
      <c r="AH21" t="n">
        <v>510335518.676</v>
      </c>
      <c r="AI21" t="n">
        <v>528959779.769</v>
      </c>
      <c r="AJ21" t="n">
        <v>523018240.769</v>
      </c>
      <c r="AK21" t="n">
        <v>536200136.264</v>
      </c>
      <c r="AL21" t="n">
        <v>527683170.685</v>
      </c>
      <c r="AM21" t="n">
        <v>524952761.146</v>
      </c>
      <c r="AN21" t="n">
        <v>518147812.678</v>
      </c>
      <c r="AO21" t="n">
        <v>546008790.464</v>
      </c>
      <c r="AP21" t="n">
        <v>530871612.359</v>
      </c>
      <c r="AQ21" t="n">
        <v>465123116.744</v>
      </c>
      <c r="AR21" t="n">
        <v>513959014.079</v>
      </c>
      <c r="AS21" t="n">
        <v>530735333.457</v>
      </c>
      <c r="AT21" t="n">
        <v>496987938.94</v>
      </c>
      <c r="AU21" t="n">
        <v>504648863.776</v>
      </c>
      <c r="AV21" t="n">
        <v>516379263.985</v>
      </c>
      <c r="AW21" t="n">
        <v>413275117.883</v>
      </c>
      <c r="AX21" t="n">
        <v>450655762.99</v>
      </c>
      <c r="AY21" t="n">
        <v>408058203.974</v>
      </c>
      <c r="AZ21" t="n">
        <v>401994807.853</v>
      </c>
      <c r="BA21" t="n">
        <v>403262367.636</v>
      </c>
      <c r="BB21" t="n">
        <v>398767995.625</v>
      </c>
      <c r="BC21" t="n">
        <v>422606048.383</v>
      </c>
      <c r="BD21" t="n">
        <v>339691088.438</v>
      </c>
      <c r="BE21" t="n">
        <v>333064219.936</v>
      </c>
      <c r="BF21" t="n">
        <v>280154688.216</v>
      </c>
      <c r="BG21" t="n">
        <v>288345520.471</v>
      </c>
      <c r="BH21" t="n">
        <v>252100621.472</v>
      </c>
      <c r="BI21" t="n">
        <v>256274629.922</v>
      </c>
      <c r="BJ21" t="n">
        <v>278115462.906</v>
      </c>
      <c r="BK21" t="n">
        <v>258347719.435</v>
      </c>
      <c r="BL21" t="n">
        <v>272155453.553</v>
      </c>
      <c r="BM21" t="n">
        <v>203374615.557</v>
      </c>
      <c r="BN21" t="n">
        <v>259017006.958</v>
      </c>
      <c r="BO21" t="n">
        <v>285903773.209</v>
      </c>
      <c r="BP21" t="n">
        <v>281836916.927</v>
      </c>
      <c r="BQ21" t="n">
        <v>247765109.678</v>
      </c>
      <c r="BR21" t="n">
        <v>321067785.721</v>
      </c>
      <c r="BS21" t="n">
        <v>307062014.775</v>
      </c>
      <c r="BT21" t="n">
        <v>395791832.837</v>
      </c>
    </row>
    <row r="22">
      <c r="A22" s="11" t="inlineStr">
        <is>
          <t>sym_TE_asDC</t>
        </is>
      </c>
      <c r="B22" s="9" t="inlineStr">
        <is>
          <t>DIVERGED - negative SPPR in a source-model group</t>
        </is>
      </c>
      <c r="C22" t="n">
        <v>257138323.892</v>
      </c>
      <c r="D22" t="n">
        <v>301546464.154</v>
      </c>
      <c r="E22" t="n">
        <v>282944688.555</v>
      </c>
      <c r="F22" t="n">
        <v>308198823.761</v>
      </c>
      <c r="G22" t="n">
        <v>316861647.374</v>
      </c>
      <c r="H22" t="n">
        <v>300486110.585</v>
      </c>
      <c r="I22" t="n">
        <v>311496913.68</v>
      </c>
      <c r="J22" t="n">
        <v>349581320.327</v>
      </c>
      <c r="K22" t="n">
        <v>342466945.95</v>
      </c>
      <c r="L22" t="n">
        <v>368462652.345</v>
      </c>
      <c r="M22" t="n">
        <v>319690822.87</v>
      </c>
      <c r="N22" t="n">
        <v>346339732.083</v>
      </c>
      <c r="O22" t="n">
        <v>323164536.009</v>
      </c>
      <c r="P22" t="n">
        <v>390160958.923</v>
      </c>
      <c r="Q22" t="n">
        <v>428717206.674</v>
      </c>
      <c r="R22" t="n">
        <v>487313937.224</v>
      </c>
      <c r="S22" t="n">
        <v>598383166.801</v>
      </c>
      <c r="T22" t="n">
        <v>649321126.742</v>
      </c>
      <c r="U22" t="n">
        <v>689282497.262</v>
      </c>
      <c r="V22" t="n">
        <v>739489935.405</v>
      </c>
      <c r="W22" t="n">
        <v>711218303.951</v>
      </c>
      <c r="X22" t="n">
        <v>630961171.625</v>
      </c>
      <c r="Y22" t="n">
        <v>634932012.3279999</v>
      </c>
      <c r="Z22" t="n">
        <v>635037683.415</v>
      </c>
      <c r="AA22" t="n">
        <v>700886965.8049999</v>
      </c>
      <c r="AB22" t="n">
        <v>646922130.339</v>
      </c>
      <c r="AC22" t="n">
        <v>671078973.041</v>
      </c>
      <c r="AD22" t="n">
        <v>574561322.242</v>
      </c>
      <c r="AE22" t="n">
        <v>553531317.9119999</v>
      </c>
      <c r="AF22" t="n">
        <v>501411787.434</v>
      </c>
      <c r="AG22" t="n">
        <v>500262508.021</v>
      </c>
      <c r="AH22" t="n">
        <v>510335518.676</v>
      </c>
      <c r="AI22" t="n">
        <v>528959779.769</v>
      </c>
      <c r="AJ22" t="n">
        <v>523018240.769</v>
      </c>
      <c r="AK22" t="n">
        <v>536200136.264</v>
      </c>
      <c r="AL22" t="n">
        <v>527683170.685</v>
      </c>
      <c r="AM22" t="n">
        <v>524952761.146</v>
      </c>
      <c r="AN22" t="n">
        <v>518147812.678</v>
      </c>
      <c r="AO22" t="n">
        <v>546008790.464</v>
      </c>
      <c r="AP22" t="n">
        <v>530871612.359</v>
      </c>
      <c r="AQ22" t="n">
        <v>465123116.744</v>
      </c>
      <c r="AR22" t="n">
        <v>513959014.079</v>
      </c>
      <c r="AS22" t="n">
        <v>530735333.457</v>
      </c>
      <c r="AT22" t="n">
        <v>496987938.94</v>
      </c>
      <c r="AU22" t="n">
        <v>504648863.776</v>
      </c>
      <c r="AV22" t="n">
        <v>516379263.985</v>
      </c>
      <c r="AW22" t="n">
        <v>413275117.883</v>
      </c>
      <c r="AX22" t="n">
        <v>450655762.99</v>
      </c>
      <c r="AY22" t="n">
        <v>408058203.974</v>
      </c>
      <c r="AZ22" t="n">
        <v>401994807.853</v>
      </c>
      <c r="BA22" t="n">
        <v>403262367.636</v>
      </c>
      <c r="BB22" t="n">
        <v>398767995.625</v>
      </c>
      <c r="BC22" t="n">
        <v>422606048.383</v>
      </c>
      <c r="BD22" t="n">
        <v>339691088.438</v>
      </c>
      <c r="BE22" t="n">
        <v>333064219.936</v>
      </c>
      <c r="BF22" t="n">
        <v>280154688.216</v>
      </c>
      <c r="BG22" t="n">
        <v>288345520.471</v>
      </c>
      <c r="BH22" t="n">
        <v>252100621.472</v>
      </c>
      <c r="BI22" t="n">
        <v>256274629.922</v>
      </c>
      <c r="BJ22" t="n">
        <v>278115462.906</v>
      </c>
      <c r="BK22" t="n">
        <v>258347719.435</v>
      </c>
      <c r="BL22" t="n">
        <v>272155453.553</v>
      </c>
      <c r="BM22" t="n">
        <v>203374615.557</v>
      </c>
      <c r="BN22" t="n">
        <v>259017006.958</v>
      </c>
      <c r="BO22" t="n">
        <v>285903773.209</v>
      </c>
      <c r="BP22" t="n">
        <v>281836916.927</v>
      </c>
      <c r="BQ22" t="n">
        <v>247765109.678</v>
      </c>
      <c r="BR22" t="n">
        <v>321067785.721</v>
      </c>
      <c r="BS22" t="n">
        <v>307062014.775</v>
      </c>
      <c r="BT22" t="n">
        <v>395791832.837</v>
      </c>
    </row>
    <row r="23">
      <c r="A23" t="inlineStr">
        <is>
          <t>sym_GE_asPP</t>
        </is>
      </c>
      <c r="B23" t="inlineStr">
        <is>
          <t>ok</t>
        </is>
      </c>
      <c r="C23" t="n">
        <v>151566552.234</v>
      </c>
      <c r="D23" t="n">
        <v>176691400.442</v>
      </c>
      <c r="E23" t="n">
        <v>166519193.914</v>
      </c>
      <c r="F23" t="n">
        <v>184053945.355</v>
      </c>
      <c r="G23" t="n">
        <v>187351099.706</v>
      </c>
      <c r="H23" t="n">
        <v>175670669.592</v>
      </c>
      <c r="I23" t="n">
        <v>183477786.336</v>
      </c>
      <c r="J23" t="n">
        <v>208751256.727</v>
      </c>
      <c r="K23" t="n">
        <v>202068252.804</v>
      </c>
      <c r="L23" t="n">
        <v>220207654.402</v>
      </c>
      <c r="M23" t="n">
        <v>187534275.206</v>
      </c>
      <c r="N23" t="n">
        <v>202120494.646</v>
      </c>
      <c r="O23" t="n">
        <v>193785901.04</v>
      </c>
      <c r="P23" t="n">
        <v>234186191.374</v>
      </c>
      <c r="Q23" t="n">
        <v>265212259.925</v>
      </c>
      <c r="R23" t="n">
        <v>298347801.307</v>
      </c>
      <c r="S23" t="n">
        <v>372909177.693</v>
      </c>
      <c r="T23" t="n">
        <v>403616134.149</v>
      </c>
      <c r="U23" t="n">
        <v>427161440.989</v>
      </c>
      <c r="V23" t="n">
        <v>461753565.754</v>
      </c>
      <c r="W23" t="n">
        <v>449606768.061</v>
      </c>
      <c r="X23" t="n">
        <v>392153269.133</v>
      </c>
      <c r="Y23" t="n">
        <v>388592764.093</v>
      </c>
      <c r="Z23" t="n">
        <v>394247099.733</v>
      </c>
      <c r="AA23" t="n">
        <v>437411318.194</v>
      </c>
      <c r="AB23" t="n">
        <v>402561456.237</v>
      </c>
      <c r="AC23" t="n">
        <v>422884844.256</v>
      </c>
      <c r="AD23" t="n">
        <v>362133994.223</v>
      </c>
      <c r="AE23" t="n">
        <v>346520310.309</v>
      </c>
      <c r="AF23" t="n">
        <v>313467962.048</v>
      </c>
      <c r="AG23" t="n">
        <v>316761860.322</v>
      </c>
      <c r="AH23" t="n">
        <v>322554433.862</v>
      </c>
      <c r="AI23" t="n">
        <v>338660830.638</v>
      </c>
      <c r="AJ23" t="n">
        <v>333227325.131</v>
      </c>
      <c r="AK23" t="n">
        <v>342499595.997</v>
      </c>
      <c r="AL23" t="n">
        <v>339027514.752</v>
      </c>
      <c r="AM23" t="n">
        <v>341202705.342</v>
      </c>
      <c r="AN23" t="n">
        <v>333361461.854</v>
      </c>
      <c r="AO23" t="n">
        <v>353887979.581</v>
      </c>
      <c r="AP23" t="n">
        <v>346607349.131</v>
      </c>
      <c r="AQ23" t="n">
        <v>299887654.983</v>
      </c>
      <c r="AR23" t="n">
        <v>334486789.456</v>
      </c>
      <c r="AS23" t="n">
        <v>346394761.864</v>
      </c>
      <c r="AT23" t="n">
        <v>324148873.005</v>
      </c>
      <c r="AU23" t="n">
        <v>332065344.173</v>
      </c>
      <c r="AV23" t="n">
        <v>338178774.506</v>
      </c>
      <c r="AW23" t="n">
        <v>268809954.932</v>
      </c>
      <c r="AX23" t="n">
        <v>295597641.822</v>
      </c>
      <c r="AY23" t="n">
        <v>267601797.751</v>
      </c>
      <c r="AZ23" t="n">
        <v>264354425.185</v>
      </c>
      <c r="BA23" t="n">
        <v>265625746.872</v>
      </c>
      <c r="BB23" t="n">
        <v>262537344.405</v>
      </c>
      <c r="BC23" t="n">
        <v>278661994.955</v>
      </c>
      <c r="BD23" t="n">
        <v>223124304.665</v>
      </c>
      <c r="BE23" t="n">
        <v>219512610.593</v>
      </c>
      <c r="BF23" t="n">
        <v>184672877.703</v>
      </c>
      <c r="BG23" t="n">
        <v>190101860.909</v>
      </c>
      <c r="BH23" t="n">
        <v>165756074.643</v>
      </c>
      <c r="BI23" t="n">
        <v>168123464.41</v>
      </c>
      <c r="BJ23" t="n">
        <v>183184634.922</v>
      </c>
      <c r="BK23" t="n">
        <v>171348108.151</v>
      </c>
      <c r="BL23" t="n">
        <v>180050586.281</v>
      </c>
      <c r="BM23" t="n">
        <v>133413724.409</v>
      </c>
      <c r="BN23" t="n">
        <v>171578865.519</v>
      </c>
      <c r="BO23" t="n">
        <v>188810130.569</v>
      </c>
      <c r="BP23" t="n">
        <v>186530306.323</v>
      </c>
      <c r="BQ23" t="n">
        <v>163055495.519</v>
      </c>
      <c r="BR23" t="n">
        <v>212723339.162</v>
      </c>
      <c r="BS23" t="n">
        <v>201855536.341</v>
      </c>
      <c r="BT23" t="n">
        <v>257586341.922</v>
      </c>
    </row>
    <row r="24">
      <c r="A24" t="inlineStr">
        <is>
          <t>sym_GE_asDC</t>
        </is>
      </c>
      <c r="B24" t="inlineStr">
        <is>
          <t>ok</t>
        </is>
      </c>
      <c r="C24" t="n">
        <v>151566552.234</v>
      </c>
      <c r="D24" t="n">
        <v>176691400.442</v>
      </c>
      <c r="E24" t="n">
        <v>166519193.914</v>
      </c>
      <c r="F24" t="n">
        <v>184053945.355</v>
      </c>
      <c r="G24" t="n">
        <v>187351099.706</v>
      </c>
      <c r="H24" t="n">
        <v>175670669.592</v>
      </c>
      <c r="I24" t="n">
        <v>183477786.336</v>
      </c>
      <c r="J24" t="n">
        <v>208751256.727</v>
      </c>
      <c r="K24" t="n">
        <v>202068252.804</v>
      </c>
      <c r="L24" t="n">
        <v>220207654.402</v>
      </c>
      <c r="M24" t="n">
        <v>187534275.206</v>
      </c>
      <c r="N24" t="n">
        <v>202120494.646</v>
      </c>
      <c r="O24" t="n">
        <v>193785901.04</v>
      </c>
      <c r="P24" t="n">
        <v>234186191.374</v>
      </c>
      <c r="Q24" t="n">
        <v>265212259.925</v>
      </c>
      <c r="R24" t="n">
        <v>298347801.307</v>
      </c>
      <c r="S24" t="n">
        <v>372909177.693</v>
      </c>
      <c r="T24" t="n">
        <v>403616134.149</v>
      </c>
      <c r="U24" t="n">
        <v>427161440.989</v>
      </c>
      <c r="V24" t="n">
        <v>461753565.754</v>
      </c>
      <c r="W24" t="n">
        <v>449606768.061</v>
      </c>
      <c r="X24" t="n">
        <v>392153269.133</v>
      </c>
      <c r="Y24" t="n">
        <v>388592764.093</v>
      </c>
      <c r="Z24" t="n">
        <v>394247099.733</v>
      </c>
      <c r="AA24" t="n">
        <v>437411318.194</v>
      </c>
      <c r="AB24" t="n">
        <v>402561456.237</v>
      </c>
      <c r="AC24" t="n">
        <v>422884844.256</v>
      </c>
      <c r="AD24" t="n">
        <v>362133994.223</v>
      </c>
      <c r="AE24" t="n">
        <v>346520310.309</v>
      </c>
      <c r="AF24" t="n">
        <v>313467962.048</v>
      </c>
      <c r="AG24" t="n">
        <v>316761860.322</v>
      </c>
      <c r="AH24" t="n">
        <v>322554433.862</v>
      </c>
      <c r="AI24" t="n">
        <v>338660830.638</v>
      </c>
      <c r="AJ24" t="n">
        <v>333227325.131</v>
      </c>
      <c r="AK24" t="n">
        <v>342499595.997</v>
      </c>
      <c r="AL24" t="n">
        <v>339027514.752</v>
      </c>
      <c r="AM24" t="n">
        <v>341202705.342</v>
      </c>
      <c r="AN24" t="n">
        <v>333361461.854</v>
      </c>
      <c r="AO24" t="n">
        <v>353887979.581</v>
      </c>
      <c r="AP24" t="n">
        <v>346607349.131</v>
      </c>
      <c r="AQ24" t="n">
        <v>299887654.983</v>
      </c>
      <c r="AR24" t="n">
        <v>334486789.456</v>
      </c>
      <c r="AS24" t="n">
        <v>346394761.864</v>
      </c>
      <c r="AT24" t="n">
        <v>324148873.005</v>
      </c>
      <c r="AU24" t="n">
        <v>332065344.173</v>
      </c>
      <c r="AV24" t="n">
        <v>338178774.506</v>
      </c>
      <c r="AW24" t="n">
        <v>268809954.932</v>
      </c>
      <c r="AX24" t="n">
        <v>295597641.822</v>
      </c>
      <c r="AY24" t="n">
        <v>267601797.751</v>
      </c>
      <c r="AZ24" t="n">
        <v>264354425.185</v>
      </c>
      <c r="BA24" t="n">
        <v>265625746.872</v>
      </c>
      <c r="BB24" t="n">
        <v>262537344.405</v>
      </c>
      <c r="BC24" t="n">
        <v>278661994.955</v>
      </c>
      <c r="BD24" t="n">
        <v>223124304.665</v>
      </c>
      <c r="BE24" t="n">
        <v>219512610.593</v>
      </c>
      <c r="BF24" t="n">
        <v>184672877.703</v>
      </c>
      <c r="BG24" t="n">
        <v>190101860.909</v>
      </c>
      <c r="BH24" t="n">
        <v>165756074.643</v>
      </c>
      <c r="BI24" t="n">
        <v>168123464.41</v>
      </c>
      <c r="BJ24" t="n">
        <v>183184634.922</v>
      </c>
      <c r="BK24" t="n">
        <v>171348108.151</v>
      </c>
      <c r="BL24" t="n">
        <v>180050586.281</v>
      </c>
      <c r="BM24" t="n">
        <v>133413724.409</v>
      </c>
      <c r="BN24" t="n">
        <v>171578865.519</v>
      </c>
      <c r="BO24" t="n">
        <v>188810130.569</v>
      </c>
      <c r="BP24" t="n">
        <v>186530306.323</v>
      </c>
      <c r="BQ24" t="n">
        <v>163055495.519</v>
      </c>
      <c r="BR24" t="n">
        <v>212723339.162</v>
      </c>
      <c r="BS24" t="n">
        <v>201855536.341</v>
      </c>
      <c r="BT24" t="n">
        <v>257586341.922</v>
      </c>
    </row>
    <row r="25">
      <c r="A25" t="inlineStr">
        <is>
          <t>sym_WithEgestion_asPP</t>
        </is>
      </c>
      <c r="B25" t="inlineStr">
        <is>
          <t>ok</t>
        </is>
      </c>
      <c r="C25" t="n">
        <v>62441553.301</v>
      </c>
      <c r="D25" t="n">
        <v>72479182.626</v>
      </c>
      <c r="E25" t="n">
        <v>68147216.98899999</v>
      </c>
      <c r="F25" t="n">
        <v>76081333.263</v>
      </c>
      <c r="G25" t="n">
        <v>76562770.265</v>
      </c>
      <c r="H25" t="n">
        <v>71851264.977</v>
      </c>
      <c r="I25" t="n">
        <v>75337872.484</v>
      </c>
      <c r="J25" t="n">
        <v>85258566.714</v>
      </c>
      <c r="K25" t="n">
        <v>82405119.455</v>
      </c>
      <c r="L25" t="n">
        <v>90032926.37</v>
      </c>
      <c r="M25" t="n">
        <v>76980826.69400001</v>
      </c>
      <c r="N25" t="n">
        <v>82141457.213</v>
      </c>
      <c r="O25" t="n">
        <v>79956965.31200001</v>
      </c>
      <c r="P25" t="n">
        <v>96431435.20200001</v>
      </c>
      <c r="Q25" t="n">
        <v>109430906.018</v>
      </c>
      <c r="R25" t="n">
        <v>122039949.944</v>
      </c>
      <c r="S25" t="n">
        <v>151337909.874</v>
      </c>
      <c r="T25" t="n">
        <v>163475616.323</v>
      </c>
      <c r="U25" t="n">
        <v>172925208.444</v>
      </c>
      <c r="V25" t="n">
        <v>187716639.414</v>
      </c>
      <c r="W25" t="n">
        <v>183750719.36</v>
      </c>
      <c r="X25" t="n">
        <v>158950323.302</v>
      </c>
      <c r="Y25" t="n">
        <v>156532907.219</v>
      </c>
      <c r="Z25" t="n">
        <v>159842549.324</v>
      </c>
      <c r="AA25" t="n">
        <v>176703027.714</v>
      </c>
      <c r="AB25" t="n">
        <v>163422046.518</v>
      </c>
      <c r="AC25" t="n">
        <v>171414747.87</v>
      </c>
      <c r="AD25" t="n">
        <v>147678905.718</v>
      </c>
      <c r="AE25" t="n">
        <v>140409340.891</v>
      </c>
      <c r="AF25" t="n">
        <v>127110635.129</v>
      </c>
      <c r="AG25" t="n">
        <v>129636639.678</v>
      </c>
      <c r="AH25" t="n">
        <v>131536935.447</v>
      </c>
      <c r="AI25" t="n">
        <v>138788455.358</v>
      </c>
      <c r="AJ25" t="n">
        <v>136381963.095</v>
      </c>
      <c r="AK25" t="n">
        <v>139988764.745</v>
      </c>
      <c r="AL25" t="n">
        <v>139166606.768</v>
      </c>
      <c r="AM25" t="n">
        <v>141039777.513</v>
      </c>
      <c r="AN25" t="n">
        <v>136531337.453</v>
      </c>
      <c r="AO25" t="n">
        <v>145614112.736</v>
      </c>
      <c r="AP25" t="n">
        <v>143569592.145</v>
      </c>
      <c r="AQ25" t="n">
        <v>123487551.898</v>
      </c>
      <c r="AR25" t="n">
        <v>138001231.01</v>
      </c>
      <c r="AS25" t="n">
        <v>143184192.723</v>
      </c>
      <c r="AT25" t="n">
        <v>133024352.895</v>
      </c>
      <c r="AU25" t="n">
        <v>137138036.475</v>
      </c>
      <c r="AV25" t="n">
        <v>140024324.458</v>
      </c>
      <c r="AW25" t="n">
        <v>110227485.812</v>
      </c>
      <c r="AX25" t="n">
        <v>121808288.582</v>
      </c>
      <c r="AY25" t="n">
        <v>110516742.371</v>
      </c>
      <c r="AZ25" t="n">
        <v>109014045.734</v>
      </c>
      <c r="BA25" t="n">
        <v>109783579.231</v>
      </c>
      <c r="BB25" t="n">
        <v>108647731.877</v>
      </c>
      <c r="BC25" t="n">
        <v>115019413.449</v>
      </c>
      <c r="BD25" t="n">
        <v>91804575.35699999</v>
      </c>
      <c r="BE25" t="n">
        <v>90646114.384</v>
      </c>
      <c r="BF25" t="n">
        <v>76239885.904</v>
      </c>
      <c r="BG25" t="n">
        <v>78346248.616</v>
      </c>
      <c r="BH25" t="n">
        <v>67975167.09</v>
      </c>
      <c r="BI25" t="n">
        <v>68737232.92900001</v>
      </c>
      <c r="BJ25" t="n">
        <v>75135736.373</v>
      </c>
      <c r="BK25" t="n">
        <v>70852506.182</v>
      </c>
      <c r="BL25" t="n">
        <v>74101564.476</v>
      </c>
      <c r="BM25" t="n">
        <v>54925585.518</v>
      </c>
      <c r="BN25" t="n">
        <v>71022601.067</v>
      </c>
      <c r="BO25" t="n">
        <v>77513216.594</v>
      </c>
      <c r="BP25" t="n">
        <v>76671816.236</v>
      </c>
      <c r="BQ25" t="n">
        <v>66666559.45</v>
      </c>
      <c r="BR25" t="n">
        <v>87053250.91</v>
      </c>
      <c r="BS25" t="n">
        <v>82553820.78</v>
      </c>
      <c r="BT25" t="n">
        <v>104009178.907</v>
      </c>
    </row>
    <row r="26">
      <c r="A26" t="inlineStr">
        <is>
          <t>sym_WithEgestion_asDC</t>
        </is>
      </c>
      <c r="B26" t="inlineStr">
        <is>
          <t>ok</t>
        </is>
      </c>
      <c r="C26" t="n">
        <v>62441553.301</v>
      </c>
      <c r="D26" t="n">
        <v>72479182.626</v>
      </c>
      <c r="E26" t="n">
        <v>68147216.98899999</v>
      </c>
      <c r="F26" t="n">
        <v>76081333.263</v>
      </c>
      <c r="G26" t="n">
        <v>76562770.265</v>
      </c>
      <c r="H26" t="n">
        <v>71851264.977</v>
      </c>
      <c r="I26" t="n">
        <v>75337872.484</v>
      </c>
      <c r="J26" t="n">
        <v>85258566.714</v>
      </c>
      <c r="K26" t="n">
        <v>82405119.455</v>
      </c>
      <c r="L26" t="n">
        <v>90032926.37</v>
      </c>
      <c r="M26" t="n">
        <v>76980826.69400001</v>
      </c>
      <c r="N26" t="n">
        <v>82141457.213</v>
      </c>
      <c r="O26" t="n">
        <v>79956965.31200001</v>
      </c>
      <c r="P26" t="n">
        <v>96431435.20200001</v>
      </c>
      <c r="Q26" t="n">
        <v>109430906.018</v>
      </c>
      <c r="R26" t="n">
        <v>122039949.944</v>
      </c>
      <c r="S26" t="n">
        <v>151337909.874</v>
      </c>
      <c r="T26" t="n">
        <v>163475616.323</v>
      </c>
      <c r="U26" t="n">
        <v>172925208.444</v>
      </c>
      <c r="V26" t="n">
        <v>187716639.414</v>
      </c>
      <c r="W26" t="n">
        <v>183750719.36</v>
      </c>
      <c r="X26" t="n">
        <v>158950323.302</v>
      </c>
      <c r="Y26" t="n">
        <v>156532907.219</v>
      </c>
      <c r="Z26" t="n">
        <v>159842549.324</v>
      </c>
      <c r="AA26" t="n">
        <v>176703027.714</v>
      </c>
      <c r="AB26" t="n">
        <v>163422046.518</v>
      </c>
      <c r="AC26" t="n">
        <v>171414747.87</v>
      </c>
      <c r="AD26" t="n">
        <v>147678905.718</v>
      </c>
      <c r="AE26" t="n">
        <v>140409340.891</v>
      </c>
      <c r="AF26" t="n">
        <v>127110635.129</v>
      </c>
      <c r="AG26" t="n">
        <v>129636639.678</v>
      </c>
      <c r="AH26" t="n">
        <v>131536935.447</v>
      </c>
      <c r="AI26" t="n">
        <v>138788455.358</v>
      </c>
      <c r="AJ26" t="n">
        <v>136381963.095</v>
      </c>
      <c r="AK26" t="n">
        <v>139988764.745</v>
      </c>
      <c r="AL26" t="n">
        <v>139166606.768</v>
      </c>
      <c r="AM26" t="n">
        <v>141039777.513</v>
      </c>
      <c r="AN26" t="n">
        <v>136531337.453</v>
      </c>
      <c r="AO26" t="n">
        <v>145614112.736</v>
      </c>
      <c r="AP26" t="n">
        <v>143569592.145</v>
      </c>
      <c r="AQ26" t="n">
        <v>123487551.898</v>
      </c>
      <c r="AR26" t="n">
        <v>138001231.01</v>
      </c>
      <c r="AS26" t="n">
        <v>143184192.723</v>
      </c>
      <c r="AT26" t="n">
        <v>133024352.895</v>
      </c>
      <c r="AU26" t="n">
        <v>137138036.475</v>
      </c>
      <c r="AV26" t="n">
        <v>140024324.458</v>
      </c>
      <c r="AW26" t="n">
        <v>110227485.812</v>
      </c>
      <c r="AX26" t="n">
        <v>121808288.582</v>
      </c>
      <c r="AY26" t="n">
        <v>110516742.371</v>
      </c>
      <c r="AZ26" t="n">
        <v>109014045.734</v>
      </c>
      <c r="BA26" t="n">
        <v>109783579.231</v>
      </c>
      <c r="BB26" t="n">
        <v>108647731.877</v>
      </c>
      <c r="BC26" t="n">
        <v>115019413.449</v>
      </c>
      <c r="BD26" t="n">
        <v>91804575.35699999</v>
      </c>
      <c r="BE26" t="n">
        <v>90646114.384</v>
      </c>
      <c r="BF26" t="n">
        <v>76239885.904</v>
      </c>
      <c r="BG26" t="n">
        <v>78346248.616</v>
      </c>
      <c r="BH26" t="n">
        <v>67975167.09</v>
      </c>
      <c r="BI26" t="n">
        <v>68737232.92900001</v>
      </c>
      <c r="BJ26" t="n">
        <v>75135736.373</v>
      </c>
      <c r="BK26" t="n">
        <v>70852506.182</v>
      </c>
      <c r="BL26" t="n">
        <v>74101564.476</v>
      </c>
      <c r="BM26" t="n">
        <v>54925585.518</v>
      </c>
      <c r="BN26" t="n">
        <v>71022601.067</v>
      </c>
      <c r="BO26" t="n">
        <v>77513216.594</v>
      </c>
      <c r="BP26" t="n">
        <v>76671816.236</v>
      </c>
      <c r="BQ26" t="n">
        <v>66666559.45</v>
      </c>
      <c r="BR26" t="n">
        <v>87053250.91</v>
      </c>
      <c r="BS26" t="n">
        <v>82553820.78</v>
      </c>
      <c r="BT26" t="n">
        <v>104009178.907</v>
      </c>
    </row>
    <row r="27">
      <c r="A27" t="inlineStr">
        <is>
          <t>MC_new_GE</t>
        </is>
      </c>
      <c r="B27" t="inlineStr">
        <is>
          <t>ok</t>
        </is>
      </c>
      <c r="C27" t="n">
        <v>153868233.394</v>
      </c>
      <c r="D27" t="n">
        <v>179231615.252</v>
      </c>
      <c r="E27" t="n">
        <v>168775665.572</v>
      </c>
      <c r="F27" t="n">
        <v>186768338.813</v>
      </c>
      <c r="G27" t="n">
        <v>190249031.419</v>
      </c>
      <c r="H27" t="n">
        <v>177885647.199</v>
      </c>
      <c r="I27" t="n">
        <v>185864383.294</v>
      </c>
      <c r="J27" t="n">
        <v>211301661.979</v>
      </c>
      <c r="K27" t="n">
        <v>204607250.923</v>
      </c>
      <c r="L27" t="n">
        <v>222720374.699</v>
      </c>
      <c r="M27" t="n">
        <v>189930275.673</v>
      </c>
      <c r="N27" t="n">
        <v>204381687.159</v>
      </c>
      <c r="O27" t="n">
        <v>195987499.916</v>
      </c>
      <c r="P27" t="n">
        <v>236747753.529</v>
      </c>
      <c r="Q27" t="n">
        <v>268022580.637</v>
      </c>
      <c r="R27" t="n">
        <v>301401678.406</v>
      </c>
      <c r="S27" t="n">
        <v>375365267.801</v>
      </c>
      <c r="T27" t="n">
        <v>406234382.232</v>
      </c>
      <c r="U27" t="n">
        <v>429901085.646</v>
      </c>
      <c r="V27" t="n">
        <v>464044399.848</v>
      </c>
      <c r="W27" t="n">
        <v>451957386.966</v>
      </c>
      <c r="X27" t="n">
        <v>394736349.909</v>
      </c>
      <c r="Y27" t="n">
        <v>391456991.361</v>
      </c>
      <c r="Z27" t="n">
        <v>396444024.242</v>
      </c>
      <c r="AA27" t="n">
        <v>439100840.494</v>
      </c>
      <c r="AB27" t="n">
        <v>404305505.923</v>
      </c>
      <c r="AC27" t="n">
        <v>424325763.099</v>
      </c>
      <c r="AD27" t="n">
        <v>363846309.612</v>
      </c>
      <c r="AE27" t="n">
        <v>348495214.641</v>
      </c>
      <c r="AF27" t="n">
        <v>315136891.109</v>
      </c>
      <c r="AG27" t="n">
        <v>318599568.194</v>
      </c>
      <c r="AH27" t="n">
        <v>324717095.044</v>
      </c>
      <c r="AI27" t="n">
        <v>340646280.996</v>
      </c>
      <c r="AJ27" t="n">
        <v>335346795.605</v>
      </c>
      <c r="AK27" t="n">
        <v>344596284.984</v>
      </c>
      <c r="AL27" t="n">
        <v>341415907.778</v>
      </c>
      <c r="AM27" t="n">
        <v>343559590.551</v>
      </c>
      <c r="AN27" t="n">
        <v>335731560.489</v>
      </c>
      <c r="AO27" t="n">
        <v>356309130.353</v>
      </c>
      <c r="AP27" t="n">
        <v>349070092.831</v>
      </c>
      <c r="AQ27" t="n">
        <v>301979811.493</v>
      </c>
      <c r="AR27" t="n">
        <v>336537448.591</v>
      </c>
      <c r="AS27" t="n">
        <v>348573244.275</v>
      </c>
      <c r="AT27" t="n">
        <v>326051332.026</v>
      </c>
      <c r="AU27" t="n">
        <v>334064348.787</v>
      </c>
      <c r="AV27" t="n">
        <v>340382904.586</v>
      </c>
      <c r="AW27" t="n">
        <v>270637102.79</v>
      </c>
      <c r="AX27" t="n">
        <v>297502228.15</v>
      </c>
      <c r="AY27" t="n">
        <v>269373361.787</v>
      </c>
      <c r="AZ27" t="n">
        <v>265752146.831</v>
      </c>
      <c r="BA27" t="n">
        <v>266975622.091</v>
      </c>
      <c r="BB27" t="n">
        <v>263861203.69</v>
      </c>
      <c r="BC27" t="n">
        <v>279873401.84</v>
      </c>
      <c r="BD27" t="n">
        <v>224039836.24</v>
      </c>
      <c r="BE27" t="n">
        <v>220471317.63</v>
      </c>
      <c r="BF27" t="n">
        <v>185614271.562</v>
      </c>
      <c r="BG27" t="n">
        <v>191079529.918</v>
      </c>
      <c r="BH27" t="n">
        <v>166536365.54</v>
      </c>
      <c r="BI27" t="n">
        <v>168812472.793</v>
      </c>
      <c r="BJ27" t="n">
        <v>183913645.52</v>
      </c>
      <c r="BK27" t="n">
        <v>172033758.386</v>
      </c>
      <c r="BL27" t="n">
        <v>180886389.225</v>
      </c>
      <c r="BM27" t="n">
        <v>134289200.891</v>
      </c>
      <c r="BN27" t="n">
        <v>172704357.614</v>
      </c>
      <c r="BO27" t="n">
        <v>189813052.018</v>
      </c>
      <c r="BP27" t="n">
        <v>187562204.246</v>
      </c>
      <c r="BQ27" t="n">
        <v>164101337.288</v>
      </c>
      <c r="BR27" t="n">
        <v>214074165.265</v>
      </c>
      <c r="BS27" t="n">
        <v>203141626.759</v>
      </c>
      <c r="BT27" t="n">
        <v>259803984.419</v>
      </c>
    </row>
    <row r="28">
      <c r="A28" t="inlineStr">
        <is>
          <t>MC_new_TE_EEfix</t>
        </is>
      </c>
      <c r="B28" t="inlineStr">
        <is>
          <t>ok</t>
        </is>
      </c>
      <c r="C28" t="n">
        <v>265508825.862</v>
      </c>
      <c r="D28" t="n">
        <v>311194295.865</v>
      </c>
      <c r="E28" t="n">
        <v>291654868.121</v>
      </c>
      <c r="F28" t="n">
        <v>317790401.595</v>
      </c>
      <c r="G28" t="n">
        <v>327890526.134</v>
      </c>
      <c r="H28" t="n">
        <v>310221856.693</v>
      </c>
      <c r="I28" t="n">
        <v>321607149.453</v>
      </c>
      <c r="J28" t="n">
        <v>360789270.103</v>
      </c>
      <c r="K28" t="n">
        <v>353103046.686</v>
      </c>
      <c r="L28" t="n">
        <v>379493455.746</v>
      </c>
      <c r="M28" t="n">
        <v>329242013.349</v>
      </c>
      <c r="N28" t="n">
        <v>357000062.681</v>
      </c>
      <c r="O28" t="n">
        <v>332629899.954</v>
      </c>
      <c r="P28" t="n">
        <v>401613754.739</v>
      </c>
      <c r="Q28" t="n">
        <v>440972344.075</v>
      </c>
      <c r="R28" t="n">
        <v>500809221.126</v>
      </c>
      <c r="S28" t="n">
        <v>613532937.076</v>
      </c>
      <c r="T28" t="n">
        <v>663726883.946</v>
      </c>
      <c r="U28" t="n">
        <v>706587539.6160001</v>
      </c>
      <c r="V28" t="n">
        <v>755314306.079</v>
      </c>
      <c r="W28" t="n">
        <v>728165740.132</v>
      </c>
      <c r="X28" t="n">
        <v>648738518.313</v>
      </c>
      <c r="Y28" t="n">
        <v>653390190.607</v>
      </c>
      <c r="Z28" t="n">
        <v>653151630.686</v>
      </c>
      <c r="AA28" t="n">
        <v>721060330.9910001</v>
      </c>
      <c r="AB28" t="n">
        <v>665459998.766</v>
      </c>
      <c r="AC28" t="n">
        <v>689949692.505</v>
      </c>
      <c r="AD28" t="n">
        <v>588771642.951</v>
      </c>
      <c r="AE28" t="n">
        <v>567068081.538</v>
      </c>
      <c r="AF28" t="n">
        <v>513989764.226</v>
      </c>
      <c r="AG28" t="n">
        <v>512889302.174</v>
      </c>
      <c r="AH28" t="n">
        <v>522860997.501</v>
      </c>
      <c r="AI28" t="n">
        <v>541833279.0650001</v>
      </c>
      <c r="AJ28" t="n">
        <v>536028670.058</v>
      </c>
      <c r="AK28" t="n">
        <v>549444054.146</v>
      </c>
      <c r="AL28" t="n">
        <v>540471413.038</v>
      </c>
      <c r="AM28" t="n">
        <v>536267387.439</v>
      </c>
      <c r="AN28" t="n">
        <v>530198823.098</v>
      </c>
      <c r="AO28" t="n">
        <v>557198750.143</v>
      </c>
      <c r="AP28" t="n">
        <v>540933162.6569999</v>
      </c>
      <c r="AQ28" t="n">
        <v>474412340.6</v>
      </c>
      <c r="AR28" t="n">
        <v>523417336.191</v>
      </c>
      <c r="AS28" t="n">
        <v>540680783.197</v>
      </c>
      <c r="AT28" t="n">
        <v>507108995.36</v>
      </c>
      <c r="AU28" t="n">
        <v>514018062.354</v>
      </c>
      <c r="AV28" t="n">
        <v>526887770.866</v>
      </c>
      <c r="AW28" t="n">
        <v>421345406.629</v>
      </c>
      <c r="AX28" t="n">
        <v>458443633.459</v>
      </c>
      <c r="AY28" t="n">
        <v>415890209.901</v>
      </c>
      <c r="AZ28" t="n">
        <v>409597160.19</v>
      </c>
      <c r="BA28" t="n">
        <v>410805542.397</v>
      </c>
      <c r="BB28" t="n">
        <v>405618430.861</v>
      </c>
      <c r="BC28" t="n">
        <v>430100497.677</v>
      </c>
      <c r="BD28" t="n">
        <v>346524545.302</v>
      </c>
      <c r="BE28" t="n">
        <v>339835489.439</v>
      </c>
      <c r="BF28" t="n">
        <v>286908901.407</v>
      </c>
      <c r="BG28" t="n">
        <v>294505799.146</v>
      </c>
      <c r="BH28" t="n">
        <v>257428956.612</v>
      </c>
      <c r="BI28" t="n">
        <v>261708121.128</v>
      </c>
      <c r="BJ28" t="n">
        <v>283625468.604</v>
      </c>
      <c r="BK28" t="n">
        <v>263602709.845</v>
      </c>
      <c r="BL28" t="n">
        <v>277102959.431</v>
      </c>
      <c r="BM28" t="n">
        <v>208394780.757</v>
      </c>
      <c r="BN28" t="n">
        <v>264710038.35</v>
      </c>
      <c r="BO28" t="n">
        <v>291960575.958</v>
      </c>
      <c r="BP28" t="n">
        <v>288125646.056</v>
      </c>
      <c r="BQ28" t="n">
        <v>254042244.203</v>
      </c>
      <c r="BR28" t="n">
        <v>327634857.556</v>
      </c>
      <c r="BS28" t="n">
        <v>314074197.076</v>
      </c>
      <c r="BT28" t="n">
        <v>406993723.438</v>
      </c>
    </row>
    <row r="30">
      <c r="A30" t="inlineStr">
        <is>
          <t>Catch tonnage on a named group: 207,462,135 of 208,301,114 (99.6 %). Unresolved taxa contribute nothing to the model rows and everything to the simple row, so the two are not directly comparable until coverage is 100 %.</t>
        </is>
      </c>
    </row>
    <row r="31">
      <c r="A31" s="11" t="inlineStr">
        <is>
          <t>5 of 20 methods are flagged above. A flagged row is a property of this model under that method, not of the mapping; see model_health in the SPPR workbook.</t>
        </is>
      </c>
    </row>
    <row r="32">
      <c r="A32" t="inlineStr">
        <is>
          <t>Coverage by year, %:</t>
        </is>
      </c>
    </row>
    <row r="33">
      <c r="A33" t="inlineStr">
        <is>
          <t>catch on a named group, %</t>
        </is>
      </c>
      <c r="B33" t="inlineStr"/>
      <c r="C33" t="n">
        <v>99.54000000000001</v>
      </c>
      <c r="D33" t="n">
        <v>99.34999999999999</v>
      </c>
      <c r="E33" t="n">
        <v>98.94</v>
      </c>
      <c r="F33" t="n">
        <v>99.27</v>
      </c>
      <c r="G33" t="n">
        <v>99.27</v>
      </c>
      <c r="H33" t="n">
        <v>99.04000000000001</v>
      </c>
      <c r="I33" t="n">
        <v>99.58</v>
      </c>
      <c r="J33" t="n">
        <v>99.54000000000001</v>
      </c>
      <c r="K33" t="n">
        <v>99.62</v>
      </c>
      <c r="L33" t="n">
        <v>99.64</v>
      </c>
      <c r="M33" t="n">
        <v>99.54000000000001</v>
      </c>
      <c r="N33" t="n">
        <v>99.43000000000001</v>
      </c>
      <c r="O33" t="n">
        <v>99.44</v>
      </c>
      <c r="P33" t="n">
        <v>99.79000000000001</v>
      </c>
      <c r="Q33" t="n">
        <v>99.75</v>
      </c>
      <c r="R33" t="n">
        <v>99.73999999999999</v>
      </c>
      <c r="S33" t="n">
        <v>99.81</v>
      </c>
      <c r="T33" t="n">
        <v>99.78</v>
      </c>
      <c r="U33" t="n">
        <v>99.83</v>
      </c>
      <c r="V33" t="n">
        <v>99.84</v>
      </c>
      <c r="W33" t="n">
        <v>99.86</v>
      </c>
      <c r="X33" t="n">
        <v>99.84</v>
      </c>
      <c r="Y33" t="n">
        <v>99.86</v>
      </c>
      <c r="Z33" t="n">
        <v>99.77</v>
      </c>
      <c r="AA33" t="n">
        <v>99.81</v>
      </c>
      <c r="AB33" t="n">
        <v>99.79000000000001</v>
      </c>
      <c r="AC33" t="n">
        <v>99.84</v>
      </c>
      <c r="AD33" t="n">
        <v>99.83</v>
      </c>
      <c r="AE33" t="n">
        <v>99.87</v>
      </c>
      <c r="AF33" t="n">
        <v>99.88</v>
      </c>
      <c r="AG33" t="n">
        <v>99.87</v>
      </c>
      <c r="AH33" t="n">
        <v>99.86</v>
      </c>
      <c r="AI33" t="n">
        <v>99.86</v>
      </c>
      <c r="AJ33" t="n">
        <v>99.86</v>
      </c>
      <c r="AK33" t="n">
        <v>99.88</v>
      </c>
      <c r="AL33" t="n">
        <v>99.88</v>
      </c>
      <c r="AM33" t="n">
        <v>99.64</v>
      </c>
      <c r="AN33" t="n">
        <v>99.54000000000001</v>
      </c>
      <c r="AO33" t="n">
        <v>99.76000000000001</v>
      </c>
      <c r="AP33" t="n">
        <v>99.7</v>
      </c>
      <c r="AQ33" t="n">
        <v>99.67</v>
      </c>
      <c r="AR33" t="n">
        <v>99.58</v>
      </c>
      <c r="AS33" t="n">
        <v>99.20999999999999</v>
      </c>
      <c r="AT33" t="n">
        <v>99.48999999999999</v>
      </c>
      <c r="AU33" t="n">
        <v>99.44</v>
      </c>
      <c r="AV33" t="n">
        <v>99.42</v>
      </c>
      <c r="AW33" t="n">
        <v>99.52</v>
      </c>
      <c r="AX33" t="n">
        <v>99.23</v>
      </c>
      <c r="AY33" t="n">
        <v>98.61</v>
      </c>
      <c r="AZ33" t="n">
        <v>99.11</v>
      </c>
      <c r="BA33" t="n">
        <v>99.29000000000001</v>
      </c>
      <c r="BB33" t="n">
        <v>99.19</v>
      </c>
      <c r="BC33" t="n">
        <v>98.95</v>
      </c>
      <c r="BD33" t="n">
        <v>98.42</v>
      </c>
      <c r="BE33" t="n">
        <v>98.31999999999999</v>
      </c>
      <c r="BF33" t="n">
        <v>98.13</v>
      </c>
      <c r="BG33" t="n">
        <v>98.79000000000001</v>
      </c>
      <c r="BH33" t="n">
        <v>99.89</v>
      </c>
      <c r="BI33" t="n">
        <v>99.88</v>
      </c>
      <c r="BJ33" t="n">
        <v>99.87</v>
      </c>
      <c r="BK33" t="n">
        <v>99.8</v>
      </c>
      <c r="BL33" t="n">
        <v>99.90000000000001</v>
      </c>
      <c r="BM33" t="n">
        <v>99.90000000000001</v>
      </c>
      <c r="BN33" t="n">
        <v>99.90000000000001</v>
      </c>
      <c r="BO33" t="n">
        <v>99.92</v>
      </c>
      <c r="BP33" t="n">
        <v>99.95</v>
      </c>
      <c r="BQ33" t="n">
        <v>99.94</v>
      </c>
      <c r="BR33" t="n">
        <v>99.94</v>
      </c>
      <c r="BS33" t="n">
        <v>99.93000000000001</v>
      </c>
      <c r="BT33" t="n">
        <v>99.95999999999999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388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40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  <col width="21" customWidth="1" min="24" max="24"/>
  </cols>
  <sheetData>
    <row r="1">
      <c r="A1" s="1" t="inlineStr">
        <is>
          <t>Specific PPR per taxon — LME_022, model 22_20251990_East_Coast_of_Scotland_(1991-1995)</t>
        </is>
      </c>
    </row>
    <row r="2">
      <c r="A2" t="inlineStr">
        <is>
          <t>sppr_simple is the trophic-chain estimate (1/TE)^(TL-1) at TE=0.1, applied to the taxon's own trophic level and needing no model.</t>
        </is>
      </c>
    </row>
    <row r="3">
      <c r="A3" t="inlineStr">
        <is>
          <t>Internal sources: primary producers and detritus; excludes imports. Blank means unavailable, not zero. sppr_simple is an unpartitioned reference.</t>
        </is>
      </c>
    </row>
    <row r="4" ht="42" customHeight="1">
      <c r="A4" s="12" t="inlineStr">
        <is>
          <t>taxon</t>
        </is>
      </c>
      <c r="B4" s="12" t="inlineStr">
        <is>
          <t>trophic_level</t>
        </is>
      </c>
      <c r="C4" s="12" t="inlineStr">
        <is>
          <t>sppr_simple</t>
        </is>
      </c>
      <c r="D4" s="12" t="inlineStr">
        <is>
          <t>Ecopath group</t>
        </is>
      </c>
      <c r="E4" s="12" t="inlineStr">
        <is>
          <t>SPPR_1986</t>
        </is>
      </c>
      <c r="F4" s="12" t="inlineStr">
        <is>
          <t>SPPR_1995_TE0.1</t>
        </is>
      </c>
      <c r="G4" s="12" t="inlineStr">
        <is>
          <t>SPPR_1995_TEmean</t>
        </is>
      </c>
      <c r="H4" s="12" t="inlineStr">
        <is>
          <t>Ulanowicz_globalTEmean</t>
        </is>
      </c>
      <c r="I4" s="12" t="inlineStr">
        <is>
          <t>Ulanowicz_TE</t>
        </is>
      </c>
      <c r="J4" s="12" t="inlineStr">
        <is>
          <t>EwE_TE_noEE</t>
        </is>
      </c>
      <c r="K4" s="12" t="inlineStr">
        <is>
          <t>EwE_TE_EE</t>
        </is>
      </c>
      <c r="L4" s="12" t="inlineStr">
        <is>
          <t>SPPR_2015</t>
        </is>
      </c>
      <c r="M4" s="12" t="inlineStr">
        <is>
          <t>new_TE_noEEfix</t>
        </is>
      </c>
      <c r="N4" s="12" t="inlineStr">
        <is>
          <t>new_TE_EEfix</t>
        </is>
      </c>
      <c r="O4" s="12" t="inlineStr">
        <is>
          <t>new_GE</t>
        </is>
      </c>
      <c r="P4" s="12" t="inlineStr">
        <is>
          <t>new_WithEgestion</t>
        </is>
      </c>
      <c r="Q4" s="12" t="inlineStr">
        <is>
          <t>sym_TE_asPP</t>
        </is>
      </c>
      <c r="R4" s="12" t="inlineStr">
        <is>
          <t>sym_TE_asDC</t>
        </is>
      </c>
      <c r="S4" s="12" t="inlineStr">
        <is>
          <t>sym_GE_asPP</t>
        </is>
      </c>
      <c r="T4" s="12" t="inlineStr">
        <is>
          <t>sym_GE_asDC</t>
        </is>
      </c>
      <c r="U4" s="12" t="inlineStr">
        <is>
          <t>sym_WithEgestion_asPP</t>
        </is>
      </c>
      <c r="V4" s="12" t="inlineStr">
        <is>
          <t>sym_WithEgestion_asDC</t>
        </is>
      </c>
      <c r="W4" s="12" t="inlineStr">
        <is>
          <t>MC_new_GE</t>
        </is>
      </c>
      <c r="X4" s="12" t="inlineStr">
        <is>
          <t>MC_new_TE_EEfix</t>
        </is>
      </c>
    </row>
    <row r="5">
      <c r="A5" t="inlineStr">
        <is>
          <t>Clupea harengus</t>
        </is>
      </c>
      <c r="B5" t="n">
        <v>3.38</v>
      </c>
      <c r="C5" t="n">
        <v>239.883292</v>
      </c>
      <c r="D5" t="inlineStr">
        <is>
          <t>Herring</t>
        </is>
      </c>
      <c r="E5" t="n">
        <v>327.790917</v>
      </c>
      <c r="F5" t="n">
        <v>210.203586</v>
      </c>
      <c r="G5" t="n">
        <v>57.610703</v>
      </c>
      <c r="H5" t="n">
        <v>83.392549</v>
      </c>
      <c r="I5" t="n">
        <v>40.057152</v>
      </c>
      <c r="J5" t="n">
        <v>40.08291</v>
      </c>
      <c r="K5" t="n">
        <v>36.074619</v>
      </c>
      <c r="L5" t="n">
        <v>52.411478</v>
      </c>
      <c r="M5" t="n">
        <v>52.411478</v>
      </c>
      <c r="N5" t="n">
        <v>52.411478</v>
      </c>
      <c r="O5" t="n">
        <v>36.902807</v>
      </c>
      <c r="P5" t="n">
        <v>16.338091</v>
      </c>
      <c r="Q5" t="n">
        <v>52.411478</v>
      </c>
      <c r="R5" t="n">
        <v>52.411478</v>
      </c>
      <c r="S5" t="n">
        <v>36.902807</v>
      </c>
      <c r="T5" t="n">
        <v>36.902807</v>
      </c>
      <c r="U5" t="n">
        <v>16.338091</v>
      </c>
      <c r="V5" t="n">
        <v>16.338091</v>
      </c>
      <c r="W5" t="n">
        <v>38.051778</v>
      </c>
      <c r="X5" t="n">
        <v>55.881978</v>
      </c>
    </row>
    <row r="6">
      <c r="A6" t="inlineStr">
        <is>
          <t>Marine fishes not identified</t>
        </is>
      </c>
      <c r="B6" t="n">
        <v>3.28</v>
      </c>
      <c r="C6" t="n">
        <v>190.546072</v>
      </c>
      <c r="D6" t="inlineStr">
        <is>
          <t>Flatfishes | Monkfish | Large Dem. fish</t>
        </is>
      </c>
      <c r="E6" t="n">
        <v>327.790917</v>
      </c>
      <c r="F6" t="n">
        <v>345.033369</v>
      </c>
      <c r="G6" t="n">
        <v>78.18723</v>
      </c>
      <c r="H6" t="n">
        <v>164.100144</v>
      </c>
      <c r="I6" t="n">
        <v>132.854976</v>
      </c>
      <c r="J6" t="n">
        <v>137.390299</v>
      </c>
      <c r="K6" t="n">
        <v>126.313644</v>
      </c>
      <c r="L6" t="n">
        <v>164.733434</v>
      </c>
      <c r="M6" t="n">
        <v>164.733434</v>
      </c>
      <c r="N6" t="n">
        <v>164.733434</v>
      </c>
      <c r="O6" t="n">
        <v>113.48574</v>
      </c>
      <c r="P6" t="n">
        <v>48.310329</v>
      </c>
      <c r="Q6" t="n">
        <v>164.733434</v>
      </c>
      <c r="R6" t="n">
        <v>164.733434</v>
      </c>
      <c r="S6" t="n">
        <v>113.48574</v>
      </c>
      <c r="T6" t="n">
        <v>113.48574</v>
      </c>
      <c r="U6" t="n">
        <v>48.310329</v>
      </c>
      <c r="V6" t="n">
        <v>48.310329</v>
      </c>
      <c r="W6" t="n">
        <v>114.273159</v>
      </c>
      <c r="X6" t="n">
        <v>165.225716</v>
      </c>
    </row>
    <row r="7">
      <c r="A7" t="inlineStr">
        <is>
          <t>Scomber scombrus</t>
        </is>
      </c>
      <c r="B7" t="n">
        <v>3.63</v>
      </c>
      <c r="C7" t="n">
        <v>426.579519</v>
      </c>
      <c r="D7" t="inlineStr">
        <is>
          <t>Large Pelagics</t>
        </is>
      </c>
      <c r="E7" t="n">
        <v>327.790917</v>
      </c>
      <c r="F7" t="n">
        <v>409.325031</v>
      </c>
      <c r="G7" t="n">
        <v>95.473426</v>
      </c>
      <c r="H7" t="n">
        <v>171.971164</v>
      </c>
      <c r="I7" t="n">
        <v>151.710468</v>
      </c>
      <c r="J7" t="n">
        <v>166.941311</v>
      </c>
      <c r="K7" t="n">
        <v>150.24718</v>
      </c>
      <c r="L7" t="n">
        <v>208.675232</v>
      </c>
      <c r="M7" t="n">
        <v>208.675232</v>
      </c>
      <c r="N7" t="n">
        <v>208.675232</v>
      </c>
      <c r="O7" t="n">
        <v>139.225251</v>
      </c>
      <c r="P7" t="n">
        <v>55.587338</v>
      </c>
      <c r="Q7" t="n">
        <v>208.675232</v>
      </c>
      <c r="R7" t="n">
        <v>208.675232</v>
      </c>
      <c r="S7" t="n">
        <v>139.225251</v>
      </c>
      <c r="T7" t="n">
        <v>139.225251</v>
      </c>
      <c r="U7" t="n">
        <v>55.587338</v>
      </c>
      <c r="V7" t="n">
        <v>55.587338</v>
      </c>
      <c r="W7" t="n">
        <v>138.889014</v>
      </c>
      <c r="X7" t="n">
        <v>209.882396</v>
      </c>
    </row>
    <row r="8">
      <c r="A8" t="inlineStr">
        <is>
          <t>Gadus morhua</t>
        </is>
      </c>
      <c r="B8" t="n">
        <v>4.09</v>
      </c>
      <c r="C8" t="n">
        <v>1230.268771</v>
      </c>
      <c r="D8" t="inlineStr">
        <is>
          <t>Cod</t>
        </is>
      </c>
      <c r="E8" t="n">
        <v>327.790917</v>
      </c>
      <c r="F8" t="n">
        <v>696.743167</v>
      </c>
      <c r="G8" t="n">
        <v>142.882184</v>
      </c>
      <c r="H8" t="n">
        <v>300.714592</v>
      </c>
      <c r="I8" t="n">
        <v>173.457711</v>
      </c>
      <c r="J8" t="n">
        <v>181.068044</v>
      </c>
      <c r="K8" t="n">
        <v>155.718518</v>
      </c>
      <c r="L8" t="n">
        <v>222.178859</v>
      </c>
      <c r="M8" t="n">
        <v>222.178859</v>
      </c>
      <c r="N8" t="n">
        <v>222.178859</v>
      </c>
      <c r="O8" t="n">
        <v>135.264542</v>
      </c>
      <c r="P8" t="n">
        <v>51.548611</v>
      </c>
      <c r="Q8" t="n">
        <v>222.178859</v>
      </c>
      <c r="R8" t="n">
        <v>222.178859</v>
      </c>
      <c r="S8" t="n">
        <v>135.264542</v>
      </c>
      <c r="T8" t="n">
        <v>135.264542</v>
      </c>
      <c r="U8" t="n">
        <v>51.548611</v>
      </c>
      <c r="V8" t="n">
        <v>51.548611</v>
      </c>
      <c r="W8" t="n">
        <v>138.759026</v>
      </c>
      <c r="X8" t="n">
        <v>228.970309</v>
      </c>
    </row>
    <row r="9">
      <c r="A9" t="inlineStr">
        <is>
          <t>Sprattus sprattus</t>
        </is>
      </c>
      <c r="B9" t="n">
        <v>3.01</v>
      </c>
      <c r="C9" t="n">
        <v>102.329299</v>
      </c>
      <c r="D9" t="inlineStr">
        <is>
          <t>Small pelagics</t>
        </is>
      </c>
      <c r="E9" t="n">
        <v>327.790917</v>
      </c>
      <c r="F9" t="n">
        <v>148.024912</v>
      </c>
      <c r="G9" t="n">
        <v>44.163101</v>
      </c>
      <c r="H9" t="n">
        <v>58.893278</v>
      </c>
      <c r="I9" t="n">
        <v>29.57747</v>
      </c>
      <c r="J9" t="n">
        <v>29.708263</v>
      </c>
      <c r="K9" t="n">
        <v>26.143271</v>
      </c>
      <c r="L9" t="n">
        <v>37.444032</v>
      </c>
      <c r="M9" t="n">
        <v>37.444032</v>
      </c>
      <c r="N9" t="n">
        <v>37.444032</v>
      </c>
      <c r="O9" t="n">
        <v>26.825837</v>
      </c>
      <c r="P9" t="n">
        <v>12.629082</v>
      </c>
      <c r="Q9" t="n">
        <v>37.444032</v>
      </c>
      <c r="R9" t="n">
        <v>37.444032</v>
      </c>
      <c r="S9" t="n">
        <v>26.825837</v>
      </c>
      <c r="T9" t="n">
        <v>26.825837</v>
      </c>
      <c r="U9" t="n">
        <v>12.629082</v>
      </c>
      <c r="V9" t="n">
        <v>12.629082</v>
      </c>
      <c r="W9" t="n">
        <v>26.643813</v>
      </c>
      <c r="X9" t="n">
        <v>39.607714</v>
      </c>
    </row>
    <row r="10">
      <c r="A10" t="inlineStr">
        <is>
          <t>Trisopterus esmarkii</t>
        </is>
      </c>
      <c r="B10" t="n">
        <v>3.24</v>
      </c>
      <c r="C10" t="n">
        <v>173.780083</v>
      </c>
      <c r="D10" t="inlineStr">
        <is>
          <t>Small pelagics</t>
        </is>
      </c>
      <c r="E10" t="n">
        <v>327.790917</v>
      </c>
      <c r="F10" t="n">
        <v>148.024912</v>
      </c>
      <c r="G10" t="n">
        <v>44.163101</v>
      </c>
      <c r="H10" t="n">
        <v>58.893278</v>
      </c>
      <c r="I10" t="n">
        <v>29.57747</v>
      </c>
      <c r="J10" t="n">
        <v>29.708263</v>
      </c>
      <c r="K10" t="n">
        <v>26.143271</v>
      </c>
      <c r="L10" t="n">
        <v>37.444032</v>
      </c>
      <c r="M10" t="n">
        <v>37.444032</v>
      </c>
      <c r="N10" t="n">
        <v>37.444032</v>
      </c>
      <c r="O10" t="n">
        <v>26.825837</v>
      </c>
      <c r="P10" t="n">
        <v>12.629082</v>
      </c>
      <c r="Q10" t="n">
        <v>37.444032</v>
      </c>
      <c r="R10" t="n">
        <v>37.444032</v>
      </c>
      <c r="S10" t="n">
        <v>26.825837</v>
      </c>
      <c r="T10" t="n">
        <v>26.825837</v>
      </c>
      <c r="U10" t="n">
        <v>12.629082</v>
      </c>
      <c r="V10" t="n">
        <v>12.629082</v>
      </c>
      <c r="W10" t="n">
        <v>26.643813</v>
      </c>
      <c r="X10" t="n">
        <v>39.607714</v>
      </c>
    </row>
    <row r="11">
      <c r="A11" t="inlineStr">
        <is>
          <t>Pleuronectes platessa</t>
        </is>
      </c>
      <c r="B11" t="n">
        <v>3.26</v>
      </c>
      <c r="C11" t="n">
        <v>181.970086</v>
      </c>
      <c r="D11" t="inlineStr">
        <is>
          <t>Flatfishes</t>
        </is>
      </c>
      <c r="E11" t="n">
        <v>327.790917</v>
      </c>
      <c r="F11" t="n">
        <v>222.264878</v>
      </c>
      <c r="G11" t="n">
        <v>60.099306</v>
      </c>
      <c r="H11" t="n">
        <v>123.58001</v>
      </c>
      <c r="I11" t="n">
        <v>98.981683</v>
      </c>
      <c r="J11" t="n">
        <v>101.310188</v>
      </c>
      <c r="K11" t="n">
        <v>92.19227100000001</v>
      </c>
      <c r="L11" t="n">
        <v>114.167454</v>
      </c>
      <c r="M11" t="n">
        <v>114.167454</v>
      </c>
      <c r="N11" t="n">
        <v>114.167454</v>
      </c>
      <c r="O11" t="n">
        <v>82.349557</v>
      </c>
      <c r="P11" t="n">
        <v>38.756383</v>
      </c>
      <c r="Q11" t="n">
        <v>114.167454</v>
      </c>
      <c r="R11" t="n">
        <v>114.167454</v>
      </c>
      <c r="S11" t="n">
        <v>82.349557</v>
      </c>
      <c r="T11" t="n">
        <v>82.349557</v>
      </c>
      <c r="U11" t="n">
        <v>38.756383</v>
      </c>
      <c r="V11" t="n">
        <v>38.756383</v>
      </c>
      <c r="W11" t="n">
        <v>82.655303</v>
      </c>
      <c r="X11" t="n">
        <v>113.898256</v>
      </c>
    </row>
    <row r="12">
      <c r="A12" t="inlineStr">
        <is>
          <t>Melanogrammus aeglefinus</t>
        </is>
      </c>
      <c r="B12" t="n">
        <v>4.03</v>
      </c>
      <c r="C12" t="n">
        <v>1071.519305</v>
      </c>
      <c r="D12" t="inlineStr">
        <is>
          <t>Haddock</t>
        </is>
      </c>
      <c r="E12" t="n">
        <v>327.790917</v>
      </c>
      <c r="F12" t="n">
        <v>277.618274</v>
      </c>
      <c r="G12" t="n">
        <v>71.133236</v>
      </c>
      <c r="H12" t="n">
        <v>141.133429</v>
      </c>
      <c r="I12" t="n">
        <v>101.684518</v>
      </c>
      <c r="J12" t="n">
        <v>105.679445</v>
      </c>
      <c r="K12" t="n">
        <v>97.22508999999999</v>
      </c>
      <c r="L12" t="n">
        <v>121.373593</v>
      </c>
      <c r="M12" t="n">
        <v>121.373593</v>
      </c>
      <c r="N12" t="n">
        <v>121.373593</v>
      </c>
      <c r="O12" t="n">
        <v>86.54459300000001</v>
      </c>
      <c r="P12" t="n">
        <v>37.95581</v>
      </c>
      <c r="Q12" t="n">
        <v>121.373593</v>
      </c>
      <c r="R12" t="n">
        <v>121.373593</v>
      </c>
      <c r="S12" t="n">
        <v>86.54459300000001</v>
      </c>
      <c r="T12" t="n">
        <v>86.54459300000001</v>
      </c>
      <c r="U12" t="n">
        <v>37.95581</v>
      </c>
      <c r="V12" t="n">
        <v>37.95581</v>
      </c>
      <c r="W12" t="n">
        <v>86.777429</v>
      </c>
      <c r="X12" t="n">
        <v>120.50799</v>
      </c>
    </row>
    <row r="13">
      <c r="A13" t="inlineStr">
        <is>
          <t>Pollachius virens</t>
        </is>
      </c>
      <c r="B13" t="n">
        <v>4.31</v>
      </c>
      <c r="C13" t="n">
        <v>2041.737945</v>
      </c>
      <c r="D13" t="inlineStr">
        <is>
          <t>Saithe</t>
        </is>
      </c>
      <c r="E13" t="n">
        <v>327.790917</v>
      </c>
      <c r="F13" t="n">
        <v>1016.575113</v>
      </c>
      <c r="G13" t="n">
        <v>190.25522</v>
      </c>
      <c r="H13" t="n">
        <v>383.159293</v>
      </c>
      <c r="I13" t="n">
        <v>222.035395</v>
      </c>
      <c r="J13" t="n">
        <v>227.903672</v>
      </c>
      <c r="K13" t="n">
        <v>207.392342</v>
      </c>
      <c r="L13" t="n">
        <v>281.759128</v>
      </c>
      <c r="M13" t="n">
        <v>281.759128</v>
      </c>
      <c r="N13" t="n">
        <v>281.759128</v>
      </c>
      <c r="O13" t="n">
        <v>178.968187</v>
      </c>
      <c r="P13" t="n">
        <v>67.772812</v>
      </c>
      <c r="Q13" t="n">
        <v>281.759128</v>
      </c>
      <c r="R13" t="n">
        <v>281.759128</v>
      </c>
      <c r="S13" t="n">
        <v>178.968187</v>
      </c>
      <c r="T13" t="n">
        <v>178.968187</v>
      </c>
      <c r="U13" t="n">
        <v>67.772812</v>
      </c>
      <c r="V13" t="n">
        <v>67.772812</v>
      </c>
      <c r="W13" t="n">
        <v>177.57024</v>
      </c>
      <c r="X13" t="n">
        <v>297.607844</v>
      </c>
    </row>
    <row r="14">
      <c r="A14" t="inlineStr">
        <is>
          <t>Merlangius merlangus</t>
        </is>
      </c>
      <c r="B14" t="n">
        <v>4.36</v>
      </c>
      <c r="C14" t="n">
        <v>2290.867653</v>
      </c>
      <c r="D14" t="inlineStr">
        <is>
          <t>Whiting</t>
        </is>
      </c>
      <c r="E14" t="n">
        <v>327.790917</v>
      </c>
      <c r="F14" t="n">
        <v>846.004185</v>
      </c>
      <c r="G14" t="n">
        <v>165.529429</v>
      </c>
      <c r="H14" t="n">
        <v>323.753532</v>
      </c>
      <c r="I14" t="n">
        <v>252.276122</v>
      </c>
      <c r="J14" t="n">
        <v>268.755772</v>
      </c>
      <c r="K14" t="n">
        <v>239.192637</v>
      </c>
      <c r="L14" t="n">
        <v>351.703825</v>
      </c>
      <c r="M14" t="n">
        <v>351.703825</v>
      </c>
      <c r="N14" t="n">
        <v>351.703825</v>
      </c>
      <c r="O14" t="n">
        <v>218.809009</v>
      </c>
      <c r="P14" t="n">
        <v>79.803292</v>
      </c>
      <c r="Q14" t="n">
        <v>351.703825</v>
      </c>
      <c r="R14" t="n">
        <v>351.703825</v>
      </c>
      <c r="S14" t="n">
        <v>218.809009</v>
      </c>
      <c r="T14" t="n">
        <v>218.809009</v>
      </c>
      <c r="U14" t="n">
        <v>79.803292</v>
      </c>
      <c r="V14" t="n">
        <v>79.803292</v>
      </c>
      <c r="W14" t="n">
        <v>217.320589</v>
      </c>
      <c r="X14" t="n">
        <v>367.290101</v>
      </c>
    </row>
    <row r="15">
      <c r="A15" t="inlineStr">
        <is>
          <t>Micromesistius poutassou</t>
        </is>
      </c>
      <c r="B15" t="n">
        <v>4.13</v>
      </c>
      <c r="C15" t="n">
        <v>1348.962883</v>
      </c>
      <c r="D15" t="inlineStr">
        <is>
          <t>Large Pelagics</t>
        </is>
      </c>
      <c r="E15" t="n">
        <v>327.790917</v>
      </c>
      <c r="F15" t="n">
        <v>409.325031</v>
      </c>
      <c r="G15" t="n">
        <v>95.473426</v>
      </c>
      <c r="H15" t="n">
        <v>171.971164</v>
      </c>
      <c r="I15" t="n">
        <v>151.710468</v>
      </c>
      <c r="J15" t="n">
        <v>166.941311</v>
      </c>
      <c r="K15" t="n">
        <v>150.24718</v>
      </c>
      <c r="L15" t="n">
        <v>208.675232</v>
      </c>
      <c r="M15" t="n">
        <v>208.675232</v>
      </c>
      <c r="N15" t="n">
        <v>208.675232</v>
      </c>
      <c r="O15" t="n">
        <v>139.225251</v>
      </c>
      <c r="P15" t="n">
        <v>55.587338</v>
      </c>
      <c r="Q15" t="n">
        <v>208.675232</v>
      </c>
      <c r="R15" t="n">
        <v>208.675232</v>
      </c>
      <c r="S15" t="n">
        <v>139.225251</v>
      </c>
      <c r="T15" t="n">
        <v>139.225251</v>
      </c>
      <c r="U15" t="n">
        <v>55.587338</v>
      </c>
      <c r="V15" t="n">
        <v>55.587338</v>
      </c>
      <c r="W15" t="n">
        <v>138.889014</v>
      </c>
      <c r="X15" t="n">
        <v>209.882396</v>
      </c>
    </row>
    <row r="16">
      <c r="A16" t="inlineStr">
        <is>
          <t>Crangon crangon</t>
        </is>
      </c>
      <c r="B16" t="n">
        <v>3.19</v>
      </c>
      <c r="C16" t="n">
        <v>154.881662</v>
      </c>
      <c r="D16" t="inlineStr">
        <is>
          <t>Crustacea</t>
        </is>
      </c>
      <c r="E16" t="n">
        <v>327.790917</v>
      </c>
      <c r="F16" t="n">
        <v>79.403785</v>
      </c>
      <c r="G16" t="n">
        <v>27.544327</v>
      </c>
      <c r="H16" t="n">
        <v>45.837748</v>
      </c>
      <c r="I16" t="n">
        <v>38.918317</v>
      </c>
      <c r="J16" t="n">
        <v>38.964516</v>
      </c>
      <c r="K16" t="n">
        <v>31.561258</v>
      </c>
      <c r="L16" t="n">
        <v>47.671907</v>
      </c>
      <c r="M16" t="n">
        <v>47.671907</v>
      </c>
      <c r="N16" t="n">
        <v>47.671907</v>
      </c>
      <c r="O16" t="n">
        <v>34.575524</v>
      </c>
      <c r="P16" t="n">
        <v>19.020842</v>
      </c>
      <c r="Q16" t="n">
        <v>47.671907</v>
      </c>
      <c r="R16" t="n">
        <v>47.671907</v>
      </c>
      <c r="S16" t="n">
        <v>34.575524</v>
      </c>
      <c r="T16" t="n">
        <v>34.575524</v>
      </c>
      <c r="U16" t="n">
        <v>19.020842</v>
      </c>
      <c r="V16" t="n">
        <v>19.020842</v>
      </c>
      <c r="W16" t="n">
        <v>34.954015</v>
      </c>
      <c r="X16" t="n">
        <v>47.765312</v>
      </c>
    </row>
    <row r="17">
      <c r="A17" t="inlineStr">
        <is>
          <t>Limanda limanda</t>
        </is>
      </c>
      <c r="B17" t="n">
        <v>3.29</v>
      </c>
      <c r="C17" t="n">
        <v>194.98446</v>
      </c>
      <c r="D17" t="inlineStr">
        <is>
          <t>Flatfishes</t>
        </is>
      </c>
      <c r="E17" t="n">
        <v>327.790917</v>
      </c>
      <c r="F17" t="n">
        <v>222.264878</v>
      </c>
      <c r="G17" t="n">
        <v>60.099306</v>
      </c>
      <c r="H17" t="n">
        <v>123.58001</v>
      </c>
      <c r="I17" t="n">
        <v>98.981683</v>
      </c>
      <c r="J17" t="n">
        <v>101.310188</v>
      </c>
      <c r="K17" t="n">
        <v>92.19227100000001</v>
      </c>
      <c r="L17" t="n">
        <v>114.167454</v>
      </c>
      <c r="M17" t="n">
        <v>114.167454</v>
      </c>
      <c r="N17" t="n">
        <v>114.167454</v>
      </c>
      <c r="O17" t="n">
        <v>82.349557</v>
      </c>
      <c r="P17" t="n">
        <v>38.756383</v>
      </c>
      <c r="Q17" t="n">
        <v>114.167454</v>
      </c>
      <c r="R17" t="n">
        <v>114.167454</v>
      </c>
      <c r="S17" t="n">
        <v>82.349557</v>
      </c>
      <c r="T17" t="n">
        <v>82.349557</v>
      </c>
      <c r="U17" t="n">
        <v>38.756383</v>
      </c>
      <c r="V17" t="n">
        <v>38.756383</v>
      </c>
      <c r="W17" t="n">
        <v>82.655303</v>
      </c>
      <c r="X17" t="n">
        <v>113.898256</v>
      </c>
    </row>
    <row r="18">
      <c r="A18" t="inlineStr">
        <is>
          <t>Mytilus edulis</t>
        </is>
      </c>
      <c r="B18" t="n">
        <v>2</v>
      </c>
      <c r="C18" t="n">
        <v>10</v>
      </c>
      <c r="D18" t="inlineStr">
        <is>
          <t>Epifauna</t>
        </is>
      </c>
      <c r="E18" t="n">
        <v>327.790917</v>
      </c>
      <c r="F18" t="n">
        <v>28.994229</v>
      </c>
      <c r="G18" t="n">
        <v>12.834993</v>
      </c>
      <c r="H18" t="n">
        <v>17.954978</v>
      </c>
      <c r="I18" t="n">
        <v>11.374014</v>
      </c>
      <c r="J18" t="n">
        <v>11.374014</v>
      </c>
      <c r="K18" t="n">
        <v>10.009132</v>
      </c>
      <c r="L18" t="n">
        <v>10.950321</v>
      </c>
      <c r="M18" t="n">
        <v>10.950321</v>
      </c>
      <c r="N18" t="n">
        <v>10.950321</v>
      </c>
      <c r="O18" t="n">
        <v>10.041084</v>
      </c>
      <c r="P18" t="n">
        <v>6.846302</v>
      </c>
      <c r="Q18" t="n">
        <v>10.950321</v>
      </c>
      <c r="R18" t="n">
        <v>10.950321</v>
      </c>
      <c r="S18" t="n">
        <v>10.041084</v>
      </c>
      <c r="T18" t="n">
        <v>10.041084</v>
      </c>
      <c r="U18" t="n">
        <v>6.846302</v>
      </c>
      <c r="V18" t="n">
        <v>6.846302</v>
      </c>
      <c r="W18" t="n">
        <v>9.947857000000001</v>
      </c>
      <c r="X18" t="n">
        <v>10.794705</v>
      </c>
    </row>
    <row r="19">
      <c r="A19" t="inlineStr">
        <is>
          <t>Marine finfishes not identified</t>
        </is>
      </c>
      <c r="B19" t="n">
        <v>3.23</v>
      </c>
      <c r="C19" t="n">
        <v>169.824365</v>
      </c>
      <c r="D19" t="inlineStr">
        <is>
          <t>Flatfishes | Monkfish | Large Dem. fish</t>
        </is>
      </c>
      <c r="E19" t="n">
        <v>327.790917</v>
      </c>
      <c r="F19" t="n">
        <v>345.033369</v>
      </c>
      <c r="G19" t="n">
        <v>78.18723</v>
      </c>
      <c r="H19" t="n">
        <v>164.100144</v>
      </c>
      <c r="I19" t="n">
        <v>132.854976</v>
      </c>
      <c r="J19" t="n">
        <v>137.390299</v>
      </c>
      <c r="K19" t="n">
        <v>126.313644</v>
      </c>
      <c r="L19" t="n">
        <v>164.733434</v>
      </c>
      <c r="M19" t="n">
        <v>164.733434</v>
      </c>
      <c r="N19" t="n">
        <v>164.733434</v>
      </c>
      <c r="O19" t="n">
        <v>113.48574</v>
      </c>
      <c r="P19" t="n">
        <v>48.310329</v>
      </c>
      <c r="Q19" t="n">
        <v>164.733434</v>
      </c>
      <c r="R19" t="n">
        <v>164.733434</v>
      </c>
      <c r="S19" t="n">
        <v>113.48574</v>
      </c>
      <c r="T19" t="n">
        <v>113.48574</v>
      </c>
      <c r="U19" t="n">
        <v>48.310329</v>
      </c>
      <c r="V19" t="n">
        <v>48.310329</v>
      </c>
      <c r="W19" t="n">
        <v>114.273159</v>
      </c>
      <c r="X19" t="n">
        <v>165.225716</v>
      </c>
    </row>
    <row r="20">
      <c r="A20" t="inlineStr">
        <is>
          <t>Ammodytes marinus</t>
        </is>
      </c>
      <c r="D20" t="inlineStr">
        <is>
          <t>Small pelagics</t>
        </is>
      </c>
      <c r="E20" t="n">
        <v>327.790917</v>
      </c>
      <c r="F20" t="n">
        <v>148.024912</v>
      </c>
      <c r="G20" t="n">
        <v>44.163101</v>
      </c>
      <c r="H20" t="n">
        <v>58.893278</v>
      </c>
      <c r="I20" t="n">
        <v>29.57747</v>
      </c>
      <c r="J20" t="n">
        <v>29.708263</v>
      </c>
      <c r="K20" t="n">
        <v>26.143271</v>
      </c>
      <c r="L20" t="n">
        <v>37.444032</v>
      </c>
      <c r="M20" t="n">
        <v>37.444032</v>
      </c>
      <c r="N20" t="n">
        <v>37.444032</v>
      </c>
      <c r="O20" t="n">
        <v>26.825837</v>
      </c>
      <c r="P20" t="n">
        <v>12.629082</v>
      </c>
      <c r="Q20" t="n">
        <v>37.444032</v>
      </c>
      <c r="R20" t="n">
        <v>37.444032</v>
      </c>
      <c r="S20" t="n">
        <v>26.825837</v>
      </c>
      <c r="T20" t="n">
        <v>26.825837</v>
      </c>
      <c r="U20" t="n">
        <v>12.629082</v>
      </c>
      <c r="V20" t="n">
        <v>12.629082</v>
      </c>
      <c r="W20" t="n">
        <v>26.643813</v>
      </c>
      <c r="X20" t="n">
        <v>39.607714</v>
      </c>
    </row>
    <row r="21">
      <c r="A21" t="inlineStr">
        <is>
          <t>Trachurus trachurus</t>
        </is>
      </c>
      <c r="B21" t="n">
        <v>3.71</v>
      </c>
      <c r="C21" t="n">
        <v>512.861384</v>
      </c>
      <c r="D21" t="inlineStr">
        <is>
          <t>Large Pelagics</t>
        </is>
      </c>
      <c r="E21" t="n">
        <v>327.790917</v>
      </c>
      <c r="F21" t="n">
        <v>409.325031</v>
      </c>
      <c r="G21" t="n">
        <v>95.473426</v>
      </c>
      <c r="H21" t="n">
        <v>171.971164</v>
      </c>
      <c r="I21" t="n">
        <v>151.710468</v>
      </c>
      <c r="J21" t="n">
        <v>166.941311</v>
      </c>
      <c r="K21" t="n">
        <v>150.24718</v>
      </c>
      <c r="L21" t="n">
        <v>208.675232</v>
      </c>
      <c r="M21" t="n">
        <v>208.675232</v>
      </c>
      <c r="N21" t="n">
        <v>208.675232</v>
      </c>
      <c r="O21" t="n">
        <v>139.225251</v>
      </c>
      <c r="P21" t="n">
        <v>55.587338</v>
      </c>
      <c r="Q21" t="n">
        <v>208.675232</v>
      </c>
      <c r="R21" t="n">
        <v>208.675232</v>
      </c>
      <c r="S21" t="n">
        <v>139.225251</v>
      </c>
      <c r="T21" t="n">
        <v>139.225251</v>
      </c>
      <c r="U21" t="n">
        <v>55.587338</v>
      </c>
      <c r="V21" t="n">
        <v>55.587338</v>
      </c>
      <c r="W21" t="n">
        <v>138.889014</v>
      </c>
      <c r="X21" t="n">
        <v>209.882396</v>
      </c>
    </row>
    <row r="22">
      <c r="A22" t="inlineStr">
        <is>
          <t>Solea solea</t>
        </is>
      </c>
      <c r="B22" t="n">
        <v>3.21</v>
      </c>
      <c r="C22" t="n">
        <v>162.18101</v>
      </c>
      <c r="D22" t="inlineStr">
        <is>
          <t>Flatfishes</t>
        </is>
      </c>
      <c r="E22" t="n">
        <v>327.790917</v>
      </c>
      <c r="F22" t="n">
        <v>222.264878</v>
      </c>
      <c r="G22" t="n">
        <v>60.099306</v>
      </c>
      <c r="H22" t="n">
        <v>123.58001</v>
      </c>
      <c r="I22" t="n">
        <v>98.981683</v>
      </c>
      <c r="J22" t="n">
        <v>101.310188</v>
      </c>
      <c r="K22" t="n">
        <v>92.19227100000001</v>
      </c>
      <c r="L22" t="n">
        <v>114.167454</v>
      </c>
      <c r="M22" t="n">
        <v>114.167454</v>
      </c>
      <c r="N22" t="n">
        <v>114.167454</v>
      </c>
      <c r="O22" t="n">
        <v>82.349557</v>
      </c>
      <c r="P22" t="n">
        <v>38.756383</v>
      </c>
      <c r="Q22" t="n">
        <v>114.167454</v>
      </c>
      <c r="R22" t="n">
        <v>114.167454</v>
      </c>
      <c r="S22" t="n">
        <v>82.349557</v>
      </c>
      <c r="T22" t="n">
        <v>82.349557</v>
      </c>
      <c r="U22" t="n">
        <v>38.756383</v>
      </c>
      <c r="V22" t="n">
        <v>38.756383</v>
      </c>
      <c r="W22" t="n">
        <v>82.655303</v>
      </c>
      <c r="X22" t="n">
        <v>113.898256</v>
      </c>
    </row>
    <row r="23">
      <c r="A23" t="inlineStr">
        <is>
          <t>Cerastoderma edule</t>
        </is>
      </c>
      <c r="B23" t="n">
        <v>2</v>
      </c>
      <c r="C23" t="n">
        <v>10</v>
      </c>
      <c r="D23" t="inlineStr">
        <is>
          <t>Epifauna</t>
        </is>
      </c>
      <c r="E23" t="n">
        <v>327.790917</v>
      </c>
      <c r="F23" t="n">
        <v>28.994229</v>
      </c>
      <c r="G23" t="n">
        <v>12.834993</v>
      </c>
      <c r="H23" t="n">
        <v>17.954978</v>
      </c>
      <c r="I23" t="n">
        <v>11.374014</v>
      </c>
      <c r="J23" t="n">
        <v>11.374014</v>
      </c>
      <c r="K23" t="n">
        <v>10.009132</v>
      </c>
      <c r="L23" t="n">
        <v>10.950321</v>
      </c>
      <c r="M23" t="n">
        <v>10.950321</v>
      </c>
      <c r="N23" t="n">
        <v>10.950321</v>
      </c>
      <c r="O23" t="n">
        <v>10.041084</v>
      </c>
      <c r="P23" t="n">
        <v>6.846302</v>
      </c>
      <c r="Q23" t="n">
        <v>10.950321</v>
      </c>
      <c r="R23" t="n">
        <v>10.950321</v>
      </c>
      <c r="S23" t="n">
        <v>10.041084</v>
      </c>
      <c r="T23" t="n">
        <v>10.041084</v>
      </c>
      <c r="U23" t="n">
        <v>6.846302</v>
      </c>
      <c r="V23" t="n">
        <v>6.846302</v>
      </c>
      <c r="W23" t="n">
        <v>9.947857000000001</v>
      </c>
      <c r="X23" t="n">
        <v>10.794705</v>
      </c>
    </row>
    <row r="24">
      <c r="A24" t="inlineStr">
        <is>
          <t>Nephrops norvegicus</t>
        </is>
      </c>
      <c r="B24" t="n">
        <v>2.87</v>
      </c>
      <c r="C24" t="n">
        <v>74.131024</v>
      </c>
      <c r="D24" t="inlineStr">
        <is>
          <t>Crustacea</t>
        </is>
      </c>
      <c r="E24" t="n">
        <v>327.790917</v>
      </c>
      <c r="F24" t="n">
        <v>79.403785</v>
      </c>
      <c r="G24" t="n">
        <v>27.544327</v>
      </c>
      <c r="H24" t="n">
        <v>45.837748</v>
      </c>
      <c r="I24" t="n">
        <v>38.918317</v>
      </c>
      <c r="J24" t="n">
        <v>38.964516</v>
      </c>
      <c r="K24" t="n">
        <v>31.561258</v>
      </c>
      <c r="L24" t="n">
        <v>47.671907</v>
      </c>
      <c r="M24" t="n">
        <v>47.671907</v>
      </c>
      <c r="N24" t="n">
        <v>47.671907</v>
      </c>
      <c r="O24" t="n">
        <v>34.575524</v>
      </c>
      <c r="P24" t="n">
        <v>19.020842</v>
      </c>
      <c r="Q24" t="n">
        <v>47.671907</v>
      </c>
      <c r="R24" t="n">
        <v>47.671907</v>
      </c>
      <c r="S24" t="n">
        <v>34.575524</v>
      </c>
      <c r="T24" t="n">
        <v>34.575524</v>
      </c>
      <c r="U24" t="n">
        <v>19.020842</v>
      </c>
      <c r="V24" t="n">
        <v>19.020842</v>
      </c>
      <c r="W24" t="n">
        <v>34.954015</v>
      </c>
      <c r="X24" t="n">
        <v>47.765312</v>
      </c>
    </row>
    <row r="25">
      <c r="A25" t="inlineStr">
        <is>
          <t>Squalus acanthias</t>
        </is>
      </c>
      <c r="B25" t="n">
        <v>4.37</v>
      </c>
      <c r="C25" t="n">
        <v>2344.228815</v>
      </c>
      <c r="D25" t="inlineStr">
        <is>
          <t>Sharks &amp; rays</t>
        </is>
      </c>
      <c r="E25" t="n">
        <v>327.790917</v>
      </c>
      <c r="F25" t="n">
        <v>522.28227</v>
      </c>
      <c r="G25" t="n">
        <v>114.842938</v>
      </c>
      <c r="H25" t="n">
        <v>326.928715</v>
      </c>
      <c r="I25" t="n">
        <v>732.255138</v>
      </c>
      <c r="J25" t="n">
        <v>761.48662</v>
      </c>
      <c r="K25" t="n">
        <v>327.439247</v>
      </c>
      <c r="L25" t="n">
        <v>1275.246638</v>
      </c>
      <c r="M25" t="n">
        <v>1275.246638</v>
      </c>
      <c r="N25" t="n">
        <v>1275.246638</v>
      </c>
      <c r="O25" t="n">
        <v>317.659957</v>
      </c>
      <c r="P25" t="n">
        <v>115.247551</v>
      </c>
      <c r="Q25" t="n">
        <v>1275.246638</v>
      </c>
      <c r="R25" t="n">
        <v>1275.246638</v>
      </c>
      <c r="S25" t="n">
        <v>317.659957</v>
      </c>
      <c r="T25" t="n">
        <v>317.659957</v>
      </c>
      <c r="U25" t="n">
        <v>115.247551</v>
      </c>
      <c r="V25" t="n">
        <v>115.247551</v>
      </c>
      <c r="W25" t="n">
        <v>327.701462</v>
      </c>
      <c r="X25" t="n">
        <v>1310.378519</v>
      </c>
    </row>
    <row r="26">
      <c r="A26" t="inlineStr">
        <is>
          <t>Molva molva</t>
        </is>
      </c>
      <c r="B26" t="n">
        <v>4.4</v>
      </c>
      <c r="C26" t="n">
        <v>2511.886432</v>
      </c>
      <c r="D26" t="inlineStr">
        <is>
          <t>Ling</t>
        </is>
      </c>
      <c r="E26" t="n">
        <v>327.790917</v>
      </c>
      <c r="F26" t="n">
        <v>1898.245398</v>
      </c>
      <c r="G26" t="n">
        <v>305.428226</v>
      </c>
      <c r="H26" t="n">
        <v>911.558009</v>
      </c>
      <c r="I26" t="n">
        <v>376.10347</v>
      </c>
      <c r="J26" t="n">
        <v>391.847098</v>
      </c>
      <c r="K26" t="n">
        <v>368.336273</v>
      </c>
      <c r="L26" t="n">
        <v>491.495581</v>
      </c>
      <c r="M26" t="n">
        <v>491.495581</v>
      </c>
      <c r="N26" t="n">
        <v>491.495581</v>
      </c>
      <c r="O26" t="n">
        <v>302.549286</v>
      </c>
      <c r="P26" t="n">
        <v>96.52297900000001</v>
      </c>
      <c r="Q26" t="n">
        <v>491.495581</v>
      </c>
      <c r="R26" t="n">
        <v>491.495581</v>
      </c>
      <c r="S26" t="n">
        <v>302.549286</v>
      </c>
      <c r="T26" t="n">
        <v>302.549286</v>
      </c>
      <c r="U26" t="n">
        <v>96.52297900000001</v>
      </c>
      <c r="V26" t="n">
        <v>96.52297900000001</v>
      </c>
      <c r="W26" t="n">
        <v>307.895008</v>
      </c>
      <c r="X26" t="n">
        <v>544.500349</v>
      </c>
    </row>
    <row r="27">
      <c r="A27" t="inlineStr">
        <is>
          <t>Ammodytidae</t>
        </is>
      </c>
      <c r="D27" t="inlineStr">
        <is>
          <t>Small pelagics</t>
        </is>
      </c>
      <c r="E27" t="n">
        <v>327.790917</v>
      </c>
      <c r="F27" t="n">
        <v>148.024912</v>
      </c>
      <c r="G27" t="n">
        <v>44.163101</v>
      </c>
      <c r="H27" t="n">
        <v>58.893278</v>
      </c>
      <c r="I27" t="n">
        <v>29.57747</v>
      </c>
      <c r="J27" t="n">
        <v>29.708263</v>
      </c>
      <c r="K27" t="n">
        <v>26.143271</v>
      </c>
      <c r="L27" t="n">
        <v>37.444032</v>
      </c>
      <c r="M27" t="n">
        <v>37.444032</v>
      </c>
      <c r="N27" t="n">
        <v>37.444032</v>
      </c>
      <c r="O27" t="n">
        <v>26.825837</v>
      </c>
      <c r="P27" t="n">
        <v>12.629082</v>
      </c>
      <c r="Q27" t="n">
        <v>37.444032</v>
      </c>
      <c r="R27" t="n">
        <v>37.444032</v>
      </c>
      <c r="S27" t="n">
        <v>26.825837</v>
      </c>
      <c r="T27" t="n">
        <v>26.825837</v>
      </c>
      <c r="U27" t="n">
        <v>12.629082</v>
      </c>
      <c r="V27" t="n">
        <v>12.629082</v>
      </c>
      <c r="W27" t="n">
        <v>26.643813</v>
      </c>
      <c r="X27" t="n">
        <v>39.607714</v>
      </c>
    </row>
    <row r="28">
      <c r="A28" t="inlineStr">
        <is>
          <t>Cancer pagurus</t>
        </is>
      </c>
      <c r="B28" t="n">
        <v>3.1</v>
      </c>
      <c r="C28" t="n">
        <v>125.892541</v>
      </c>
      <c r="D28" t="inlineStr">
        <is>
          <t>Crustacea</t>
        </is>
      </c>
      <c r="E28" t="n">
        <v>327.790917</v>
      </c>
      <c r="F28" t="n">
        <v>79.403785</v>
      </c>
      <c r="G28" t="n">
        <v>27.544327</v>
      </c>
      <c r="H28" t="n">
        <v>45.837748</v>
      </c>
      <c r="I28" t="n">
        <v>38.918317</v>
      </c>
      <c r="J28" t="n">
        <v>38.964516</v>
      </c>
      <c r="K28" t="n">
        <v>31.561258</v>
      </c>
      <c r="L28" t="n">
        <v>47.671907</v>
      </c>
      <c r="M28" t="n">
        <v>47.671907</v>
      </c>
      <c r="N28" t="n">
        <v>47.671907</v>
      </c>
      <c r="O28" t="n">
        <v>34.575524</v>
      </c>
      <c r="P28" t="n">
        <v>19.020842</v>
      </c>
      <c r="Q28" t="n">
        <v>47.671907</v>
      </c>
      <c r="R28" t="n">
        <v>47.671907</v>
      </c>
      <c r="S28" t="n">
        <v>34.575524</v>
      </c>
      <c r="T28" t="n">
        <v>34.575524</v>
      </c>
      <c r="U28" t="n">
        <v>19.020842</v>
      </c>
      <c r="V28" t="n">
        <v>19.020842</v>
      </c>
      <c r="W28" t="n">
        <v>34.954015</v>
      </c>
      <c r="X28" t="n">
        <v>47.765312</v>
      </c>
    </row>
    <row r="29">
      <c r="A29" t="inlineStr">
        <is>
          <t>Eutrigla gurnardus</t>
        </is>
      </c>
      <c r="B29" t="n">
        <v>3.87</v>
      </c>
      <c r="C29" t="n">
        <v>741.310241</v>
      </c>
      <c r="D29" t="inlineStr">
        <is>
          <t>Large Dem. fish</t>
        </is>
      </c>
      <c r="E29" t="n">
        <v>327.790917</v>
      </c>
      <c r="F29" t="n">
        <v>665.972772</v>
      </c>
      <c r="G29" t="n">
        <v>138.073221</v>
      </c>
      <c r="H29" t="n">
        <v>328.210407</v>
      </c>
      <c r="I29" t="n">
        <v>321.185641</v>
      </c>
      <c r="J29" t="n">
        <v>337.306601</v>
      </c>
      <c r="K29" t="n">
        <v>317.068205</v>
      </c>
      <c r="L29" t="n">
        <v>461.958282</v>
      </c>
      <c r="M29" t="n">
        <v>461.958282</v>
      </c>
      <c r="N29" t="n">
        <v>461.958282</v>
      </c>
      <c r="O29" t="n">
        <v>304.533157</v>
      </c>
      <c r="P29" t="n">
        <v>108.42706</v>
      </c>
      <c r="Q29" t="n">
        <v>461.958282</v>
      </c>
      <c r="R29" t="n">
        <v>461.958282</v>
      </c>
      <c r="S29" t="n">
        <v>304.533157</v>
      </c>
      <c r="T29" t="n">
        <v>304.533157</v>
      </c>
      <c r="U29" t="n">
        <v>108.42706</v>
      </c>
      <c r="V29" t="n">
        <v>108.42706</v>
      </c>
      <c r="W29" t="n">
        <v>306.991308</v>
      </c>
      <c r="X29" t="n">
        <v>468.161038</v>
      </c>
    </row>
    <row r="30">
      <c r="A30" t="inlineStr">
        <is>
          <t>Lophius piscatorius</t>
        </is>
      </c>
      <c r="B30" t="n">
        <v>4.45</v>
      </c>
      <c r="C30" t="n">
        <v>2818.382931</v>
      </c>
      <c r="D30" t="inlineStr">
        <is>
          <t>Monkfish</t>
        </is>
      </c>
      <c r="E30" t="n">
        <v>327.790917</v>
      </c>
      <c r="F30" t="n">
        <v>3156.036008</v>
      </c>
      <c r="G30" t="n">
        <v>449.016361</v>
      </c>
      <c r="H30" t="n">
        <v>891.8267070000001</v>
      </c>
      <c r="I30" t="n">
        <v>565.367315</v>
      </c>
      <c r="J30" t="n">
        <v>600.432108</v>
      </c>
      <c r="K30" t="n">
        <v>558.4018600000001</v>
      </c>
      <c r="L30" t="n">
        <v>755.080363</v>
      </c>
      <c r="M30" t="n">
        <v>755.080363</v>
      </c>
      <c r="N30" t="n">
        <v>755.080363</v>
      </c>
      <c r="O30" t="n">
        <v>449.38351</v>
      </c>
      <c r="P30" t="n">
        <v>146.238125</v>
      </c>
      <c r="Q30" t="n">
        <v>755.080363</v>
      </c>
      <c r="R30" t="n">
        <v>755.080363</v>
      </c>
      <c r="S30" t="n">
        <v>449.38351</v>
      </c>
      <c r="T30" t="n">
        <v>449.38351</v>
      </c>
      <c r="U30" t="n">
        <v>146.238125</v>
      </c>
      <c r="V30" t="n">
        <v>146.238125</v>
      </c>
      <c r="W30" t="n">
        <v>459.784631</v>
      </c>
      <c r="X30" t="n">
        <v>760.218023</v>
      </c>
    </row>
    <row r="31">
      <c r="A31" t="inlineStr">
        <is>
          <t>Platichthys flesus</t>
        </is>
      </c>
      <c r="B31" t="n">
        <v>3.32</v>
      </c>
      <c r="C31" t="n">
        <v>208.929613</v>
      </c>
      <c r="D31" t="inlineStr">
        <is>
          <t>Flatfishes</t>
        </is>
      </c>
      <c r="E31" t="n">
        <v>327.790917</v>
      </c>
      <c r="F31" t="n">
        <v>222.264878</v>
      </c>
      <c r="G31" t="n">
        <v>60.099306</v>
      </c>
      <c r="H31" t="n">
        <v>123.58001</v>
      </c>
      <c r="I31" t="n">
        <v>98.981683</v>
      </c>
      <c r="J31" t="n">
        <v>101.310188</v>
      </c>
      <c r="K31" t="n">
        <v>92.19227100000001</v>
      </c>
      <c r="L31" t="n">
        <v>114.167454</v>
      </c>
      <c r="M31" t="n">
        <v>114.167454</v>
      </c>
      <c r="N31" t="n">
        <v>114.167454</v>
      </c>
      <c r="O31" t="n">
        <v>82.349557</v>
      </c>
      <c r="P31" t="n">
        <v>38.756383</v>
      </c>
      <c r="Q31" t="n">
        <v>114.167454</v>
      </c>
      <c r="R31" t="n">
        <v>114.167454</v>
      </c>
      <c r="S31" t="n">
        <v>82.349557</v>
      </c>
      <c r="T31" t="n">
        <v>82.349557</v>
      </c>
      <c r="U31" t="n">
        <v>38.756383</v>
      </c>
      <c r="V31" t="n">
        <v>38.756383</v>
      </c>
      <c r="W31" t="n">
        <v>82.655303</v>
      </c>
      <c r="X31" t="n">
        <v>113.898256</v>
      </c>
    </row>
    <row r="32">
      <c r="A32" t="inlineStr">
        <is>
          <t>Pandalus borealis</t>
        </is>
      </c>
      <c r="B32" t="n">
        <v>3.07</v>
      </c>
      <c r="C32" t="n">
        <v>117.489755</v>
      </c>
      <c r="D32" t="inlineStr">
        <is>
          <t>Crustacea</t>
        </is>
      </c>
      <c r="E32" t="n">
        <v>327.790917</v>
      </c>
      <c r="F32" t="n">
        <v>79.403785</v>
      </c>
      <c r="G32" t="n">
        <v>27.544327</v>
      </c>
      <c r="H32" t="n">
        <v>45.837748</v>
      </c>
      <c r="I32" t="n">
        <v>38.918317</v>
      </c>
      <c r="J32" t="n">
        <v>38.964516</v>
      </c>
      <c r="K32" t="n">
        <v>31.561258</v>
      </c>
      <c r="L32" t="n">
        <v>47.671907</v>
      </c>
      <c r="M32" t="n">
        <v>47.671907</v>
      </c>
      <c r="N32" t="n">
        <v>47.671907</v>
      </c>
      <c r="O32" t="n">
        <v>34.575524</v>
      </c>
      <c r="P32" t="n">
        <v>19.020842</v>
      </c>
      <c r="Q32" t="n">
        <v>47.671907</v>
      </c>
      <c r="R32" t="n">
        <v>47.671907</v>
      </c>
      <c r="S32" t="n">
        <v>34.575524</v>
      </c>
      <c r="T32" t="n">
        <v>34.575524</v>
      </c>
      <c r="U32" t="n">
        <v>19.020842</v>
      </c>
      <c r="V32" t="n">
        <v>19.020842</v>
      </c>
      <c r="W32" t="n">
        <v>34.954015</v>
      </c>
      <c r="X32" t="n">
        <v>47.765312</v>
      </c>
    </row>
    <row r="33">
      <c r="A33" t="inlineStr">
        <is>
          <t>Coryphaenoides rupestris</t>
        </is>
      </c>
      <c r="B33" t="n">
        <v>3.54</v>
      </c>
      <c r="C33" t="n">
        <v>346.73685</v>
      </c>
      <c r="D33" t="inlineStr">
        <is>
          <t>Unresolved</t>
        </is>
      </c>
    </row>
    <row r="34">
      <c r="A34" t="inlineStr">
        <is>
          <t>Microstomus kitt</t>
        </is>
      </c>
      <c r="B34" t="n">
        <v>3.22</v>
      </c>
      <c r="C34" t="n">
        <v>165.958691</v>
      </c>
      <c r="D34" t="inlineStr">
        <is>
          <t>Flatfishes</t>
        </is>
      </c>
      <c r="E34" t="n">
        <v>327.790917</v>
      </c>
      <c r="F34" t="n">
        <v>222.264878</v>
      </c>
      <c r="G34" t="n">
        <v>60.099306</v>
      </c>
      <c r="H34" t="n">
        <v>123.58001</v>
      </c>
      <c r="I34" t="n">
        <v>98.981683</v>
      </c>
      <c r="J34" t="n">
        <v>101.310188</v>
      </c>
      <c r="K34" t="n">
        <v>92.19227100000001</v>
      </c>
      <c r="L34" t="n">
        <v>114.167454</v>
      </c>
      <c r="M34" t="n">
        <v>114.167454</v>
      </c>
      <c r="N34" t="n">
        <v>114.167454</v>
      </c>
      <c r="O34" t="n">
        <v>82.349557</v>
      </c>
      <c r="P34" t="n">
        <v>38.756383</v>
      </c>
      <c r="Q34" t="n">
        <v>114.167454</v>
      </c>
      <c r="R34" t="n">
        <v>114.167454</v>
      </c>
      <c r="S34" t="n">
        <v>82.349557</v>
      </c>
      <c r="T34" t="n">
        <v>82.349557</v>
      </c>
      <c r="U34" t="n">
        <v>38.756383</v>
      </c>
      <c r="V34" t="n">
        <v>38.756383</v>
      </c>
      <c r="W34" t="n">
        <v>82.655303</v>
      </c>
      <c r="X34" t="n">
        <v>113.898256</v>
      </c>
    </row>
    <row r="35">
      <c r="A35" t="inlineStr">
        <is>
          <t>Merluccius merluccius</t>
        </is>
      </c>
      <c r="B35" t="n">
        <v>4.42</v>
      </c>
      <c r="C35" t="n">
        <v>2630.267992</v>
      </c>
      <c r="D35" t="inlineStr">
        <is>
          <t>Hake</t>
        </is>
      </c>
      <c r="E35" t="n">
        <v>327.790917</v>
      </c>
      <c r="F35" t="n">
        <v>3460.403727</v>
      </c>
      <c r="G35" t="n">
        <v>481.470476</v>
      </c>
      <c r="H35" t="n">
        <v>916.217923</v>
      </c>
      <c r="I35" t="n">
        <v>505.277782</v>
      </c>
      <c r="J35" t="n">
        <v>553.81095</v>
      </c>
      <c r="K35" t="n">
        <v>509.506074</v>
      </c>
      <c r="L35" t="n">
        <v>696.576775</v>
      </c>
      <c r="M35" t="n">
        <v>696.576775</v>
      </c>
      <c r="N35" t="n">
        <v>696.576775</v>
      </c>
      <c r="O35" t="n">
        <v>427.075473</v>
      </c>
      <c r="P35" t="n">
        <v>136.464814</v>
      </c>
      <c r="Q35" t="n">
        <v>696.576775</v>
      </c>
      <c r="R35" t="n">
        <v>696.576775</v>
      </c>
      <c r="S35" t="n">
        <v>427.075473</v>
      </c>
      <c r="T35" t="n">
        <v>427.075473</v>
      </c>
      <c r="U35" t="n">
        <v>136.464814</v>
      </c>
      <c r="V35" t="n">
        <v>136.464814</v>
      </c>
      <c r="W35" t="n">
        <v>429.835101</v>
      </c>
      <c r="X35" t="n">
        <v>722.871201</v>
      </c>
    </row>
    <row r="36">
      <c r="A36" t="inlineStr">
        <is>
          <t>Scophthalmus maximus</t>
        </is>
      </c>
      <c r="B36" t="n">
        <v>4.36</v>
      </c>
      <c r="C36" t="n">
        <v>2290.867653</v>
      </c>
      <c r="D36" t="inlineStr">
        <is>
          <t>Turbot</t>
        </is>
      </c>
      <c r="E36" t="n">
        <v>327.790917</v>
      </c>
      <c r="F36" t="n">
        <v>313.661078</v>
      </c>
      <c r="G36" t="n">
        <v>78.028773</v>
      </c>
      <c r="H36" t="n">
        <v>173.783269</v>
      </c>
      <c r="I36" t="n">
        <v>125.902727</v>
      </c>
      <c r="J36" t="n">
        <v>126.240259</v>
      </c>
      <c r="K36" t="n">
        <v>103.517013</v>
      </c>
      <c r="L36" t="n">
        <v>148.298511</v>
      </c>
      <c r="M36" t="n">
        <v>148.298511</v>
      </c>
      <c r="N36" t="n">
        <v>148.298511</v>
      </c>
      <c r="O36" t="n">
        <v>92.320391</v>
      </c>
      <c r="P36" t="n">
        <v>41.231981</v>
      </c>
      <c r="Q36" t="n">
        <v>148.298511</v>
      </c>
      <c r="R36" t="n">
        <v>148.298511</v>
      </c>
      <c r="S36" t="n">
        <v>92.320391</v>
      </c>
      <c r="T36" t="n">
        <v>92.320391</v>
      </c>
      <c r="U36" t="n">
        <v>41.231981</v>
      </c>
      <c r="V36" t="n">
        <v>41.231981</v>
      </c>
      <c r="W36" t="n">
        <v>93.952403</v>
      </c>
      <c r="X36" t="n">
        <v>152.987929</v>
      </c>
    </row>
    <row r="37">
      <c r="A37" t="inlineStr">
        <is>
          <t>Raja</t>
        </is>
      </c>
      <c r="B37" t="n">
        <v>3.8</v>
      </c>
      <c r="C37" t="n">
        <v>630.957344</v>
      </c>
      <c r="D37" t="inlineStr">
        <is>
          <t>Sharks &amp; rays</t>
        </is>
      </c>
      <c r="E37" t="n">
        <v>327.790917</v>
      </c>
      <c r="F37" t="n">
        <v>522.28227</v>
      </c>
      <c r="G37" t="n">
        <v>114.842938</v>
      </c>
      <c r="H37" t="n">
        <v>326.928715</v>
      </c>
      <c r="I37" t="n">
        <v>732.255138</v>
      </c>
      <c r="J37" t="n">
        <v>761.48662</v>
      </c>
      <c r="K37" t="n">
        <v>327.439247</v>
      </c>
      <c r="L37" t="n">
        <v>1275.246638</v>
      </c>
      <c r="M37" t="n">
        <v>1275.246638</v>
      </c>
      <c r="N37" t="n">
        <v>1275.246638</v>
      </c>
      <c r="O37" t="n">
        <v>317.659957</v>
      </c>
      <c r="P37" t="n">
        <v>115.247551</v>
      </c>
      <c r="Q37" t="n">
        <v>1275.246638</v>
      </c>
      <c r="R37" t="n">
        <v>1275.246638</v>
      </c>
      <c r="S37" t="n">
        <v>317.659957</v>
      </c>
      <c r="T37" t="n">
        <v>317.659957</v>
      </c>
      <c r="U37" t="n">
        <v>115.247551</v>
      </c>
      <c r="V37" t="n">
        <v>115.247551</v>
      </c>
      <c r="W37" t="n">
        <v>327.701462</v>
      </c>
      <c r="X37" t="n">
        <v>1310.378519</v>
      </c>
    </row>
    <row r="38">
      <c r="A38" t="inlineStr">
        <is>
          <t>Brosme brosme</t>
        </is>
      </c>
      <c r="B38" t="n">
        <v>3.9</v>
      </c>
      <c r="C38" t="n">
        <v>794.3282349999999</v>
      </c>
      <c r="D38" t="inlineStr">
        <is>
          <t>Large Dem. fish</t>
        </is>
      </c>
      <c r="E38" t="n">
        <v>327.790917</v>
      </c>
      <c r="F38" t="n">
        <v>665.972772</v>
      </c>
      <c r="G38" t="n">
        <v>138.073221</v>
      </c>
      <c r="H38" t="n">
        <v>328.210407</v>
      </c>
      <c r="I38" t="n">
        <v>321.185641</v>
      </c>
      <c r="J38" t="n">
        <v>337.306601</v>
      </c>
      <c r="K38" t="n">
        <v>317.068205</v>
      </c>
      <c r="L38" t="n">
        <v>461.958282</v>
      </c>
      <c r="M38" t="n">
        <v>461.958282</v>
      </c>
      <c r="N38" t="n">
        <v>461.958282</v>
      </c>
      <c r="O38" t="n">
        <v>304.533157</v>
      </c>
      <c r="P38" t="n">
        <v>108.42706</v>
      </c>
      <c r="Q38" t="n">
        <v>461.958282</v>
      </c>
      <c r="R38" t="n">
        <v>461.958282</v>
      </c>
      <c r="S38" t="n">
        <v>304.533157</v>
      </c>
      <c r="T38" t="n">
        <v>304.533157</v>
      </c>
      <c r="U38" t="n">
        <v>108.42706</v>
      </c>
      <c r="V38" t="n">
        <v>108.42706</v>
      </c>
      <c r="W38" t="n">
        <v>306.991308</v>
      </c>
      <c r="X38" t="n">
        <v>468.161038</v>
      </c>
    </row>
    <row r="39">
      <c r="A39" t="inlineStr">
        <is>
          <t>Glyptocephalus cynoglossus</t>
        </is>
      </c>
      <c r="B39" t="n">
        <v>3.17</v>
      </c>
      <c r="C39" t="n">
        <v>147.910839</v>
      </c>
      <c r="D39" t="inlineStr">
        <is>
          <t>Flatfishes</t>
        </is>
      </c>
      <c r="E39" t="n">
        <v>327.790917</v>
      </c>
      <c r="F39" t="n">
        <v>222.264878</v>
      </c>
      <c r="G39" t="n">
        <v>60.099306</v>
      </c>
      <c r="H39" t="n">
        <v>123.58001</v>
      </c>
      <c r="I39" t="n">
        <v>98.981683</v>
      </c>
      <c r="J39" t="n">
        <v>101.310188</v>
      </c>
      <c r="K39" t="n">
        <v>92.19227100000001</v>
      </c>
      <c r="L39" t="n">
        <v>114.167454</v>
      </c>
      <c r="M39" t="n">
        <v>114.167454</v>
      </c>
      <c r="N39" t="n">
        <v>114.167454</v>
      </c>
      <c r="O39" t="n">
        <v>82.349557</v>
      </c>
      <c r="P39" t="n">
        <v>38.756383</v>
      </c>
      <c r="Q39" t="n">
        <v>114.167454</v>
      </c>
      <c r="R39" t="n">
        <v>114.167454</v>
      </c>
      <c r="S39" t="n">
        <v>82.349557</v>
      </c>
      <c r="T39" t="n">
        <v>82.349557</v>
      </c>
      <c r="U39" t="n">
        <v>38.756383</v>
      </c>
      <c r="V39" t="n">
        <v>38.756383</v>
      </c>
      <c r="W39" t="n">
        <v>82.655303</v>
      </c>
      <c r="X39" t="n">
        <v>113.898256</v>
      </c>
    </row>
    <row r="40">
      <c r="A40" t="inlineStr">
        <is>
          <t>Asterias rubens</t>
        </is>
      </c>
      <c r="B40" t="n">
        <v>3</v>
      </c>
      <c r="C40" t="n">
        <v>100</v>
      </c>
      <c r="D40" t="inlineStr">
        <is>
          <t>Epifauna</t>
        </is>
      </c>
      <c r="E40" t="n">
        <v>327.790917</v>
      </c>
      <c r="F40" t="n">
        <v>28.994229</v>
      </c>
      <c r="G40" t="n">
        <v>12.834993</v>
      </c>
      <c r="H40" t="n">
        <v>17.954978</v>
      </c>
      <c r="I40" t="n">
        <v>11.374014</v>
      </c>
      <c r="J40" t="n">
        <v>11.374014</v>
      </c>
      <c r="K40" t="n">
        <v>10.009132</v>
      </c>
      <c r="L40" t="n">
        <v>10.950321</v>
      </c>
      <c r="M40" t="n">
        <v>10.950321</v>
      </c>
      <c r="N40" t="n">
        <v>10.950321</v>
      </c>
      <c r="O40" t="n">
        <v>10.041084</v>
      </c>
      <c r="P40" t="n">
        <v>6.846302</v>
      </c>
      <c r="Q40" t="n">
        <v>10.950321</v>
      </c>
      <c r="R40" t="n">
        <v>10.950321</v>
      </c>
      <c r="S40" t="n">
        <v>10.041084</v>
      </c>
      <c r="T40" t="n">
        <v>10.041084</v>
      </c>
      <c r="U40" t="n">
        <v>6.846302</v>
      </c>
      <c r="V40" t="n">
        <v>6.846302</v>
      </c>
      <c r="W40" t="n">
        <v>9.947857000000001</v>
      </c>
      <c r="X40" t="n">
        <v>10.794705</v>
      </c>
    </row>
    <row r="41">
      <c r="A41" t="inlineStr">
        <is>
          <t>Buccinum undatum</t>
        </is>
      </c>
      <c r="B41" t="n">
        <v>3.75</v>
      </c>
      <c r="C41" t="n">
        <v>562.341325</v>
      </c>
      <c r="D41" t="inlineStr">
        <is>
          <t>Epifauna</t>
        </is>
      </c>
      <c r="E41" t="n">
        <v>327.790917</v>
      </c>
      <c r="F41" t="n">
        <v>28.994229</v>
      </c>
      <c r="G41" t="n">
        <v>12.834993</v>
      </c>
      <c r="H41" t="n">
        <v>17.954978</v>
      </c>
      <c r="I41" t="n">
        <v>11.374014</v>
      </c>
      <c r="J41" t="n">
        <v>11.374014</v>
      </c>
      <c r="K41" t="n">
        <v>10.009132</v>
      </c>
      <c r="L41" t="n">
        <v>10.950321</v>
      </c>
      <c r="M41" t="n">
        <v>10.950321</v>
      </c>
      <c r="N41" t="n">
        <v>10.950321</v>
      </c>
      <c r="O41" t="n">
        <v>10.041084</v>
      </c>
      <c r="P41" t="n">
        <v>6.846302</v>
      </c>
      <c r="Q41" t="n">
        <v>10.950321</v>
      </c>
      <c r="R41" t="n">
        <v>10.950321</v>
      </c>
      <c r="S41" t="n">
        <v>10.041084</v>
      </c>
      <c r="T41" t="n">
        <v>10.041084</v>
      </c>
      <c r="U41" t="n">
        <v>6.846302</v>
      </c>
      <c r="V41" t="n">
        <v>6.846302</v>
      </c>
      <c r="W41" t="n">
        <v>9.947857000000001</v>
      </c>
      <c r="X41" t="n">
        <v>10.794705</v>
      </c>
    </row>
    <row r="42">
      <c r="A42" t="inlineStr">
        <is>
          <t>Triglidae</t>
        </is>
      </c>
      <c r="B42" t="n">
        <v>3.74</v>
      </c>
      <c r="C42" t="n">
        <v>549.540874</v>
      </c>
      <c r="D42" t="inlineStr">
        <is>
          <t>Large Dem. fish</t>
        </is>
      </c>
      <c r="E42" t="n">
        <v>327.790917</v>
      </c>
      <c r="F42" t="n">
        <v>665.972772</v>
      </c>
      <c r="G42" t="n">
        <v>138.073221</v>
      </c>
      <c r="H42" t="n">
        <v>328.210407</v>
      </c>
      <c r="I42" t="n">
        <v>321.185641</v>
      </c>
      <c r="J42" t="n">
        <v>337.306601</v>
      </c>
      <c r="K42" t="n">
        <v>317.068205</v>
      </c>
      <c r="L42" t="n">
        <v>461.958282</v>
      </c>
      <c r="M42" t="n">
        <v>461.958282</v>
      </c>
      <c r="N42" t="n">
        <v>461.958282</v>
      </c>
      <c r="O42" t="n">
        <v>304.533157</v>
      </c>
      <c r="P42" t="n">
        <v>108.42706</v>
      </c>
      <c r="Q42" t="n">
        <v>461.958282</v>
      </c>
      <c r="R42" t="n">
        <v>461.958282</v>
      </c>
      <c r="S42" t="n">
        <v>304.533157</v>
      </c>
      <c r="T42" t="n">
        <v>304.533157</v>
      </c>
      <c r="U42" t="n">
        <v>108.42706</v>
      </c>
      <c r="V42" t="n">
        <v>108.42706</v>
      </c>
      <c r="W42" t="n">
        <v>306.991308</v>
      </c>
      <c r="X42" t="n">
        <v>468.161038</v>
      </c>
    </row>
    <row r="43">
      <c r="A43" t="inlineStr">
        <is>
          <t>Sardina pilchardus</t>
        </is>
      </c>
      <c r="B43" t="n">
        <v>3.06</v>
      </c>
      <c r="C43" t="n">
        <v>114.815362</v>
      </c>
      <c r="D43" t="inlineStr">
        <is>
          <t>Small pelagics</t>
        </is>
      </c>
      <c r="E43" t="n">
        <v>327.790917</v>
      </c>
      <c r="F43" t="n">
        <v>148.024912</v>
      </c>
      <c r="G43" t="n">
        <v>44.163101</v>
      </c>
      <c r="H43" t="n">
        <v>58.893278</v>
      </c>
      <c r="I43" t="n">
        <v>29.57747</v>
      </c>
      <c r="J43" t="n">
        <v>29.708263</v>
      </c>
      <c r="K43" t="n">
        <v>26.143271</v>
      </c>
      <c r="L43" t="n">
        <v>37.444032</v>
      </c>
      <c r="M43" t="n">
        <v>37.444032</v>
      </c>
      <c r="N43" t="n">
        <v>37.444032</v>
      </c>
      <c r="O43" t="n">
        <v>26.825837</v>
      </c>
      <c r="P43" t="n">
        <v>12.629082</v>
      </c>
      <c r="Q43" t="n">
        <v>37.444032</v>
      </c>
      <c r="R43" t="n">
        <v>37.444032</v>
      </c>
      <c r="S43" t="n">
        <v>26.825837</v>
      </c>
      <c r="T43" t="n">
        <v>26.825837</v>
      </c>
      <c r="U43" t="n">
        <v>12.629082</v>
      </c>
      <c r="V43" t="n">
        <v>12.629082</v>
      </c>
      <c r="W43" t="n">
        <v>26.643813</v>
      </c>
      <c r="X43" t="n">
        <v>39.607714</v>
      </c>
    </row>
    <row r="44">
      <c r="A44" t="inlineStr">
        <is>
          <t>Pecten maximus</t>
        </is>
      </c>
      <c r="B44" t="n">
        <v>2</v>
      </c>
      <c r="C44" t="n">
        <v>10</v>
      </c>
      <c r="D44" t="inlineStr">
        <is>
          <t>Epifauna</t>
        </is>
      </c>
      <c r="E44" t="n">
        <v>327.790917</v>
      </c>
      <c r="F44" t="n">
        <v>28.994229</v>
      </c>
      <c r="G44" t="n">
        <v>12.834993</v>
      </c>
      <c r="H44" t="n">
        <v>17.954978</v>
      </c>
      <c r="I44" t="n">
        <v>11.374014</v>
      </c>
      <c r="J44" t="n">
        <v>11.374014</v>
      </c>
      <c r="K44" t="n">
        <v>10.009132</v>
      </c>
      <c r="L44" t="n">
        <v>10.950321</v>
      </c>
      <c r="M44" t="n">
        <v>10.950321</v>
      </c>
      <c r="N44" t="n">
        <v>10.950321</v>
      </c>
      <c r="O44" t="n">
        <v>10.041084</v>
      </c>
      <c r="P44" t="n">
        <v>6.846302</v>
      </c>
      <c r="Q44" t="n">
        <v>10.950321</v>
      </c>
      <c r="R44" t="n">
        <v>10.950321</v>
      </c>
      <c r="S44" t="n">
        <v>10.041084</v>
      </c>
      <c r="T44" t="n">
        <v>10.041084</v>
      </c>
      <c r="U44" t="n">
        <v>6.846302</v>
      </c>
      <c r="V44" t="n">
        <v>6.846302</v>
      </c>
      <c r="W44" t="n">
        <v>9.947857000000001</v>
      </c>
      <c r="X44" t="n">
        <v>10.794705</v>
      </c>
    </row>
    <row r="45">
      <c r="A45" t="inlineStr">
        <is>
          <t>Pollachius pollachius</t>
        </is>
      </c>
      <c r="B45" t="n">
        <v>4.32</v>
      </c>
      <c r="C45" t="n">
        <v>2089.296131</v>
      </c>
      <c r="D45" t="inlineStr">
        <is>
          <t>Large Dem. fish</t>
        </is>
      </c>
      <c r="E45" t="n">
        <v>327.790917</v>
      </c>
      <c r="F45" t="n">
        <v>665.972772</v>
      </c>
      <c r="G45" t="n">
        <v>138.073221</v>
      </c>
      <c r="H45" t="n">
        <v>328.210407</v>
      </c>
      <c r="I45" t="n">
        <v>321.185641</v>
      </c>
      <c r="J45" t="n">
        <v>337.306601</v>
      </c>
      <c r="K45" t="n">
        <v>317.068205</v>
      </c>
      <c r="L45" t="n">
        <v>461.958282</v>
      </c>
      <c r="M45" t="n">
        <v>461.958282</v>
      </c>
      <c r="N45" t="n">
        <v>461.958282</v>
      </c>
      <c r="O45" t="n">
        <v>304.533157</v>
      </c>
      <c r="P45" t="n">
        <v>108.42706</v>
      </c>
      <c r="Q45" t="n">
        <v>461.958282</v>
      </c>
      <c r="R45" t="n">
        <v>461.958282</v>
      </c>
      <c r="S45" t="n">
        <v>304.533157</v>
      </c>
      <c r="T45" t="n">
        <v>304.533157</v>
      </c>
      <c r="U45" t="n">
        <v>108.42706</v>
      </c>
      <c r="V45" t="n">
        <v>108.42706</v>
      </c>
      <c r="W45" t="n">
        <v>306.991308</v>
      </c>
      <c r="X45" t="n">
        <v>468.161038</v>
      </c>
    </row>
    <row r="46">
      <c r="A46" t="inlineStr">
        <is>
          <t>Asterozoa</t>
        </is>
      </c>
      <c r="B46" t="n">
        <v>2.38</v>
      </c>
      <c r="C46" t="n">
        <v>23.988329</v>
      </c>
      <c r="D46" t="inlineStr">
        <is>
          <t>Epifauna</t>
        </is>
      </c>
      <c r="E46" t="n">
        <v>327.790917</v>
      </c>
      <c r="F46" t="n">
        <v>28.994229</v>
      </c>
      <c r="G46" t="n">
        <v>12.834993</v>
      </c>
      <c r="H46" t="n">
        <v>17.954978</v>
      </c>
      <c r="I46" t="n">
        <v>11.374014</v>
      </c>
      <c r="J46" t="n">
        <v>11.374014</v>
      </c>
      <c r="K46" t="n">
        <v>10.009132</v>
      </c>
      <c r="L46" t="n">
        <v>10.950321</v>
      </c>
      <c r="M46" t="n">
        <v>10.950321</v>
      </c>
      <c r="N46" t="n">
        <v>10.950321</v>
      </c>
      <c r="O46" t="n">
        <v>10.041084</v>
      </c>
      <c r="P46" t="n">
        <v>6.846302</v>
      </c>
      <c r="Q46" t="n">
        <v>10.950321</v>
      </c>
      <c r="R46" t="n">
        <v>10.950321</v>
      </c>
      <c r="S46" t="n">
        <v>10.041084</v>
      </c>
      <c r="T46" t="n">
        <v>10.041084</v>
      </c>
      <c r="U46" t="n">
        <v>6.846302</v>
      </c>
      <c r="V46" t="n">
        <v>6.846302</v>
      </c>
      <c r="W46" t="n">
        <v>9.947857000000001</v>
      </c>
      <c r="X46" t="n">
        <v>10.794705</v>
      </c>
    </row>
    <row r="47">
      <c r="A47" t="inlineStr">
        <is>
          <t>Elasmobranchii</t>
        </is>
      </c>
      <c r="B47" t="n">
        <v>4.05</v>
      </c>
      <c r="C47" t="n">
        <v>1122.018454</v>
      </c>
      <c r="D47" t="inlineStr">
        <is>
          <t>Sharks &amp; rays</t>
        </is>
      </c>
      <c r="E47" t="n">
        <v>327.790917</v>
      </c>
      <c r="F47" t="n">
        <v>522.28227</v>
      </c>
      <c r="G47" t="n">
        <v>114.842938</v>
      </c>
      <c r="H47" t="n">
        <v>326.928715</v>
      </c>
      <c r="I47" t="n">
        <v>732.255138</v>
      </c>
      <c r="J47" t="n">
        <v>761.48662</v>
      </c>
      <c r="K47" t="n">
        <v>327.439247</v>
      </c>
      <c r="L47" t="n">
        <v>1275.246638</v>
      </c>
      <c r="M47" t="n">
        <v>1275.246638</v>
      </c>
      <c r="N47" t="n">
        <v>1275.246638</v>
      </c>
      <c r="O47" t="n">
        <v>317.659957</v>
      </c>
      <c r="P47" t="n">
        <v>115.247551</v>
      </c>
      <c r="Q47" t="n">
        <v>1275.246638</v>
      </c>
      <c r="R47" t="n">
        <v>1275.246638</v>
      </c>
      <c r="S47" t="n">
        <v>317.659957</v>
      </c>
      <c r="T47" t="n">
        <v>317.659957</v>
      </c>
      <c r="U47" t="n">
        <v>115.247551</v>
      </c>
      <c r="V47" t="n">
        <v>115.247551</v>
      </c>
      <c r="W47" t="n">
        <v>327.701462</v>
      </c>
      <c r="X47" t="n">
        <v>1310.378519</v>
      </c>
    </row>
    <row r="48">
      <c r="A48" t="inlineStr">
        <is>
          <t>Miscellaneous aquatic invertebrates</t>
        </is>
      </c>
      <c r="B48" t="n">
        <v>2.43</v>
      </c>
      <c r="C48" t="n">
        <v>26.915348</v>
      </c>
      <c r="D48" t="inlineStr">
        <is>
          <t>Infauna | Epifauna</t>
        </is>
      </c>
      <c r="E48" t="n">
        <v>327.790917</v>
      </c>
      <c r="F48" t="n">
        <v>28.765706</v>
      </c>
      <c r="G48" t="n">
        <v>12.749483</v>
      </c>
      <c r="H48" t="n">
        <v>17.8078</v>
      </c>
      <c r="I48" t="n">
        <v>11.29059</v>
      </c>
      <c r="J48" t="n">
        <v>11.29059</v>
      </c>
      <c r="K48" t="n">
        <v>9.936787000000001</v>
      </c>
      <c r="L48" t="n">
        <v>10.865076</v>
      </c>
      <c r="M48" t="n">
        <v>10.865076</v>
      </c>
      <c r="N48" t="n">
        <v>10.865076</v>
      </c>
      <c r="O48" t="n">
        <v>9.971377</v>
      </c>
      <c r="P48" t="n">
        <v>6.808206</v>
      </c>
      <c r="Q48" t="n">
        <v>10.865076</v>
      </c>
      <c r="R48" t="n">
        <v>10.865076</v>
      </c>
      <c r="S48" t="n">
        <v>9.971377</v>
      </c>
      <c r="T48" t="n">
        <v>9.971377</v>
      </c>
      <c r="U48" t="n">
        <v>6.808206</v>
      </c>
      <c r="V48" t="n">
        <v>6.808206</v>
      </c>
      <c r="W48" t="n">
        <v>9.878553999999999</v>
      </c>
      <c r="X48" t="n">
        <v>10.712101</v>
      </c>
    </row>
    <row r="49">
      <c r="A49" t="inlineStr">
        <is>
          <t>Anguilla anguilla</t>
        </is>
      </c>
      <c r="B49" t="n">
        <v>3.55</v>
      </c>
      <c r="C49" t="n">
        <v>354.813389</v>
      </c>
      <c r="D49" t="inlineStr">
        <is>
          <t>Unresolved</t>
        </is>
      </c>
    </row>
    <row r="50">
      <c r="A50" t="inlineStr">
        <is>
          <t>Squalidae</t>
        </is>
      </c>
      <c r="B50" t="n">
        <v>4.23</v>
      </c>
      <c r="C50" t="n">
        <v>1698.243652</v>
      </c>
      <c r="D50" t="inlineStr">
        <is>
          <t>Sharks &amp; rays</t>
        </is>
      </c>
      <c r="E50" t="n">
        <v>327.790917</v>
      </c>
      <c r="F50" t="n">
        <v>522.28227</v>
      </c>
      <c r="G50" t="n">
        <v>114.842938</v>
      </c>
      <c r="H50" t="n">
        <v>326.928715</v>
      </c>
      <c r="I50" t="n">
        <v>732.255138</v>
      </c>
      <c r="J50" t="n">
        <v>761.48662</v>
      </c>
      <c r="K50" t="n">
        <v>327.439247</v>
      </c>
      <c r="L50" t="n">
        <v>1275.246638</v>
      </c>
      <c r="M50" t="n">
        <v>1275.246638</v>
      </c>
      <c r="N50" t="n">
        <v>1275.246638</v>
      </c>
      <c r="O50" t="n">
        <v>317.659957</v>
      </c>
      <c r="P50" t="n">
        <v>115.247551</v>
      </c>
      <c r="Q50" t="n">
        <v>1275.246638</v>
      </c>
      <c r="R50" t="n">
        <v>1275.246638</v>
      </c>
      <c r="S50" t="n">
        <v>317.659957</v>
      </c>
      <c r="T50" t="n">
        <v>317.659957</v>
      </c>
      <c r="U50" t="n">
        <v>115.247551</v>
      </c>
      <c r="V50" t="n">
        <v>115.247551</v>
      </c>
      <c r="W50" t="n">
        <v>327.701462</v>
      </c>
      <c r="X50" t="n">
        <v>1310.378519</v>
      </c>
    </row>
    <row r="51">
      <c r="A51" t="inlineStr">
        <is>
          <t>Cyclopterus lumpus</t>
        </is>
      </c>
      <c r="B51" t="n">
        <v>3.89</v>
      </c>
      <c r="C51" t="n">
        <v>776.247117</v>
      </c>
      <c r="D51" t="inlineStr">
        <is>
          <t>Large Dem. fish</t>
        </is>
      </c>
      <c r="E51" t="n">
        <v>327.790917</v>
      </c>
      <c r="F51" t="n">
        <v>665.972772</v>
      </c>
      <c r="G51" t="n">
        <v>138.073221</v>
      </c>
      <c r="H51" t="n">
        <v>328.210407</v>
      </c>
      <c r="I51" t="n">
        <v>321.185641</v>
      </c>
      <c r="J51" t="n">
        <v>337.306601</v>
      </c>
      <c r="K51" t="n">
        <v>317.068205</v>
      </c>
      <c r="L51" t="n">
        <v>461.958282</v>
      </c>
      <c r="M51" t="n">
        <v>461.958282</v>
      </c>
      <c r="N51" t="n">
        <v>461.958282</v>
      </c>
      <c r="O51" t="n">
        <v>304.533157</v>
      </c>
      <c r="P51" t="n">
        <v>108.42706</v>
      </c>
      <c r="Q51" t="n">
        <v>461.958282</v>
      </c>
      <c r="R51" t="n">
        <v>461.958282</v>
      </c>
      <c r="S51" t="n">
        <v>304.533157</v>
      </c>
      <c r="T51" t="n">
        <v>304.533157</v>
      </c>
      <c r="U51" t="n">
        <v>108.42706</v>
      </c>
      <c r="V51" t="n">
        <v>108.42706</v>
      </c>
      <c r="W51" t="n">
        <v>306.991308</v>
      </c>
      <c r="X51" t="n">
        <v>468.161038</v>
      </c>
    </row>
    <row r="52">
      <c r="A52" t="inlineStr">
        <is>
          <t>Thunnus thynnus</t>
        </is>
      </c>
      <c r="B52" t="n">
        <v>4.45</v>
      </c>
      <c r="C52" t="n">
        <v>2818.382931</v>
      </c>
      <c r="D52" t="inlineStr">
        <is>
          <t>Unresolved</t>
        </is>
      </c>
    </row>
    <row r="53">
      <c r="A53" t="inlineStr">
        <is>
          <t>Marine pelagic fishes not identified</t>
        </is>
      </c>
      <c r="B53" t="n">
        <v>3.35</v>
      </c>
      <c r="C53" t="n">
        <v>223.872114</v>
      </c>
      <c r="D53" t="inlineStr">
        <is>
          <t>Small pelagics | Large Pelagics</t>
        </is>
      </c>
      <c r="E53" t="n">
        <v>327.790917</v>
      </c>
      <c r="F53" t="n">
        <v>269.671803</v>
      </c>
      <c r="G53" t="n">
        <v>68.050352</v>
      </c>
      <c r="H53" t="n">
        <v>111.536091</v>
      </c>
      <c r="I53" t="n">
        <v>86.43584300000001</v>
      </c>
      <c r="J53" t="n">
        <v>93.596384</v>
      </c>
      <c r="K53" t="n">
        <v>83.919191</v>
      </c>
      <c r="L53" t="n">
        <v>117.159813</v>
      </c>
      <c r="M53" t="n">
        <v>117.159813</v>
      </c>
      <c r="N53" t="n">
        <v>117.159813</v>
      </c>
      <c r="O53" t="n">
        <v>79.15279099999999</v>
      </c>
      <c r="P53" t="n">
        <v>32.628071</v>
      </c>
      <c r="Q53" t="n">
        <v>117.159813</v>
      </c>
      <c r="R53" t="n">
        <v>117.159813</v>
      </c>
      <c r="S53" t="n">
        <v>79.15279099999999</v>
      </c>
      <c r="T53" t="n">
        <v>79.15279099999999</v>
      </c>
      <c r="U53" t="n">
        <v>32.628071</v>
      </c>
      <c r="V53" t="n">
        <v>32.628071</v>
      </c>
      <c r="W53" t="n">
        <v>78.898974</v>
      </c>
      <c r="X53" t="n">
        <v>118.878193</v>
      </c>
    </row>
    <row r="54">
      <c r="A54" t="inlineStr">
        <is>
          <t>Carcinus maenas</t>
        </is>
      </c>
      <c r="B54" t="n">
        <v>3.5</v>
      </c>
      <c r="C54" t="n">
        <v>316.227766</v>
      </c>
      <c r="D54" t="inlineStr">
        <is>
          <t>Crustacea</t>
        </is>
      </c>
      <c r="E54" t="n">
        <v>327.790917</v>
      </c>
      <c r="F54" t="n">
        <v>79.403785</v>
      </c>
      <c r="G54" t="n">
        <v>27.544327</v>
      </c>
      <c r="H54" t="n">
        <v>45.837748</v>
      </c>
      <c r="I54" t="n">
        <v>38.918317</v>
      </c>
      <c r="J54" t="n">
        <v>38.964516</v>
      </c>
      <c r="K54" t="n">
        <v>31.561258</v>
      </c>
      <c r="L54" t="n">
        <v>47.671907</v>
      </c>
      <c r="M54" t="n">
        <v>47.671907</v>
      </c>
      <c r="N54" t="n">
        <v>47.671907</v>
      </c>
      <c r="O54" t="n">
        <v>34.575524</v>
      </c>
      <c r="P54" t="n">
        <v>19.020842</v>
      </c>
      <c r="Q54" t="n">
        <v>47.671907</v>
      </c>
      <c r="R54" t="n">
        <v>47.671907</v>
      </c>
      <c r="S54" t="n">
        <v>34.575524</v>
      </c>
      <c r="T54" t="n">
        <v>34.575524</v>
      </c>
      <c r="U54" t="n">
        <v>19.020842</v>
      </c>
      <c r="V54" t="n">
        <v>19.020842</v>
      </c>
      <c r="W54" t="n">
        <v>34.954015</v>
      </c>
      <c r="X54" t="n">
        <v>47.765312</v>
      </c>
    </row>
    <row r="55">
      <c r="A55" t="inlineStr">
        <is>
          <t>Rajiformes</t>
        </is>
      </c>
      <c r="B55" t="n">
        <v>3.61</v>
      </c>
      <c r="C55" t="n">
        <v>407.380278</v>
      </c>
      <c r="D55" t="inlineStr">
        <is>
          <t>Sharks &amp; rays</t>
        </is>
      </c>
      <c r="E55" t="n">
        <v>327.790917</v>
      </c>
      <c r="F55" t="n">
        <v>522.28227</v>
      </c>
      <c r="G55" t="n">
        <v>114.842938</v>
      </c>
      <c r="H55" t="n">
        <v>326.928715</v>
      </c>
      <c r="I55" t="n">
        <v>732.255138</v>
      </c>
      <c r="J55" t="n">
        <v>761.48662</v>
      </c>
      <c r="K55" t="n">
        <v>327.439247</v>
      </c>
      <c r="L55" t="n">
        <v>1275.246638</v>
      </c>
      <c r="M55" t="n">
        <v>1275.246638</v>
      </c>
      <c r="N55" t="n">
        <v>1275.246638</v>
      </c>
      <c r="O55" t="n">
        <v>317.659957</v>
      </c>
      <c r="P55" t="n">
        <v>115.247551</v>
      </c>
      <c r="Q55" t="n">
        <v>1275.246638</v>
      </c>
      <c r="R55" t="n">
        <v>1275.246638</v>
      </c>
      <c r="S55" t="n">
        <v>317.659957</v>
      </c>
      <c r="T55" t="n">
        <v>317.659957</v>
      </c>
      <c r="U55" t="n">
        <v>115.247551</v>
      </c>
      <c r="V55" t="n">
        <v>115.247551</v>
      </c>
      <c r="W55" t="n">
        <v>327.701462</v>
      </c>
      <c r="X55" t="n">
        <v>1310.378519</v>
      </c>
    </row>
    <row r="56">
      <c r="A56" t="inlineStr">
        <is>
          <t>Buglossidium luteum</t>
        </is>
      </c>
      <c r="B56" t="n">
        <v>3.31</v>
      </c>
      <c r="C56" t="n">
        <v>204.173794</v>
      </c>
      <c r="D56" t="inlineStr">
        <is>
          <t>Flatfishes</t>
        </is>
      </c>
      <c r="E56" t="n">
        <v>327.790917</v>
      </c>
      <c r="F56" t="n">
        <v>222.264878</v>
      </c>
      <c r="G56" t="n">
        <v>60.099306</v>
      </c>
      <c r="H56" t="n">
        <v>123.58001</v>
      </c>
      <c r="I56" t="n">
        <v>98.981683</v>
      </c>
      <c r="J56" t="n">
        <v>101.310188</v>
      </c>
      <c r="K56" t="n">
        <v>92.19227100000001</v>
      </c>
      <c r="L56" t="n">
        <v>114.167454</v>
      </c>
      <c r="M56" t="n">
        <v>114.167454</v>
      </c>
      <c r="N56" t="n">
        <v>114.167454</v>
      </c>
      <c r="O56" t="n">
        <v>82.349557</v>
      </c>
      <c r="P56" t="n">
        <v>38.756383</v>
      </c>
      <c r="Q56" t="n">
        <v>114.167454</v>
      </c>
      <c r="R56" t="n">
        <v>114.167454</v>
      </c>
      <c r="S56" t="n">
        <v>82.349557</v>
      </c>
      <c r="T56" t="n">
        <v>82.349557</v>
      </c>
      <c r="U56" t="n">
        <v>38.756383</v>
      </c>
      <c r="V56" t="n">
        <v>38.756383</v>
      </c>
      <c r="W56" t="n">
        <v>82.655303</v>
      </c>
      <c r="X56" t="n">
        <v>113.898256</v>
      </c>
    </row>
    <row r="57">
      <c r="A57" t="inlineStr">
        <is>
          <t>Trisopterus luscus</t>
        </is>
      </c>
      <c r="B57" t="n">
        <v>3.73</v>
      </c>
      <c r="C57" t="n">
        <v>537.031796</v>
      </c>
      <c r="D57" t="inlineStr">
        <is>
          <t>Small pelagics</t>
        </is>
      </c>
      <c r="E57" t="n">
        <v>327.790917</v>
      </c>
      <c r="F57" t="n">
        <v>148.024912</v>
      </c>
      <c r="G57" t="n">
        <v>44.163101</v>
      </c>
      <c r="H57" t="n">
        <v>58.893278</v>
      </c>
      <c r="I57" t="n">
        <v>29.57747</v>
      </c>
      <c r="J57" t="n">
        <v>29.708263</v>
      </c>
      <c r="K57" t="n">
        <v>26.143271</v>
      </c>
      <c r="L57" t="n">
        <v>37.444032</v>
      </c>
      <c r="M57" t="n">
        <v>37.444032</v>
      </c>
      <c r="N57" t="n">
        <v>37.444032</v>
      </c>
      <c r="O57" t="n">
        <v>26.825837</v>
      </c>
      <c r="P57" t="n">
        <v>12.629082</v>
      </c>
      <c r="Q57" t="n">
        <v>37.444032</v>
      </c>
      <c r="R57" t="n">
        <v>37.444032</v>
      </c>
      <c r="S57" t="n">
        <v>26.825837</v>
      </c>
      <c r="T57" t="n">
        <v>26.825837</v>
      </c>
      <c r="U57" t="n">
        <v>12.629082</v>
      </c>
      <c r="V57" t="n">
        <v>12.629082</v>
      </c>
      <c r="W57" t="n">
        <v>26.643813</v>
      </c>
      <c r="X57" t="n">
        <v>39.607714</v>
      </c>
    </row>
    <row r="58">
      <c r="A58" t="inlineStr">
        <is>
          <t>Miscellaneous marine crustaceans</t>
        </is>
      </c>
      <c r="B58" t="n">
        <v>2.7</v>
      </c>
      <c r="C58" t="n">
        <v>50.118723</v>
      </c>
      <c r="D58" t="inlineStr">
        <is>
          <t>Crustacea</t>
        </is>
      </c>
      <c r="E58" t="n">
        <v>327.790917</v>
      </c>
      <c r="F58" t="n">
        <v>79.403785</v>
      </c>
      <c r="G58" t="n">
        <v>27.544327</v>
      </c>
      <c r="H58" t="n">
        <v>45.837748</v>
      </c>
      <c r="I58" t="n">
        <v>38.918317</v>
      </c>
      <c r="J58" t="n">
        <v>38.964516</v>
      </c>
      <c r="K58" t="n">
        <v>31.561258</v>
      </c>
      <c r="L58" t="n">
        <v>47.671907</v>
      </c>
      <c r="M58" t="n">
        <v>47.671907</v>
      </c>
      <c r="N58" t="n">
        <v>47.671907</v>
      </c>
      <c r="O58" t="n">
        <v>34.575524</v>
      </c>
      <c r="P58" t="n">
        <v>19.020842</v>
      </c>
      <c r="Q58" t="n">
        <v>47.671907</v>
      </c>
      <c r="R58" t="n">
        <v>47.671907</v>
      </c>
      <c r="S58" t="n">
        <v>34.575524</v>
      </c>
      <c r="T58" t="n">
        <v>34.575524</v>
      </c>
      <c r="U58" t="n">
        <v>19.020842</v>
      </c>
      <c r="V58" t="n">
        <v>19.020842</v>
      </c>
      <c r="W58" t="n">
        <v>34.954015</v>
      </c>
      <c r="X58" t="n">
        <v>47.765312</v>
      </c>
    </row>
    <row r="59">
      <c r="A59" t="inlineStr">
        <is>
          <t>Chelidonichthys lucerna</t>
        </is>
      </c>
      <c r="B59" t="n">
        <v>3.98</v>
      </c>
      <c r="C59" t="n">
        <v>954.992586</v>
      </c>
      <c r="D59" t="inlineStr">
        <is>
          <t>Large Dem. fish</t>
        </is>
      </c>
      <c r="E59" t="n">
        <v>327.790917</v>
      </c>
      <c r="F59" t="n">
        <v>665.972772</v>
      </c>
      <c r="G59" t="n">
        <v>138.073221</v>
      </c>
      <c r="H59" t="n">
        <v>328.210407</v>
      </c>
      <c r="I59" t="n">
        <v>321.185641</v>
      </c>
      <c r="J59" t="n">
        <v>337.306601</v>
      </c>
      <c r="K59" t="n">
        <v>317.068205</v>
      </c>
      <c r="L59" t="n">
        <v>461.958282</v>
      </c>
      <c r="M59" t="n">
        <v>461.958282</v>
      </c>
      <c r="N59" t="n">
        <v>461.958282</v>
      </c>
      <c r="O59" t="n">
        <v>304.533157</v>
      </c>
      <c r="P59" t="n">
        <v>108.42706</v>
      </c>
      <c r="Q59" t="n">
        <v>461.958282</v>
      </c>
      <c r="R59" t="n">
        <v>461.958282</v>
      </c>
      <c r="S59" t="n">
        <v>304.533157</v>
      </c>
      <c r="T59" t="n">
        <v>304.533157</v>
      </c>
      <c r="U59" t="n">
        <v>108.42706</v>
      </c>
      <c r="V59" t="n">
        <v>108.42706</v>
      </c>
      <c r="W59" t="n">
        <v>306.991308</v>
      </c>
      <c r="X59" t="n">
        <v>468.161038</v>
      </c>
    </row>
    <row r="60">
      <c r="A60" t="inlineStr">
        <is>
          <t>Scophthalmus rhombus</t>
        </is>
      </c>
      <c r="B60" t="n">
        <v>4.42</v>
      </c>
      <c r="C60" t="n">
        <v>2630.267992</v>
      </c>
      <c r="D60" t="inlineStr">
        <is>
          <t>Flatfishes</t>
        </is>
      </c>
      <c r="E60" t="n">
        <v>327.790917</v>
      </c>
      <c r="F60" t="n">
        <v>222.264878</v>
      </c>
      <c r="G60" t="n">
        <v>60.099306</v>
      </c>
      <c r="H60" t="n">
        <v>123.58001</v>
      </c>
      <c r="I60" t="n">
        <v>98.981683</v>
      </c>
      <c r="J60" t="n">
        <v>101.310188</v>
      </c>
      <c r="K60" t="n">
        <v>92.19227100000001</v>
      </c>
      <c r="L60" t="n">
        <v>114.167454</v>
      </c>
      <c r="M60" t="n">
        <v>114.167454</v>
      </c>
      <c r="N60" t="n">
        <v>114.167454</v>
      </c>
      <c r="O60" t="n">
        <v>82.349557</v>
      </c>
      <c r="P60" t="n">
        <v>38.756383</v>
      </c>
      <c r="Q60" t="n">
        <v>114.167454</v>
      </c>
      <c r="R60" t="n">
        <v>114.167454</v>
      </c>
      <c r="S60" t="n">
        <v>82.349557</v>
      </c>
      <c r="T60" t="n">
        <v>82.349557</v>
      </c>
      <c r="U60" t="n">
        <v>38.756383</v>
      </c>
      <c r="V60" t="n">
        <v>38.756383</v>
      </c>
      <c r="W60" t="n">
        <v>82.655303</v>
      </c>
      <c r="X60" t="n">
        <v>113.898256</v>
      </c>
    </row>
    <row r="61">
      <c r="A61" t="inlineStr">
        <is>
          <t>Gadidae</t>
        </is>
      </c>
      <c r="B61" t="n">
        <v>3.84</v>
      </c>
      <c r="C61" t="n">
        <v>691.830971</v>
      </c>
      <c r="D61" t="inlineStr">
        <is>
          <t>Cod | Haddock | Whiting | Saithe | Large Dem. fish | Small pelagics | Large Pelagics</t>
        </is>
      </c>
      <c r="E61" t="n">
        <v>327.790917</v>
      </c>
      <c r="F61" t="n">
        <v>459.536555</v>
      </c>
      <c r="G61" t="n">
        <v>100.42589</v>
      </c>
      <c r="H61" t="n">
        <v>190.320617</v>
      </c>
      <c r="I61" t="n">
        <v>132.890628</v>
      </c>
      <c r="J61" t="n">
        <v>140.662278</v>
      </c>
      <c r="K61" t="n">
        <v>125.897485</v>
      </c>
      <c r="L61" t="n">
        <v>176.096118</v>
      </c>
      <c r="M61" t="n">
        <v>176.096118</v>
      </c>
      <c r="N61" t="n">
        <v>176.096118</v>
      </c>
      <c r="O61" t="n">
        <v>114.49676</v>
      </c>
      <c r="P61" t="n">
        <v>45.010968</v>
      </c>
      <c r="Q61" t="n">
        <v>176.096118</v>
      </c>
      <c r="R61" t="n">
        <v>176.096118</v>
      </c>
      <c r="S61" t="n">
        <v>114.49676</v>
      </c>
      <c r="T61" t="n">
        <v>114.49676</v>
      </c>
      <c r="U61" t="n">
        <v>45.010968</v>
      </c>
      <c r="V61" t="n">
        <v>45.010968</v>
      </c>
      <c r="W61" t="n">
        <v>114.679147</v>
      </c>
      <c r="X61" t="n">
        <v>180.86106</v>
      </c>
    </row>
    <row r="62">
      <c r="A62" t="inlineStr">
        <is>
          <t>Lophiidae</t>
        </is>
      </c>
      <c r="B62" t="n">
        <v>4.46</v>
      </c>
      <c r="C62" t="n">
        <v>2884.031503</v>
      </c>
      <c r="D62" t="inlineStr">
        <is>
          <t>Monkfish</t>
        </is>
      </c>
      <c r="E62" t="n">
        <v>327.790917</v>
      </c>
      <c r="F62" t="n">
        <v>3156.036008</v>
      </c>
      <c r="G62" t="n">
        <v>449.016361</v>
      </c>
      <c r="H62" t="n">
        <v>891.8267070000001</v>
      </c>
      <c r="I62" t="n">
        <v>565.367315</v>
      </c>
      <c r="J62" t="n">
        <v>600.432108</v>
      </c>
      <c r="K62" t="n">
        <v>558.4018600000001</v>
      </c>
      <c r="L62" t="n">
        <v>755.080363</v>
      </c>
      <c r="M62" t="n">
        <v>755.080363</v>
      </c>
      <c r="N62" t="n">
        <v>755.080363</v>
      </c>
      <c r="O62" t="n">
        <v>449.38351</v>
      </c>
      <c r="P62" t="n">
        <v>146.238125</v>
      </c>
      <c r="Q62" t="n">
        <v>755.080363</v>
      </c>
      <c r="R62" t="n">
        <v>755.080363</v>
      </c>
      <c r="S62" t="n">
        <v>449.38351</v>
      </c>
      <c r="T62" t="n">
        <v>449.38351</v>
      </c>
      <c r="U62" t="n">
        <v>146.238125</v>
      </c>
      <c r="V62" t="n">
        <v>146.238125</v>
      </c>
      <c r="W62" t="n">
        <v>459.784631</v>
      </c>
      <c r="X62" t="n">
        <v>760.218023</v>
      </c>
    </row>
    <row r="63">
      <c r="A63" t="inlineStr">
        <is>
          <t>Portunidae</t>
        </is>
      </c>
      <c r="B63" t="n">
        <v>3.56</v>
      </c>
      <c r="C63" t="n">
        <v>363.078055</v>
      </c>
      <c r="D63" t="inlineStr">
        <is>
          <t>Crustacea</t>
        </is>
      </c>
      <c r="E63" t="n">
        <v>327.790917</v>
      </c>
      <c r="F63" t="n">
        <v>79.403785</v>
      </c>
      <c r="G63" t="n">
        <v>27.544327</v>
      </c>
      <c r="H63" t="n">
        <v>45.837748</v>
      </c>
      <c r="I63" t="n">
        <v>38.918317</v>
      </c>
      <c r="J63" t="n">
        <v>38.964516</v>
      </c>
      <c r="K63" t="n">
        <v>31.561258</v>
      </c>
      <c r="L63" t="n">
        <v>47.671907</v>
      </c>
      <c r="M63" t="n">
        <v>47.671907</v>
      </c>
      <c r="N63" t="n">
        <v>47.671907</v>
      </c>
      <c r="O63" t="n">
        <v>34.575524</v>
      </c>
      <c r="P63" t="n">
        <v>19.020842</v>
      </c>
      <c r="Q63" t="n">
        <v>47.671907</v>
      </c>
      <c r="R63" t="n">
        <v>47.671907</v>
      </c>
      <c r="S63" t="n">
        <v>34.575524</v>
      </c>
      <c r="T63" t="n">
        <v>34.575524</v>
      </c>
      <c r="U63" t="n">
        <v>19.020842</v>
      </c>
      <c r="V63" t="n">
        <v>19.020842</v>
      </c>
      <c r="W63" t="n">
        <v>34.954015</v>
      </c>
      <c r="X63" t="n">
        <v>47.765312</v>
      </c>
    </row>
    <row r="64">
      <c r="A64" t="inlineStr">
        <is>
          <t>Callionymus lyra</t>
        </is>
      </c>
      <c r="B64" t="n">
        <v>3.27</v>
      </c>
      <c r="C64" t="n">
        <v>186.208714</v>
      </c>
      <c r="D64" t="inlineStr">
        <is>
          <t>Large Dem. fish</t>
        </is>
      </c>
      <c r="E64" t="n">
        <v>327.790917</v>
      </c>
      <c r="F64" t="n">
        <v>665.972772</v>
      </c>
      <c r="G64" t="n">
        <v>138.073221</v>
      </c>
      <c r="H64" t="n">
        <v>328.210407</v>
      </c>
      <c r="I64" t="n">
        <v>321.185641</v>
      </c>
      <c r="J64" t="n">
        <v>337.306601</v>
      </c>
      <c r="K64" t="n">
        <v>317.068205</v>
      </c>
      <c r="L64" t="n">
        <v>461.958282</v>
      </c>
      <c r="M64" t="n">
        <v>461.958282</v>
      </c>
      <c r="N64" t="n">
        <v>461.958282</v>
      </c>
      <c r="O64" t="n">
        <v>304.533157</v>
      </c>
      <c r="P64" t="n">
        <v>108.42706</v>
      </c>
      <c r="Q64" t="n">
        <v>461.958282</v>
      </c>
      <c r="R64" t="n">
        <v>461.958282</v>
      </c>
      <c r="S64" t="n">
        <v>304.533157</v>
      </c>
      <c r="T64" t="n">
        <v>304.533157</v>
      </c>
      <c r="U64" t="n">
        <v>108.42706</v>
      </c>
      <c r="V64" t="n">
        <v>108.42706</v>
      </c>
      <c r="W64" t="n">
        <v>306.991308</v>
      </c>
      <c r="X64" t="n">
        <v>468.161038</v>
      </c>
    </row>
    <row r="65">
      <c r="A65" t="inlineStr">
        <is>
          <t>Lepidorhombus whiffiagonis</t>
        </is>
      </c>
      <c r="B65" t="n">
        <v>4.34</v>
      </c>
      <c r="C65" t="n">
        <v>2187.761624</v>
      </c>
      <c r="D65" t="inlineStr">
        <is>
          <t>Flatfishes</t>
        </is>
      </c>
      <c r="E65" t="n">
        <v>327.790917</v>
      </c>
      <c r="F65" t="n">
        <v>222.264878</v>
      </c>
      <c r="G65" t="n">
        <v>60.099306</v>
      </c>
      <c r="H65" t="n">
        <v>123.58001</v>
      </c>
      <c r="I65" t="n">
        <v>98.981683</v>
      </c>
      <c r="J65" t="n">
        <v>101.310188</v>
      </c>
      <c r="K65" t="n">
        <v>92.19227100000001</v>
      </c>
      <c r="L65" t="n">
        <v>114.167454</v>
      </c>
      <c r="M65" t="n">
        <v>114.167454</v>
      </c>
      <c r="N65" t="n">
        <v>114.167454</v>
      </c>
      <c r="O65" t="n">
        <v>82.349557</v>
      </c>
      <c r="P65" t="n">
        <v>38.756383</v>
      </c>
      <c r="Q65" t="n">
        <v>114.167454</v>
      </c>
      <c r="R65" t="n">
        <v>114.167454</v>
      </c>
      <c r="S65" t="n">
        <v>82.349557</v>
      </c>
      <c r="T65" t="n">
        <v>82.349557</v>
      </c>
      <c r="U65" t="n">
        <v>38.756383</v>
      </c>
      <c r="V65" t="n">
        <v>38.756383</v>
      </c>
      <c r="W65" t="n">
        <v>82.655303</v>
      </c>
      <c r="X65" t="n">
        <v>113.898256</v>
      </c>
    </row>
    <row r="66">
      <c r="A66" t="inlineStr">
        <is>
          <t>Marine groundfishes not identified</t>
        </is>
      </c>
      <c r="D66" t="inlineStr">
        <is>
          <t>Flatfishes | Monkfish | Large Dem. fish</t>
        </is>
      </c>
      <c r="E66" t="n">
        <v>327.790917</v>
      </c>
      <c r="F66" t="n">
        <v>345.033369</v>
      </c>
      <c r="G66" t="n">
        <v>78.18723</v>
      </c>
      <c r="H66" t="n">
        <v>164.100144</v>
      </c>
      <c r="I66" t="n">
        <v>132.854976</v>
      </c>
      <c r="J66" t="n">
        <v>137.390299</v>
      </c>
      <c r="K66" t="n">
        <v>126.313644</v>
      </c>
      <c r="L66" t="n">
        <v>164.733434</v>
      </c>
      <c r="M66" t="n">
        <v>164.733434</v>
      </c>
      <c r="N66" t="n">
        <v>164.733434</v>
      </c>
      <c r="O66" t="n">
        <v>113.48574</v>
      </c>
      <c r="P66" t="n">
        <v>48.310329</v>
      </c>
      <c r="Q66" t="n">
        <v>164.733434</v>
      </c>
      <c r="R66" t="n">
        <v>164.733434</v>
      </c>
      <c r="S66" t="n">
        <v>113.48574</v>
      </c>
      <c r="T66" t="n">
        <v>113.48574</v>
      </c>
      <c r="U66" t="n">
        <v>48.310329</v>
      </c>
      <c r="V66" t="n">
        <v>48.310329</v>
      </c>
      <c r="W66" t="n">
        <v>114.273159</v>
      </c>
      <c r="X66" t="n">
        <v>165.225716</v>
      </c>
    </row>
    <row r="67">
      <c r="A67" t="inlineStr">
        <is>
          <t>Scombridae</t>
        </is>
      </c>
      <c r="B67" t="n">
        <v>4.26</v>
      </c>
      <c r="C67" t="n">
        <v>1819.700859</v>
      </c>
      <c r="D67" t="inlineStr">
        <is>
          <t>Large Pelagics</t>
        </is>
      </c>
      <c r="E67" t="n">
        <v>327.790917</v>
      </c>
      <c r="F67" t="n">
        <v>409.325031</v>
      </c>
      <c r="G67" t="n">
        <v>95.473426</v>
      </c>
      <c r="H67" t="n">
        <v>171.971164</v>
      </c>
      <c r="I67" t="n">
        <v>151.710468</v>
      </c>
      <c r="J67" t="n">
        <v>166.941311</v>
      </c>
      <c r="K67" t="n">
        <v>150.24718</v>
      </c>
      <c r="L67" t="n">
        <v>208.675232</v>
      </c>
      <c r="M67" t="n">
        <v>208.675232</v>
      </c>
      <c r="N67" t="n">
        <v>208.675232</v>
      </c>
      <c r="O67" t="n">
        <v>139.225251</v>
      </c>
      <c r="P67" t="n">
        <v>55.587338</v>
      </c>
      <c r="Q67" t="n">
        <v>208.675232</v>
      </c>
      <c r="R67" t="n">
        <v>208.675232</v>
      </c>
      <c r="S67" t="n">
        <v>139.225251</v>
      </c>
      <c r="T67" t="n">
        <v>139.225251</v>
      </c>
      <c r="U67" t="n">
        <v>55.587338</v>
      </c>
      <c r="V67" t="n">
        <v>55.587338</v>
      </c>
      <c r="W67" t="n">
        <v>138.889014</v>
      </c>
      <c r="X67" t="n">
        <v>209.882396</v>
      </c>
    </row>
    <row r="68">
      <c r="A68" t="inlineStr">
        <is>
          <t>Crangon</t>
        </is>
      </c>
      <c r="B68" t="n">
        <v>3.19</v>
      </c>
      <c r="C68" t="n">
        <v>154.881662</v>
      </c>
      <c r="D68" t="inlineStr">
        <is>
          <t>Crustacea</t>
        </is>
      </c>
      <c r="E68" t="n">
        <v>327.790917</v>
      </c>
      <c r="F68" t="n">
        <v>79.403785</v>
      </c>
      <c r="G68" t="n">
        <v>27.544327</v>
      </c>
      <c r="H68" t="n">
        <v>45.837748</v>
      </c>
      <c r="I68" t="n">
        <v>38.918317</v>
      </c>
      <c r="J68" t="n">
        <v>38.964516</v>
      </c>
      <c r="K68" t="n">
        <v>31.561258</v>
      </c>
      <c r="L68" t="n">
        <v>47.671907</v>
      </c>
      <c r="M68" t="n">
        <v>47.671907</v>
      </c>
      <c r="N68" t="n">
        <v>47.671907</v>
      </c>
      <c r="O68" t="n">
        <v>34.575524</v>
      </c>
      <c r="P68" t="n">
        <v>19.020842</v>
      </c>
      <c r="Q68" t="n">
        <v>47.671907</v>
      </c>
      <c r="R68" t="n">
        <v>47.671907</v>
      </c>
      <c r="S68" t="n">
        <v>34.575524</v>
      </c>
      <c r="T68" t="n">
        <v>34.575524</v>
      </c>
      <c r="U68" t="n">
        <v>19.020842</v>
      </c>
      <c r="V68" t="n">
        <v>19.020842</v>
      </c>
      <c r="W68" t="n">
        <v>34.954015</v>
      </c>
      <c r="X68" t="n">
        <v>47.765312</v>
      </c>
    </row>
    <row r="69">
      <c r="A69" t="inlineStr">
        <is>
          <t>Squaliformes</t>
        </is>
      </c>
      <c r="B69" t="n">
        <v>4.19</v>
      </c>
      <c r="C69" t="n">
        <v>1548.816619</v>
      </c>
      <c r="D69" t="inlineStr">
        <is>
          <t>Sharks &amp; rays</t>
        </is>
      </c>
      <c r="E69" t="n">
        <v>327.790917</v>
      </c>
      <c r="F69" t="n">
        <v>522.28227</v>
      </c>
      <c r="G69" t="n">
        <v>114.842938</v>
      </c>
      <c r="H69" t="n">
        <v>326.928715</v>
      </c>
      <c r="I69" t="n">
        <v>732.255138</v>
      </c>
      <c r="J69" t="n">
        <v>761.48662</v>
      </c>
      <c r="K69" t="n">
        <v>327.439247</v>
      </c>
      <c r="L69" t="n">
        <v>1275.246638</v>
      </c>
      <c r="M69" t="n">
        <v>1275.246638</v>
      </c>
      <c r="N69" t="n">
        <v>1275.246638</v>
      </c>
      <c r="O69" t="n">
        <v>317.659957</v>
      </c>
      <c r="P69" t="n">
        <v>115.247551</v>
      </c>
      <c r="Q69" t="n">
        <v>1275.246638</v>
      </c>
      <c r="R69" t="n">
        <v>1275.246638</v>
      </c>
      <c r="S69" t="n">
        <v>317.659957</v>
      </c>
      <c r="T69" t="n">
        <v>317.659957</v>
      </c>
      <c r="U69" t="n">
        <v>115.247551</v>
      </c>
      <c r="V69" t="n">
        <v>115.247551</v>
      </c>
      <c r="W69" t="n">
        <v>327.701462</v>
      </c>
      <c r="X69" t="n">
        <v>1310.378519</v>
      </c>
    </row>
    <row r="70">
      <c r="A70" t="inlineStr">
        <is>
          <t>Dicentrarchus labrax</t>
        </is>
      </c>
      <c r="B70" t="n">
        <v>3.79</v>
      </c>
      <c r="C70" t="n">
        <v>616.595002</v>
      </c>
      <c r="D70" t="inlineStr">
        <is>
          <t>Large Dem. fish</t>
        </is>
      </c>
      <c r="E70" t="n">
        <v>327.790917</v>
      </c>
      <c r="F70" t="n">
        <v>665.972772</v>
      </c>
      <c r="G70" t="n">
        <v>138.073221</v>
      </c>
      <c r="H70" t="n">
        <v>328.210407</v>
      </c>
      <c r="I70" t="n">
        <v>321.185641</v>
      </c>
      <c r="J70" t="n">
        <v>337.306601</v>
      </c>
      <c r="K70" t="n">
        <v>317.068205</v>
      </c>
      <c r="L70" t="n">
        <v>461.958282</v>
      </c>
      <c r="M70" t="n">
        <v>461.958282</v>
      </c>
      <c r="N70" t="n">
        <v>461.958282</v>
      </c>
      <c r="O70" t="n">
        <v>304.533157</v>
      </c>
      <c r="P70" t="n">
        <v>108.42706</v>
      </c>
      <c r="Q70" t="n">
        <v>461.958282</v>
      </c>
      <c r="R70" t="n">
        <v>461.958282</v>
      </c>
      <c r="S70" t="n">
        <v>304.533157</v>
      </c>
      <c r="T70" t="n">
        <v>304.533157</v>
      </c>
      <c r="U70" t="n">
        <v>108.42706</v>
      </c>
      <c r="V70" t="n">
        <v>108.42706</v>
      </c>
      <c r="W70" t="n">
        <v>306.991308</v>
      </c>
      <c r="X70" t="n">
        <v>468.161038</v>
      </c>
    </row>
    <row r="71">
      <c r="A71" t="inlineStr">
        <is>
          <t>Homarus gammarus</t>
        </is>
      </c>
      <c r="B71" t="n">
        <v>3.7</v>
      </c>
      <c r="C71" t="n">
        <v>501.187234</v>
      </c>
      <c r="D71" t="inlineStr">
        <is>
          <t>Crustacea</t>
        </is>
      </c>
      <c r="E71" t="n">
        <v>327.790917</v>
      </c>
      <c r="F71" t="n">
        <v>79.403785</v>
      </c>
      <c r="G71" t="n">
        <v>27.544327</v>
      </c>
      <c r="H71" t="n">
        <v>45.837748</v>
      </c>
      <c r="I71" t="n">
        <v>38.918317</v>
      </c>
      <c r="J71" t="n">
        <v>38.964516</v>
      </c>
      <c r="K71" t="n">
        <v>31.561258</v>
      </c>
      <c r="L71" t="n">
        <v>47.671907</v>
      </c>
      <c r="M71" t="n">
        <v>47.671907</v>
      </c>
      <c r="N71" t="n">
        <v>47.671907</v>
      </c>
      <c r="O71" t="n">
        <v>34.575524</v>
      </c>
      <c r="P71" t="n">
        <v>19.020842</v>
      </c>
      <c r="Q71" t="n">
        <v>47.671907</v>
      </c>
      <c r="R71" t="n">
        <v>47.671907</v>
      </c>
      <c r="S71" t="n">
        <v>34.575524</v>
      </c>
      <c r="T71" t="n">
        <v>34.575524</v>
      </c>
      <c r="U71" t="n">
        <v>19.020842</v>
      </c>
      <c r="V71" t="n">
        <v>19.020842</v>
      </c>
      <c r="W71" t="n">
        <v>34.954015</v>
      </c>
      <c r="X71" t="n">
        <v>47.765312</v>
      </c>
    </row>
    <row r="72">
      <c r="A72" t="inlineStr">
        <is>
          <t>Pleuronectidae</t>
        </is>
      </c>
      <c r="B72" t="n">
        <v>3.49</v>
      </c>
      <c r="C72" t="n">
        <v>309.029543</v>
      </c>
      <c r="D72" t="inlineStr">
        <is>
          <t>Flatfishes</t>
        </is>
      </c>
      <c r="E72" t="n">
        <v>327.790917</v>
      </c>
      <c r="F72" t="n">
        <v>222.264878</v>
      </c>
      <c r="G72" t="n">
        <v>60.099306</v>
      </c>
      <c r="H72" t="n">
        <v>123.58001</v>
      </c>
      <c r="I72" t="n">
        <v>98.981683</v>
      </c>
      <c r="J72" t="n">
        <v>101.310188</v>
      </c>
      <c r="K72" t="n">
        <v>92.19227100000001</v>
      </c>
      <c r="L72" t="n">
        <v>114.167454</v>
      </c>
      <c r="M72" t="n">
        <v>114.167454</v>
      </c>
      <c r="N72" t="n">
        <v>114.167454</v>
      </c>
      <c r="O72" t="n">
        <v>82.349557</v>
      </c>
      <c r="P72" t="n">
        <v>38.756383</v>
      </c>
      <c r="Q72" t="n">
        <v>114.167454</v>
      </c>
      <c r="R72" t="n">
        <v>114.167454</v>
      </c>
      <c r="S72" t="n">
        <v>82.349557</v>
      </c>
      <c r="T72" t="n">
        <v>82.349557</v>
      </c>
      <c r="U72" t="n">
        <v>38.756383</v>
      </c>
      <c r="V72" t="n">
        <v>38.756383</v>
      </c>
      <c r="W72" t="n">
        <v>82.655303</v>
      </c>
      <c r="X72" t="n">
        <v>113.898256</v>
      </c>
    </row>
    <row r="73">
      <c r="A73" t="inlineStr">
        <is>
          <t>Ostrea edulis</t>
        </is>
      </c>
      <c r="B73" t="n">
        <v>2</v>
      </c>
      <c r="C73" t="n">
        <v>10</v>
      </c>
      <c r="D73" t="inlineStr">
        <is>
          <t>Epifauna</t>
        </is>
      </c>
      <c r="E73" t="n">
        <v>327.790917</v>
      </c>
      <c r="F73" t="n">
        <v>28.994229</v>
      </c>
      <c r="G73" t="n">
        <v>12.834993</v>
      </c>
      <c r="H73" t="n">
        <v>17.954978</v>
      </c>
      <c r="I73" t="n">
        <v>11.374014</v>
      </c>
      <c r="J73" t="n">
        <v>11.374014</v>
      </c>
      <c r="K73" t="n">
        <v>10.009132</v>
      </c>
      <c r="L73" t="n">
        <v>10.950321</v>
      </c>
      <c r="M73" t="n">
        <v>10.950321</v>
      </c>
      <c r="N73" t="n">
        <v>10.950321</v>
      </c>
      <c r="O73" t="n">
        <v>10.041084</v>
      </c>
      <c r="P73" t="n">
        <v>6.846302</v>
      </c>
      <c r="Q73" t="n">
        <v>10.950321</v>
      </c>
      <c r="R73" t="n">
        <v>10.950321</v>
      </c>
      <c r="S73" t="n">
        <v>10.041084</v>
      </c>
      <c r="T73" t="n">
        <v>10.041084</v>
      </c>
      <c r="U73" t="n">
        <v>6.846302</v>
      </c>
      <c r="V73" t="n">
        <v>6.846302</v>
      </c>
      <c r="W73" t="n">
        <v>9.947857000000001</v>
      </c>
      <c r="X73" t="n">
        <v>10.794705</v>
      </c>
    </row>
    <row r="74">
      <c r="A74" t="inlineStr">
        <is>
          <t>Argentina</t>
        </is>
      </c>
      <c r="B74" t="n">
        <v>3.35</v>
      </c>
      <c r="C74" t="n">
        <v>223.872114</v>
      </c>
      <c r="D74" t="inlineStr">
        <is>
          <t>Small pelagics</t>
        </is>
      </c>
      <c r="E74" t="n">
        <v>327.790917</v>
      </c>
      <c r="F74" t="n">
        <v>148.024912</v>
      </c>
      <c r="G74" t="n">
        <v>44.163101</v>
      </c>
      <c r="H74" t="n">
        <v>58.893278</v>
      </c>
      <c r="I74" t="n">
        <v>29.57747</v>
      </c>
      <c r="J74" t="n">
        <v>29.708263</v>
      </c>
      <c r="K74" t="n">
        <v>26.143271</v>
      </c>
      <c r="L74" t="n">
        <v>37.444032</v>
      </c>
      <c r="M74" t="n">
        <v>37.444032</v>
      </c>
      <c r="N74" t="n">
        <v>37.444032</v>
      </c>
      <c r="O74" t="n">
        <v>26.825837</v>
      </c>
      <c r="P74" t="n">
        <v>12.629082</v>
      </c>
      <c r="Q74" t="n">
        <v>37.444032</v>
      </c>
      <c r="R74" t="n">
        <v>37.444032</v>
      </c>
      <c r="S74" t="n">
        <v>26.825837</v>
      </c>
      <c r="T74" t="n">
        <v>26.825837</v>
      </c>
      <c r="U74" t="n">
        <v>12.629082</v>
      </c>
      <c r="V74" t="n">
        <v>12.629082</v>
      </c>
      <c r="W74" t="n">
        <v>26.643813</v>
      </c>
      <c r="X74" t="n">
        <v>39.607714</v>
      </c>
    </row>
    <row r="75">
      <c r="A75" t="inlineStr">
        <is>
          <t>Pleuronectiformes</t>
        </is>
      </c>
      <c r="B75" t="n">
        <v>3.57</v>
      </c>
      <c r="C75" t="n">
        <v>371.535229</v>
      </c>
      <c r="D75" t="inlineStr">
        <is>
          <t>Flatfishes | Turbot</t>
        </is>
      </c>
      <c r="E75" t="n">
        <v>327.790917</v>
      </c>
      <c r="F75" t="n">
        <v>223.818437</v>
      </c>
      <c r="G75" t="n">
        <v>60.404072</v>
      </c>
      <c r="H75" t="n">
        <v>124.433368</v>
      </c>
      <c r="I75" t="n">
        <v>99.439289</v>
      </c>
      <c r="J75" t="n">
        <v>101.733951</v>
      </c>
      <c r="K75" t="n">
        <v>92.38477</v>
      </c>
      <c r="L75" t="n">
        <v>114.747616</v>
      </c>
      <c r="M75" t="n">
        <v>114.747616</v>
      </c>
      <c r="N75" t="n">
        <v>114.747616</v>
      </c>
      <c r="O75" t="n">
        <v>82.519042</v>
      </c>
      <c r="P75" t="n">
        <v>38.798464</v>
      </c>
      <c r="Q75" t="n">
        <v>114.747616</v>
      </c>
      <c r="R75" t="n">
        <v>114.747616</v>
      </c>
      <c r="S75" t="n">
        <v>82.519042</v>
      </c>
      <c r="T75" t="n">
        <v>82.519042</v>
      </c>
      <c r="U75" t="n">
        <v>38.798464</v>
      </c>
      <c r="V75" t="n">
        <v>38.798464</v>
      </c>
      <c r="W75" t="n">
        <v>82.84733199999999</v>
      </c>
      <c r="X75" t="n">
        <v>114.562705</v>
      </c>
    </row>
    <row r="76">
      <c r="A76" t="inlineStr">
        <is>
          <t>Anarhichas lupus</t>
        </is>
      </c>
      <c r="B76" t="n">
        <v>3.55</v>
      </c>
      <c r="C76" t="n">
        <v>354.813389</v>
      </c>
      <c r="D76" t="inlineStr">
        <is>
          <t>Large Dem. fish</t>
        </is>
      </c>
      <c r="E76" t="n">
        <v>327.790917</v>
      </c>
      <c r="F76" t="n">
        <v>665.972772</v>
      </c>
      <c r="G76" t="n">
        <v>138.073221</v>
      </c>
      <c r="H76" t="n">
        <v>328.210407</v>
      </c>
      <c r="I76" t="n">
        <v>321.185641</v>
      </c>
      <c r="J76" t="n">
        <v>337.306601</v>
      </c>
      <c r="K76" t="n">
        <v>317.068205</v>
      </c>
      <c r="L76" t="n">
        <v>461.958282</v>
      </c>
      <c r="M76" t="n">
        <v>461.958282</v>
      </c>
      <c r="N76" t="n">
        <v>461.958282</v>
      </c>
      <c r="O76" t="n">
        <v>304.533157</v>
      </c>
      <c r="P76" t="n">
        <v>108.42706</v>
      </c>
      <c r="Q76" t="n">
        <v>461.958282</v>
      </c>
      <c r="R76" t="n">
        <v>461.958282</v>
      </c>
      <c r="S76" t="n">
        <v>304.533157</v>
      </c>
      <c r="T76" t="n">
        <v>304.533157</v>
      </c>
      <c r="U76" t="n">
        <v>108.42706</v>
      </c>
      <c r="V76" t="n">
        <v>108.42706</v>
      </c>
      <c r="W76" t="n">
        <v>306.991308</v>
      </c>
      <c r="X76" t="n">
        <v>468.161038</v>
      </c>
    </row>
    <row r="77">
      <c r="A77" t="inlineStr">
        <is>
          <t>Merlucciidae</t>
        </is>
      </c>
      <c r="B77" t="n">
        <v>4.35</v>
      </c>
      <c r="C77" t="n">
        <v>2238.721139</v>
      </c>
      <c r="D77" t="inlineStr">
        <is>
          <t>Hake</t>
        </is>
      </c>
      <c r="E77" t="n">
        <v>327.790917</v>
      </c>
      <c r="F77" t="n">
        <v>3460.403727</v>
      </c>
      <c r="G77" t="n">
        <v>481.470476</v>
      </c>
      <c r="H77" t="n">
        <v>916.217923</v>
      </c>
      <c r="I77" t="n">
        <v>505.277782</v>
      </c>
      <c r="J77" t="n">
        <v>553.81095</v>
      </c>
      <c r="K77" t="n">
        <v>509.506074</v>
      </c>
      <c r="L77" t="n">
        <v>696.576775</v>
      </c>
      <c r="M77" t="n">
        <v>696.576775</v>
      </c>
      <c r="N77" t="n">
        <v>696.576775</v>
      </c>
      <c r="O77" t="n">
        <v>427.075473</v>
      </c>
      <c r="P77" t="n">
        <v>136.464814</v>
      </c>
      <c r="Q77" t="n">
        <v>696.576775</v>
      </c>
      <c r="R77" t="n">
        <v>696.576775</v>
      </c>
      <c r="S77" t="n">
        <v>427.075473</v>
      </c>
      <c r="T77" t="n">
        <v>427.075473</v>
      </c>
      <c r="U77" t="n">
        <v>136.464814</v>
      </c>
      <c r="V77" t="n">
        <v>136.464814</v>
      </c>
      <c r="W77" t="n">
        <v>429.835101</v>
      </c>
      <c r="X77" t="n">
        <v>722.871201</v>
      </c>
    </row>
    <row r="78">
      <c r="A78" t="inlineStr">
        <is>
          <t>Clupeidae</t>
        </is>
      </c>
      <c r="B78" t="n">
        <v>3.16</v>
      </c>
      <c r="C78" t="n">
        <v>144.543977</v>
      </c>
      <c r="D78" t="inlineStr">
        <is>
          <t>Herring | Small pelagics</t>
        </is>
      </c>
      <c r="E78" t="n">
        <v>327.790917</v>
      </c>
      <c r="F78" t="n">
        <v>186.736249</v>
      </c>
      <c r="G78" t="n">
        <v>52.535339</v>
      </c>
      <c r="H78" t="n">
        <v>74.14608800000001</v>
      </c>
      <c r="I78" t="n">
        <v>36.101934</v>
      </c>
      <c r="J78" t="n">
        <v>36.167334</v>
      </c>
      <c r="K78" t="n">
        <v>32.326352</v>
      </c>
      <c r="L78" t="n">
        <v>46.762497</v>
      </c>
      <c r="M78" t="n">
        <v>46.762497</v>
      </c>
      <c r="N78" t="n">
        <v>46.762497</v>
      </c>
      <c r="O78" t="n">
        <v>33.099579</v>
      </c>
      <c r="P78" t="n">
        <v>14.938245</v>
      </c>
      <c r="Q78" t="n">
        <v>46.762497</v>
      </c>
      <c r="R78" t="n">
        <v>46.762497</v>
      </c>
      <c r="S78" t="n">
        <v>33.099579</v>
      </c>
      <c r="T78" t="n">
        <v>33.099579</v>
      </c>
      <c r="U78" t="n">
        <v>14.938245</v>
      </c>
      <c r="V78" t="n">
        <v>14.938245</v>
      </c>
      <c r="W78" t="n">
        <v>33.746209</v>
      </c>
      <c r="X78" t="n">
        <v>49.739782</v>
      </c>
    </row>
    <row r="79">
      <c r="A79" t="inlineStr">
        <is>
          <t>Molva</t>
        </is>
      </c>
      <c r="B79" t="n">
        <v>4.19</v>
      </c>
      <c r="C79" t="n">
        <v>1548.816619</v>
      </c>
      <c r="D79" t="inlineStr">
        <is>
          <t>Ling</t>
        </is>
      </c>
      <c r="E79" t="n">
        <v>327.790917</v>
      </c>
      <c r="F79" t="n">
        <v>1898.245398</v>
      </c>
      <c r="G79" t="n">
        <v>305.428226</v>
      </c>
      <c r="H79" t="n">
        <v>911.558009</v>
      </c>
      <c r="I79" t="n">
        <v>376.10347</v>
      </c>
      <c r="J79" t="n">
        <v>391.847098</v>
      </c>
      <c r="K79" t="n">
        <v>368.336273</v>
      </c>
      <c r="L79" t="n">
        <v>491.495581</v>
      </c>
      <c r="M79" t="n">
        <v>491.495581</v>
      </c>
      <c r="N79" t="n">
        <v>491.495581</v>
      </c>
      <c r="O79" t="n">
        <v>302.549286</v>
      </c>
      <c r="P79" t="n">
        <v>96.52297900000001</v>
      </c>
      <c r="Q79" t="n">
        <v>491.495581</v>
      </c>
      <c r="R79" t="n">
        <v>491.495581</v>
      </c>
      <c r="S79" t="n">
        <v>302.549286</v>
      </c>
      <c r="T79" t="n">
        <v>302.549286</v>
      </c>
      <c r="U79" t="n">
        <v>96.52297900000001</v>
      </c>
      <c r="V79" t="n">
        <v>96.52297900000001</v>
      </c>
      <c r="W79" t="n">
        <v>307.895008</v>
      </c>
      <c r="X79" t="n">
        <v>544.500349</v>
      </c>
    </row>
    <row r="80">
      <c r="A80" t="inlineStr">
        <is>
          <t>Cetorhinus maximus</t>
        </is>
      </c>
      <c r="D80" t="inlineStr">
        <is>
          <t>Sharks &amp; rays</t>
        </is>
      </c>
      <c r="E80" t="n">
        <v>327.790917</v>
      </c>
      <c r="F80" t="n">
        <v>522.28227</v>
      </c>
      <c r="G80" t="n">
        <v>114.842938</v>
      </c>
      <c r="H80" t="n">
        <v>326.928715</v>
      </c>
      <c r="I80" t="n">
        <v>732.255138</v>
      </c>
      <c r="J80" t="n">
        <v>761.48662</v>
      </c>
      <c r="K80" t="n">
        <v>327.439247</v>
      </c>
      <c r="L80" t="n">
        <v>1275.246638</v>
      </c>
      <c r="M80" t="n">
        <v>1275.246638</v>
      </c>
      <c r="N80" t="n">
        <v>1275.246638</v>
      </c>
      <c r="O80" t="n">
        <v>317.659957</v>
      </c>
      <c r="P80" t="n">
        <v>115.247551</v>
      </c>
      <c r="Q80" t="n">
        <v>1275.246638</v>
      </c>
      <c r="R80" t="n">
        <v>1275.246638</v>
      </c>
      <c r="S80" t="n">
        <v>317.659957</v>
      </c>
      <c r="T80" t="n">
        <v>317.659957</v>
      </c>
      <c r="U80" t="n">
        <v>115.247551</v>
      </c>
      <c r="V80" t="n">
        <v>115.247551</v>
      </c>
      <c r="W80" t="n">
        <v>327.701462</v>
      </c>
      <c r="X80" t="n">
        <v>1310.378519</v>
      </c>
    </row>
    <row r="81">
      <c r="A81" t="inlineStr">
        <is>
          <t>Trachinus draco</t>
        </is>
      </c>
      <c r="B81" t="n">
        <v>4.18</v>
      </c>
      <c r="C81" t="n">
        <v>1513.561248</v>
      </c>
      <c r="D81" t="inlineStr">
        <is>
          <t>Large Dem. fish</t>
        </is>
      </c>
      <c r="E81" t="n">
        <v>327.790917</v>
      </c>
      <c r="F81" t="n">
        <v>665.972772</v>
      </c>
      <c r="G81" t="n">
        <v>138.073221</v>
      </c>
      <c r="H81" t="n">
        <v>328.210407</v>
      </c>
      <c r="I81" t="n">
        <v>321.185641</v>
      </c>
      <c r="J81" t="n">
        <v>337.306601</v>
      </c>
      <c r="K81" t="n">
        <v>317.068205</v>
      </c>
      <c r="L81" t="n">
        <v>461.958282</v>
      </c>
      <c r="M81" t="n">
        <v>461.958282</v>
      </c>
      <c r="N81" t="n">
        <v>461.958282</v>
      </c>
      <c r="O81" t="n">
        <v>304.533157</v>
      </c>
      <c r="P81" t="n">
        <v>108.42706</v>
      </c>
      <c r="Q81" t="n">
        <v>461.958282</v>
      </c>
      <c r="R81" t="n">
        <v>461.958282</v>
      </c>
      <c r="S81" t="n">
        <v>304.533157</v>
      </c>
      <c r="T81" t="n">
        <v>304.533157</v>
      </c>
      <c r="U81" t="n">
        <v>108.42706</v>
      </c>
      <c r="V81" t="n">
        <v>108.42706</v>
      </c>
      <c r="W81" t="n">
        <v>306.991308</v>
      </c>
      <c r="X81" t="n">
        <v>468.161038</v>
      </c>
    </row>
    <row r="82">
      <c r="A82" t="inlineStr">
        <is>
          <t>Belone belone</t>
        </is>
      </c>
      <c r="B82" t="n">
        <v>4.16</v>
      </c>
      <c r="C82" t="n">
        <v>1445.439771</v>
      </c>
      <c r="D82" t="inlineStr">
        <is>
          <t>Large Pelagics</t>
        </is>
      </c>
      <c r="E82" t="n">
        <v>327.790917</v>
      </c>
      <c r="F82" t="n">
        <v>409.325031</v>
      </c>
      <c r="G82" t="n">
        <v>95.473426</v>
      </c>
      <c r="H82" t="n">
        <v>171.971164</v>
      </c>
      <c r="I82" t="n">
        <v>151.710468</v>
      </c>
      <c r="J82" t="n">
        <v>166.941311</v>
      </c>
      <c r="K82" t="n">
        <v>150.24718</v>
      </c>
      <c r="L82" t="n">
        <v>208.675232</v>
      </c>
      <c r="M82" t="n">
        <v>208.675232</v>
      </c>
      <c r="N82" t="n">
        <v>208.675232</v>
      </c>
      <c r="O82" t="n">
        <v>139.225251</v>
      </c>
      <c r="P82" t="n">
        <v>55.587338</v>
      </c>
      <c r="Q82" t="n">
        <v>208.675232</v>
      </c>
      <c r="R82" t="n">
        <v>208.675232</v>
      </c>
      <c r="S82" t="n">
        <v>139.225251</v>
      </c>
      <c r="T82" t="n">
        <v>139.225251</v>
      </c>
      <c r="U82" t="n">
        <v>55.587338</v>
      </c>
      <c r="V82" t="n">
        <v>55.587338</v>
      </c>
      <c r="W82" t="n">
        <v>138.889014</v>
      </c>
      <c r="X82" t="n">
        <v>209.882396</v>
      </c>
    </row>
    <row r="83">
      <c r="A83" t="inlineStr">
        <is>
          <t>Lamna nasus</t>
        </is>
      </c>
      <c r="B83" t="n">
        <v>4.57</v>
      </c>
      <c r="C83" t="n">
        <v>3715.352291</v>
      </c>
      <c r="D83" t="inlineStr">
        <is>
          <t>Sharks &amp; rays</t>
        </is>
      </c>
      <c r="E83" t="n">
        <v>327.790917</v>
      </c>
      <c r="F83" t="n">
        <v>522.28227</v>
      </c>
      <c r="G83" t="n">
        <v>114.842938</v>
      </c>
      <c r="H83" t="n">
        <v>326.928715</v>
      </c>
      <c r="I83" t="n">
        <v>732.255138</v>
      </c>
      <c r="J83" t="n">
        <v>761.48662</v>
      </c>
      <c r="K83" t="n">
        <v>327.439247</v>
      </c>
      <c r="L83" t="n">
        <v>1275.246638</v>
      </c>
      <c r="M83" t="n">
        <v>1275.246638</v>
      </c>
      <c r="N83" t="n">
        <v>1275.246638</v>
      </c>
      <c r="O83" t="n">
        <v>317.659957</v>
      </c>
      <c r="P83" t="n">
        <v>115.247551</v>
      </c>
      <c r="Q83" t="n">
        <v>1275.246638</v>
      </c>
      <c r="R83" t="n">
        <v>1275.246638</v>
      </c>
      <c r="S83" t="n">
        <v>317.659957</v>
      </c>
      <c r="T83" t="n">
        <v>317.659957</v>
      </c>
      <c r="U83" t="n">
        <v>115.247551</v>
      </c>
      <c r="V83" t="n">
        <v>115.247551</v>
      </c>
      <c r="W83" t="n">
        <v>327.701462</v>
      </c>
      <c r="X83" t="n">
        <v>1310.378519</v>
      </c>
    </row>
    <row r="84">
      <c r="A84" t="inlineStr">
        <is>
          <t>Crangonidae</t>
        </is>
      </c>
      <c r="B84" t="n">
        <v>3.19</v>
      </c>
      <c r="C84" t="n">
        <v>154.881662</v>
      </c>
      <c r="D84" t="inlineStr">
        <is>
          <t>Crustacea</t>
        </is>
      </c>
      <c r="E84" t="n">
        <v>327.790917</v>
      </c>
      <c r="F84" t="n">
        <v>79.403785</v>
      </c>
      <c r="G84" t="n">
        <v>27.544327</v>
      </c>
      <c r="H84" t="n">
        <v>45.837748</v>
      </c>
      <c r="I84" t="n">
        <v>38.918317</v>
      </c>
      <c r="J84" t="n">
        <v>38.964516</v>
      </c>
      <c r="K84" t="n">
        <v>31.561258</v>
      </c>
      <c r="L84" t="n">
        <v>47.671907</v>
      </c>
      <c r="M84" t="n">
        <v>47.671907</v>
      </c>
      <c r="N84" t="n">
        <v>47.671907</v>
      </c>
      <c r="O84" t="n">
        <v>34.575524</v>
      </c>
      <c r="P84" t="n">
        <v>19.020842</v>
      </c>
      <c r="Q84" t="n">
        <v>47.671907</v>
      </c>
      <c r="R84" t="n">
        <v>47.671907</v>
      </c>
      <c r="S84" t="n">
        <v>34.575524</v>
      </c>
      <c r="T84" t="n">
        <v>34.575524</v>
      </c>
      <c r="U84" t="n">
        <v>19.020842</v>
      </c>
      <c r="V84" t="n">
        <v>19.020842</v>
      </c>
      <c r="W84" t="n">
        <v>34.954015</v>
      </c>
      <c r="X84" t="n">
        <v>47.765312</v>
      </c>
    </row>
    <row r="85">
      <c r="A85" t="inlineStr">
        <is>
          <t>Soleidae</t>
        </is>
      </c>
      <c r="B85" t="n">
        <v>3.15</v>
      </c>
      <c r="C85" t="n">
        <v>141.253754</v>
      </c>
      <c r="D85" t="inlineStr">
        <is>
          <t>Flatfishes</t>
        </is>
      </c>
      <c r="E85" t="n">
        <v>327.790917</v>
      </c>
      <c r="F85" t="n">
        <v>222.264878</v>
      </c>
      <c r="G85" t="n">
        <v>60.099306</v>
      </c>
      <c r="H85" t="n">
        <v>123.58001</v>
      </c>
      <c r="I85" t="n">
        <v>98.981683</v>
      </c>
      <c r="J85" t="n">
        <v>101.310188</v>
      </c>
      <c r="K85" t="n">
        <v>92.19227100000001</v>
      </c>
      <c r="L85" t="n">
        <v>114.167454</v>
      </c>
      <c r="M85" t="n">
        <v>114.167454</v>
      </c>
      <c r="N85" t="n">
        <v>114.167454</v>
      </c>
      <c r="O85" t="n">
        <v>82.349557</v>
      </c>
      <c r="P85" t="n">
        <v>38.756383</v>
      </c>
      <c r="Q85" t="n">
        <v>114.167454</v>
      </c>
      <c r="R85" t="n">
        <v>114.167454</v>
      </c>
      <c r="S85" t="n">
        <v>82.349557</v>
      </c>
      <c r="T85" t="n">
        <v>82.349557</v>
      </c>
      <c r="U85" t="n">
        <v>38.756383</v>
      </c>
      <c r="V85" t="n">
        <v>38.756383</v>
      </c>
      <c r="W85" t="n">
        <v>82.655303</v>
      </c>
      <c r="X85" t="n">
        <v>113.898256</v>
      </c>
    </row>
    <row r="86">
      <c r="A86" t="inlineStr">
        <is>
          <t>Sebastidae</t>
        </is>
      </c>
      <c r="B86" t="n">
        <v>3.74</v>
      </c>
      <c r="C86" t="n">
        <v>549.540874</v>
      </c>
      <c r="D86" t="inlineStr">
        <is>
          <t>Large Dem. fish</t>
        </is>
      </c>
      <c r="E86" t="n">
        <v>327.790917</v>
      </c>
      <c r="F86" t="n">
        <v>665.972772</v>
      </c>
      <c r="G86" t="n">
        <v>138.073221</v>
      </c>
      <c r="H86" t="n">
        <v>328.210407</v>
      </c>
      <c r="I86" t="n">
        <v>321.185641</v>
      </c>
      <c r="J86" t="n">
        <v>337.306601</v>
      </c>
      <c r="K86" t="n">
        <v>317.068205</v>
      </c>
      <c r="L86" t="n">
        <v>461.958282</v>
      </c>
      <c r="M86" t="n">
        <v>461.958282</v>
      </c>
      <c r="N86" t="n">
        <v>461.958282</v>
      </c>
      <c r="O86" t="n">
        <v>304.533157</v>
      </c>
      <c r="P86" t="n">
        <v>108.42706</v>
      </c>
      <c r="Q86" t="n">
        <v>461.958282</v>
      </c>
      <c r="R86" t="n">
        <v>461.958282</v>
      </c>
      <c r="S86" t="n">
        <v>304.533157</v>
      </c>
      <c r="T86" t="n">
        <v>304.533157</v>
      </c>
      <c r="U86" t="n">
        <v>108.42706</v>
      </c>
      <c r="V86" t="n">
        <v>108.42706</v>
      </c>
      <c r="W86" t="n">
        <v>306.991308</v>
      </c>
      <c r="X86" t="n">
        <v>468.161038</v>
      </c>
    </row>
    <row r="87">
      <c r="A87" t="inlineStr">
        <is>
          <t>Loliginidae</t>
        </is>
      </c>
      <c r="B87" t="n">
        <v>3.9</v>
      </c>
      <c r="C87" t="n">
        <v>794.3282349999999</v>
      </c>
      <c r="D87" t="inlineStr">
        <is>
          <t>Squid &amp; Octopus</t>
        </is>
      </c>
      <c r="E87" t="n">
        <v>327.790917</v>
      </c>
      <c r="F87" t="n">
        <v>160.967585</v>
      </c>
      <c r="G87" t="n">
        <v>47.060072</v>
      </c>
      <c r="H87" t="n">
        <v>88.258037</v>
      </c>
      <c r="I87" t="n">
        <v>77.00034599999999</v>
      </c>
      <c r="J87" t="n">
        <v>77.34926</v>
      </c>
      <c r="K87" t="n">
        <v>73.481797</v>
      </c>
      <c r="L87" t="n">
        <v>94.097724</v>
      </c>
      <c r="M87" t="n">
        <v>94.097724</v>
      </c>
      <c r="N87" t="n">
        <v>94.097724</v>
      </c>
      <c r="O87" t="n">
        <v>70.413555</v>
      </c>
      <c r="P87" t="n">
        <v>31.50612</v>
      </c>
      <c r="Q87" t="n">
        <v>94.097724</v>
      </c>
      <c r="R87" t="n">
        <v>94.097724</v>
      </c>
      <c r="S87" t="n">
        <v>70.413555</v>
      </c>
      <c r="T87" t="n">
        <v>70.413555</v>
      </c>
      <c r="U87" t="n">
        <v>31.50612</v>
      </c>
      <c r="V87" t="n">
        <v>31.50612</v>
      </c>
      <c r="W87" t="n">
        <v>71.270959</v>
      </c>
      <c r="X87" t="n">
        <v>97.60397</v>
      </c>
    </row>
    <row r="88">
      <c r="A88" t="inlineStr">
        <is>
          <t>Carangidae</t>
        </is>
      </c>
      <c r="B88" t="n">
        <v>4.05</v>
      </c>
      <c r="C88" t="n">
        <v>1122.018454</v>
      </c>
      <c r="D88" t="inlineStr">
        <is>
          <t>Large Pelagics</t>
        </is>
      </c>
      <c r="E88" t="n">
        <v>327.790917</v>
      </c>
      <c r="F88" t="n">
        <v>409.325031</v>
      </c>
      <c r="G88" t="n">
        <v>95.473426</v>
      </c>
      <c r="H88" t="n">
        <v>171.971164</v>
      </c>
      <c r="I88" t="n">
        <v>151.710468</v>
      </c>
      <c r="J88" t="n">
        <v>166.941311</v>
      </c>
      <c r="K88" t="n">
        <v>150.24718</v>
      </c>
      <c r="L88" t="n">
        <v>208.675232</v>
      </c>
      <c r="M88" t="n">
        <v>208.675232</v>
      </c>
      <c r="N88" t="n">
        <v>208.675232</v>
      </c>
      <c r="O88" t="n">
        <v>139.225251</v>
      </c>
      <c r="P88" t="n">
        <v>55.587338</v>
      </c>
      <c r="Q88" t="n">
        <v>208.675232</v>
      </c>
      <c r="R88" t="n">
        <v>208.675232</v>
      </c>
      <c r="S88" t="n">
        <v>139.225251</v>
      </c>
      <c r="T88" t="n">
        <v>139.225251</v>
      </c>
      <c r="U88" t="n">
        <v>55.587338</v>
      </c>
      <c r="V88" t="n">
        <v>55.587338</v>
      </c>
      <c r="W88" t="n">
        <v>138.889014</v>
      </c>
      <c r="X88" t="n">
        <v>209.882396</v>
      </c>
    </row>
    <row r="89">
      <c r="A89" t="inlineStr">
        <is>
          <t>Lophius</t>
        </is>
      </c>
      <c r="B89" t="n">
        <v>4.46</v>
      </c>
      <c r="C89" t="n">
        <v>2884.031503</v>
      </c>
      <c r="D89" t="inlineStr">
        <is>
          <t>Monkfish</t>
        </is>
      </c>
      <c r="E89" t="n">
        <v>327.790917</v>
      </c>
      <c r="F89" t="n">
        <v>3156.036008</v>
      </c>
      <c r="G89" t="n">
        <v>449.016361</v>
      </c>
      <c r="H89" t="n">
        <v>891.8267070000001</v>
      </c>
      <c r="I89" t="n">
        <v>565.367315</v>
      </c>
      <c r="J89" t="n">
        <v>600.432108</v>
      </c>
      <c r="K89" t="n">
        <v>558.4018600000001</v>
      </c>
      <c r="L89" t="n">
        <v>755.080363</v>
      </c>
      <c r="M89" t="n">
        <v>755.080363</v>
      </c>
      <c r="N89" t="n">
        <v>755.080363</v>
      </c>
      <c r="O89" t="n">
        <v>449.38351</v>
      </c>
      <c r="P89" t="n">
        <v>146.238125</v>
      </c>
      <c r="Q89" t="n">
        <v>755.080363</v>
      </c>
      <c r="R89" t="n">
        <v>755.080363</v>
      </c>
      <c r="S89" t="n">
        <v>449.38351</v>
      </c>
      <c r="T89" t="n">
        <v>449.38351</v>
      </c>
      <c r="U89" t="n">
        <v>146.238125</v>
      </c>
      <c r="V89" t="n">
        <v>146.238125</v>
      </c>
      <c r="W89" t="n">
        <v>459.784631</v>
      </c>
      <c r="X89" t="n">
        <v>760.218023</v>
      </c>
    </row>
    <row r="90">
      <c r="A90" t="inlineStr">
        <is>
          <t>Brachyura</t>
        </is>
      </c>
      <c r="B90" t="n">
        <v>2.6</v>
      </c>
      <c r="C90" t="n">
        <v>39.810717</v>
      </c>
      <c r="D90" t="inlineStr">
        <is>
          <t>Crustacea</t>
        </is>
      </c>
      <c r="E90" t="n">
        <v>327.790917</v>
      </c>
      <c r="F90" t="n">
        <v>79.403785</v>
      </c>
      <c r="G90" t="n">
        <v>27.544327</v>
      </c>
      <c r="H90" t="n">
        <v>45.837748</v>
      </c>
      <c r="I90" t="n">
        <v>38.918317</v>
      </c>
      <c r="J90" t="n">
        <v>38.964516</v>
      </c>
      <c r="K90" t="n">
        <v>31.561258</v>
      </c>
      <c r="L90" t="n">
        <v>47.671907</v>
      </c>
      <c r="M90" t="n">
        <v>47.671907</v>
      </c>
      <c r="N90" t="n">
        <v>47.671907</v>
      </c>
      <c r="O90" t="n">
        <v>34.575524</v>
      </c>
      <c r="P90" t="n">
        <v>19.020842</v>
      </c>
      <c r="Q90" t="n">
        <v>47.671907</v>
      </c>
      <c r="R90" t="n">
        <v>47.671907</v>
      </c>
      <c r="S90" t="n">
        <v>34.575524</v>
      </c>
      <c r="T90" t="n">
        <v>34.575524</v>
      </c>
      <c r="U90" t="n">
        <v>19.020842</v>
      </c>
      <c r="V90" t="n">
        <v>19.020842</v>
      </c>
      <c r="W90" t="n">
        <v>34.954015</v>
      </c>
      <c r="X90" t="n">
        <v>47.765312</v>
      </c>
    </row>
    <row r="91">
      <c r="A91" t="inlineStr">
        <is>
          <t>Hippoglossoides platessoides</t>
        </is>
      </c>
      <c r="B91" t="n">
        <v>4.08</v>
      </c>
      <c r="C91" t="n">
        <v>1202.264435</v>
      </c>
      <c r="D91" t="inlineStr">
        <is>
          <t>Flatfishes</t>
        </is>
      </c>
      <c r="E91" t="n">
        <v>327.790917</v>
      </c>
      <c r="F91" t="n">
        <v>222.264878</v>
      </c>
      <c r="G91" t="n">
        <v>60.099306</v>
      </c>
      <c r="H91" t="n">
        <v>123.58001</v>
      </c>
      <c r="I91" t="n">
        <v>98.981683</v>
      </c>
      <c r="J91" t="n">
        <v>101.310188</v>
      </c>
      <c r="K91" t="n">
        <v>92.19227100000001</v>
      </c>
      <c r="L91" t="n">
        <v>114.167454</v>
      </c>
      <c r="M91" t="n">
        <v>114.167454</v>
      </c>
      <c r="N91" t="n">
        <v>114.167454</v>
      </c>
      <c r="O91" t="n">
        <v>82.349557</v>
      </c>
      <c r="P91" t="n">
        <v>38.756383</v>
      </c>
      <c r="Q91" t="n">
        <v>114.167454</v>
      </c>
      <c r="R91" t="n">
        <v>114.167454</v>
      </c>
      <c r="S91" t="n">
        <v>82.349557</v>
      </c>
      <c r="T91" t="n">
        <v>82.349557</v>
      </c>
      <c r="U91" t="n">
        <v>38.756383</v>
      </c>
      <c r="V91" t="n">
        <v>38.756383</v>
      </c>
      <c r="W91" t="n">
        <v>82.655303</v>
      </c>
      <c r="X91" t="n">
        <v>113.898256</v>
      </c>
    </row>
    <row r="92">
      <c r="A92" t="inlineStr">
        <is>
          <t>Ensis siliqua</t>
        </is>
      </c>
      <c r="B92" t="n">
        <v>2</v>
      </c>
      <c r="C92" t="n">
        <v>10</v>
      </c>
      <c r="D92" t="inlineStr">
        <is>
          <t>Infauna</t>
        </is>
      </c>
      <c r="E92" t="n">
        <v>327.790917</v>
      </c>
      <c r="F92" t="n">
        <v>10</v>
      </c>
      <c r="G92" t="n">
        <v>5.727631</v>
      </c>
      <c r="H92" t="n">
        <v>5.721903</v>
      </c>
      <c r="I92" t="n">
        <v>4.44</v>
      </c>
      <c r="J92" t="n">
        <v>4.44</v>
      </c>
      <c r="K92" t="n">
        <v>3.996</v>
      </c>
      <c r="L92" t="n">
        <v>3.864936</v>
      </c>
      <c r="M92" t="n">
        <v>3.864936</v>
      </c>
      <c r="N92" t="n">
        <v>3.864936</v>
      </c>
      <c r="O92" t="n">
        <v>4.247203</v>
      </c>
      <c r="P92" t="n">
        <v>3.679841</v>
      </c>
      <c r="Q92" t="n">
        <v>3.864936</v>
      </c>
      <c r="R92" t="n">
        <v>3.864936</v>
      </c>
      <c r="S92" t="n">
        <v>4.247203</v>
      </c>
      <c r="T92" t="n">
        <v>4.247203</v>
      </c>
      <c r="U92" t="n">
        <v>3.679841</v>
      </c>
      <c r="V92" t="n">
        <v>3.679841</v>
      </c>
      <c r="W92" t="n">
        <v>4.187569</v>
      </c>
      <c r="X92" t="n">
        <v>3.928919</v>
      </c>
    </row>
    <row r="93">
      <c r="A93" t="inlineStr">
        <is>
          <t>Scophthalmidae</t>
        </is>
      </c>
      <c r="B93" t="n">
        <v>3.71</v>
      </c>
      <c r="C93" t="n">
        <v>512.861384</v>
      </c>
      <c r="D93" t="inlineStr">
        <is>
          <t>Flatfishes | Turbot</t>
        </is>
      </c>
      <c r="E93" t="n">
        <v>327.790917</v>
      </c>
      <c r="F93" t="n">
        <v>223.818437</v>
      </c>
      <c r="G93" t="n">
        <v>60.404072</v>
      </c>
      <c r="H93" t="n">
        <v>124.433368</v>
      </c>
      <c r="I93" t="n">
        <v>99.439289</v>
      </c>
      <c r="J93" t="n">
        <v>101.733951</v>
      </c>
      <c r="K93" t="n">
        <v>92.38477</v>
      </c>
      <c r="L93" t="n">
        <v>114.747616</v>
      </c>
      <c r="M93" t="n">
        <v>114.747616</v>
      </c>
      <c r="N93" t="n">
        <v>114.747616</v>
      </c>
      <c r="O93" t="n">
        <v>82.519042</v>
      </c>
      <c r="P93" t="n">
        <v>38.798464</v>
      </c>
      <c r="Q93" t="n">
        <v>114.747616</v>
      </c>
      <c r="R93" t="n">
        <v>114.747616</v>
      </c>
      <c r="S93" t="n">
        <v>82.519042</v>
      </c>
      <c r="T93" t="n">
        <v>82.519042</v>
      </c>
      <c r="U93" t="n">
        <v>38.798464</v>
      </c>
      <c r="V93" t="n">
        <v>38.798464</v>
      </c>
      <c r="W93" t="n">
        <v>82.84733199999999</v>
      </c>
      <c r="X93" t="n">
        <v>114.562705</v>
      </c>
    </row>
    <row r="94">
      <c r="A94" t="inlineStr">
        <is>
          <t>Reinhardtius hippoglossoides</t>
        </is>
      </c>
      <c r="B94" t="n">
        <v>4.38</v>
      </c>
      <c r="C94" t="n">
        <v>2398.832919</v>
      </c>
      <c r="D94" t="inlineStr">
        <is>
          <t>Flatfishes</t>
        </is>
      </c>
      <c r="E94" t="n">
        <v>327.790917</v>
      </c>
      <c r="F94" t="n">
        <v>222.264878</v>
      </c>
      <c r="G94" t="n">
        <v>60.099306</v>
      </c>
      <c r="H94" t="n">
        <v>123.58001</v>
      </c>
      <c r="I94" t="n">
        <v>98.981683</v>
      </c>
      <c r="J94" t="n">
        <v>101.310188</v>
      </c>
      <c r="K94" t="n">
        <v>92.19227100000001</v>
      </c>
      <c r="L94" t="n">
        <v>114.167454</v>
      </c>
      <c r="M94" t="n">
        <v>114.167454</v>
      </c>
      <c r="N94" t="n">
        <v>114.167454</v>
      </c>
      <c r="O94" t="n">
        <v>82.349557</v>
      </c>
      <c r="P94" t="n">
        <v>38.756383</v>
      </c>
      <c r="Q94" t="n">
        <v>114.167454</v>
      </c>
      <c r="R94" t="n">
        <v>114.167454</v>
      </c>
      <c r="S94" t="n">
        <v>82.349557</v>
      </c>
      <c r="T94" t="n">
        <v>82.349557</v>
      </c>
      <c r="U94" t="n">
        <v>38.756383</v>
      </c>
      <c r="V94" t="n">
        <v>38.756383</v>
      </c>
      <c r="W94" t="n">
        <v>82.655303</v>
      </c>
      <c r="X94" t="n">
        <v>113.898256</v>
      </c>
    </row>
    <row r="95">
      <c r="A95" t="inlineStr">
        <is>
          <t>Engraulis encrasicolus</t>
        </is>
      </c>
      <c r="B95" t="n">
        <v>3.11</v>
      </c>
      <c r="C95" t="n">
        <v>128.824955</v>
      </c>
      <c r="D95" t="inlineStr">
        <is>
          <t>Small pelagics</t>
        </is>
      </c>
      <c r="E95" t="n">
        <v>327.790917</v>
      </c>
      <c r="F95" t="n">
        <v>148.024912</v>
      </c>
      <c r="G95" t="n">
        <v>44.163101</v>
      </c>
      <c r="H95" t="n">
        <v>58.893278</v>
      </c>
      <c r="I95" t="n">
        <v>29.57747</v>
      </c>
      <c r="J95" t="n">
        <v>29.708263</v>
      </c>
      <c r="K95" t="n">
        <v>26.143271</v>
      </c>
      <c r="L95" t="n">
        <v>37.444032</v>
      </c>
      <c r="M95" t="n">
        <v>37.444032</v>
      </c>
      <c r="N95" t="n">
        <v>37.444032</v>
      </c>
      <c r="O95" t="n">
        <v>26.825837</v>
      </c>
      <c r="P95" t="n">
        <v>12.629082</v>
      </c>
      <c r="Q95" t="n">
        <v>37.444032</v>
      </c>
      <c r="R95" t="n">
        <v>37.444032</v>
      </c>
      <c r="S95" t="n">
        <v>26.825837</v>
      </c>
      <c r="T95" t="n">
        <v>26.825837</v>
      </c>
      <c r="U95" t="n">
        <v>12.629082</v>
      </c>
      <c r="V95" t="n">
        <v>12.629082</v>
      </c>
      <c r="W95" t="n">
        <v>26.643813</v>
      </c>
      <c r="X95" t="n">
        <v>39.607714</v>
      </c>
    </row>
    <row r="96">
      <c r="A96" t="inlineStr">
        <is>
          <t>Salmo salar</t>
        </is>
      </c>
      <c r="B96" t="n">
        <v>4.5</v>
      </c>
      <c r="C96" t="n">
        <v>3162.27766</v>
      </c>
      <c r="D96" t="inlineStr">
        <is>
          <t>Unresolved</t>
        </is>
      </c>
    </row>
    <row r="97">
      <c r="A97" t="inlineStr">
        <is>
          <t>Bivalvia</t>
        </is>
      </c>
      <c r="B97" t="n">
        <v>2.23</v>
      </c>
      <c r="C97" t="n">
        <v>16.982437</v>
      </c>
      <c r="D97" t="inlineStr">
        <is>
          <t>Infauna | Epifauna</t>
        </is>
      </c>
      <c r="E97" t="n">
        <v>327.790917</v>
      </c>
      <c r="F97" t="n">
        <v>28.765706</v>
      </c>
      <c r="G97" t="n">
        <v>12.749483</v>
      </c>
      <c r="H97" t="n">
        <v>17.8078</v>
      </c>
      <c r="I97" t="n">
        <v>11.29059</v>
      </c>
      <c r="J97" t="n">
        <v>11.29059</v>
      </c>
      <c r="K97" t="n">
        <v>9.936787000000001</v>
      </c>
      <c r="L97" t="n">
        <v>10.865076</v>
      </c>
      <c r="M97" t="n">
        <v>10.865076</v>
      </c>
      <c r="N97" t="n">
        <v>10.865076</v>
      </c>
      <c r="O97" t="n">
        <v>9.971377</v>
      </c>
      <c r="P97" t="n">
        <v>6.808206</v>
      </c>
      <c r="Q97" t="n">
        <v>10.865076</v>
      </c>
      <c r="R97" t="n">
        <v>10.865076</v>
      </c>
      <c r="S97" t="n">
        <v>9.971377</v>
      </c>
      <c r="T97" t="n">
        <v>9.971377</v>
      </c>
      <c r="U97" t="n">
        <v>6.808206</v>
      </c>
      <c r="V97" t="n">
        <v>6.808206</v>
      </c>
      <c r="W97" t="n">
        <v>9.878553999999999</v>
      </c>
      <c r="X97" t="n">
        <v>10.712101</v>
      </c>
    </row>
    <row r="98">
      <c r="A98" t="inlineStr">
        <is>
          <t>Agonus cataphractus</t>
        </is>
      </c>
      <c r="B98" t="n">
        <v>3.43</v>
      </c>
      <c r="C98" t="n">
        <v>269.15348</v>
      </c>
      <c r="D98" t="inlineStr">
        <is>
          <t>Large Dem. fish</t>
        </is>
      </c>
      <c r="E98" t="n">
        <v>327.790917</v>
      </c>
      <c r="F98" t="n">
        <v>665.972772</v>
      </c>
      <c r="G98" t="n">
        <v>138.073221</v>
      </c>
      <c r="H98" t="n">
        <v>328.210407</v>
      </c>
      <c r="I98" t="n">
        <v>321.185641</v>
      </c>
      <c r="J98" t="n">
        <v>337.306601</v>
      </c>
      <c r="K98" t="n">
        <v>317.068205</v>
      </c>
      <c r="L98" t="n">
        <v>461.958282</v>
      </c>
      <c r="M98" t="n">
        <v>461.958282</v>
      </c>
      <c r="N98" t="n">
        <v>461.958282</v>
      </c>
      <c r="O98" t="n">
        <v>304.533157</v>
      </c>
      <c r="P98" t="n">
        <v>108.42706</v>
      </c>
      <c r="Q98" t="n">
        <v>461.958282</v>
      </c>
      <c r="R98" t="n">
        <v>461.958282</v>
      </c>
      <c r="S98" t="n">
        <v>304.533157</v>
      </c>
      <c r="T98" t="n">
        <v>304.533157</v>
      </c>
      <c r="U98" t="n">
        <v>108.42706</v>
      </c>
      <c r="V98" t="n">
        <v>108.42706</v>
      </c>
      <c r="W98" t="n">
        <v>306.991308</v>
      </c>
      <c r="X98" t="n">
        <v>468.161038</v>
      </c>
    </row>
    <row r="99">
      <c r="A99" t="inlineStr">
        <is>
          <t>Anarhichas</t>
        </is>
      </c>
      <c r="B99" t="n">
        <v>3.35</v>
      </c>
      <c r="C99" t="n">
        <v>223.872114</v>
      </c>
      <c r="D99" t="inlineStr">
        <is>
          <t>Large Dem. fish</t>
        </is>
      </c>
      <c r="E99" t="n">
        <v>327.790917</v>
      </c>
      <c r="F99" t="n">
        <v>665.972772</v>
      </c>
      <c r="G99" t="n">
        <v>138.073221</v>
      </c>
      <c r="H99" t="n">
        <v>328.210407</v>
      </c>
      <c r="I99" t="n">
        <v>321.185641</v>
      </c>
      <c r="J99" t="n">
        <v>337.306601</v>
      </c>
      <c r="K99" t="n">
        <v>317.068205</v>
      </c>
      <c r="L99" t="n">
        <v>461.958282</v>
      </c>
      <c r="M99" t="n">
        <v>461.958282</v>
      </c>
      <c r="N99" t="n">
        <v>461.958282</v>
      </c>
      <c r="O99" t="n">
        <v>304.533157</v>
      </c>
      <c r="P99" t="n">
        <v>108.42706</v>
      </c>
      <c r="Q99" t="n">
        <v>461.958282</v>
      </c>
      <c r="R99" t="n">
        <v>461.958282</v>
      </c>
      <c r="S99" t="n">
        <v>304.533157</v>
      </c>
      <c r="T99" t="n">
        <v>304.533157</v>
      </c>
      <c r="U99" t="n">
        <v>108.42706</v>
      </c>
      <c r="V99" t="n">
        <v>108.42706</v>
      </c>
      <c r="W99" t="n">
        <v>306.991308</v>
      </c>
      <c r="X99" t="n">
        <v>468.161038</v>
      </c>
    </row>
    <row r="100">
      <c r="A100" t="inlineStr">
        <is>
          <t>Asteroidea</t>
        </is>
      </c>
      <c r="D100" t="inlineStr">
        <is>
          <t>Epifauna</t>
        </is>
      </c>
      <c r="E100" t="n">
        <v>327.790917</v>
      </c>
      <c r="F100" t="n">
        <v>28.994229</v>
      </c>
      <c r="G100" t="n">
        <v>12.834993</v>
      </c>
      <c r="H100" t="n">
        <v>17.954978</v>
      </c>
      <c r="I100" t="n">
        <v>11.374014</v>
      </c>
      <c r="J100" t="n">
        <v>11.374014</v>
      </c>
      <c r="K100" t="n">
        <v>10.009132</v>
      </c>
      <c r="L100" t="n">
        <v>10.950321</v>
      </c>
      <c r="M100" t="n">
        <v>10.950321</v>
      </c>
      <c r="N100" t="n">
        <v>10.950321</v>
      </c>
      <c r="O100" t="n">
        <v>10.041084</v>
      </c>
      <c r="P100" t="n">
        <v>6.846302</v>
      </c>
      <c r="Q100" t="n">
        <v>10.950321</v>
      </c>
      <c r="R100" t="n">
        <v>10.950321</v>
      </c>
      <c r="S100" t="n">
        <v>10.041084</v>
      </c>
      <c r="T100" t="n">
        <v>10.041084</v>
      </c>
      <c r="U100" t="n">
        <v>6.846302</v>
      </c>
      <c r="V100" t="n">
        <v>6.846302</v>
      </c>
      <c r="W100" t="n">
        <v>9.947857000000001</v>
      </c>
      <c r="X100" t="n">
        <v>10.794705</v>
      </c>
    </row>
    <row r="101">
      <c r="A101" t="inlineStr">
        <is>
          <t>Anarhichadidae</t>
        </is>
      </c>
      <c r="B101" t="n">
        <v>3.47</v>
      </c>
      <c r="C101" t="n">
        <v>295.120923</v>
      </c>
      <c r="D101" t="inlineStr">
        <is>
          <t>Large Dem. fish</t>
        </is>
      </c>
      <c r="E101" t="n">
        <v>327.790917</v>
      </c>
      <c r="F101" t="n">
        <v>665.972772</v>
      </c>
      <c r="G101" t="n">
        <v>138.073221</v>
      </c>
      <c r="H101" t="n">
        <v>328.210407</v>
      </c>
      <c r="I101" t="n">
        <v>321.185641</v>
      </c>
      <c r="J101" t="n">
        <v>337.306601</v>
      </c>
      <c r="K101" t="n">
        <v>317.068205</v>
      </c>
      <c r="L101" t="n">
        <v>461.958282</v>
      </c>
      <c r="M101" t="n">
        <v>461.958282</v>
      </c>
      <c r="N101" t="n">
        <v>461.958282</v>
      </c>
      <c r="O101" t="n">
        <v>304.533157</v>
      </c>
      <c r="P101" t="n">
        <v>108.42706</v>
      </c>
      <c r="Q101" t="n">
        <v>461.958282</v>
      </c>
      <c r="R101" t="n">
        <v>461.958282</v>
      </c>
      <c r="S101" t="n">
        <v>304.533157</v>
      </c>
      <c r="T101" t="n">
        <v>304.533157</v>
      </c>
      <c r="U101" t="n">
        <v>108.42706</v>
      </c>
      <c r="V101" t="n">
        <v>108.42706</v>
      </c>
      <c r="W101" t="n">
        <v>306.991308</v>
      </c>
      <c r="X101" t="n">
        <v>468.161038</v>
      </c>
    </row>
    <row r="102">
      <c r="A102" t="inlineStr">
        <is>
          <t>Amblyraja radiata</t>
        </is>
      </c>
      <c r="B102" t="n">
        <v>4.2</v>
      </c>
      <c r="C102" t="n">
        <v>1584.893192</v>
      </c>
      <c r="D102" t="inlineStr">
        <is>
          <t>Sharks &amp; rays</t>
        </is>
      </c>
      <c r="E102" t="n">
        <v>327.790917</v>
      </c>
      <c r="F102" t="n">
        <v>522.28227</v>
      </c>
      <c r="G102" t="n">
        <v>114.842938</v>
      </c>
      <c r="H102" t="n">
        <v>326.928715</v>
      </c>
      <c r="I102" t="n">
        <v>732.255138</v>
      </c>
      <c r="J102" t="n">
        <v>761.48662</v>
      </c>
      <c r="K102" t="n">
        <v>327.439247</v>
      </c>
      <c r="L102" t="n">
        <v>1275.246638</v>
      </c>
      <c r="M102" t="n">
        <v>1275.246638</v>
      </c>
      <c r="N102" t="n">
        <v>1275.246638</v>
      </c>
      <c r="O102" t="n">
        <v>317.659957</v>
      </c>
      <c r="P102" t="n">
        <v>115.247551</v>
      </c>
      <c r="Q102" t="n">
        <v>1275.246638</v>
      </c>
      <c r="R102" t="n">
        <v>1275.246638</v>
      </c>
      <c r="S102" t="n">
        <v>317.659957</v>
      </c>
      <c r="T102" t="n">
        <v>317.659957</v>
      </c>
      <c r="U102" t="n">
        <v>115.247551</v>
      </c>
      <c r="V102" t="n">
        <v>115.247551</v>
      </c>
      <c r="W102" t="n">
        <v>327.701462</v>
      </c>
      <c r="X102" t="n">
        <v>1310.378519</v>
      </c>
    </row>
    <row r="103">
      <c r="A103" t="inlineStr">
        <is>
          <t>Osmerus eperlanus</t>
        </is>
      </c>
      <c r="B103" t="n">
        <v>3.46</v>
      </c>
      <c r="C103" t="n">
        <v>288.40315</v>
      </c>
      <c r="D103" t="inlineStr">
        <is>
          <t>Unresolved</t>
        </is>
      </c>
    </row>
    <row r="104">
      <c r="A104" t="inlineStr">
        <is>
          <t>Congridae</t>
        </is>
      </c>
      <c r="B104" t="n">
        <v>4.18</v>
      </c>
      <c r="C104" t="n">
        <v>1513.561248</v>
      </c>
      <c r="D104" t="inlineStr">
        <is>
          <t>Large Dem. fish</t>
        </is>
      </c>
      <c r="E104" t="n">
        <v>327.790917</v>
      </c>
      <c r="F104" t="n">
        <v>665.972772</v>
      </c>
      <c r="G104" t="n">
        <v>138.073221</v>
      </c>
      <c r="H104" t="n">
        <v>328.210407</v>
      </c>
      <c r="I104" t="n">
        <v>321.185641</v>
      </c>
      <c r="J104" t="n">
        <v>337.306601</v>
      </c>
      <c r="K104" t="n">
        <v>317.068205</v>
      </c>
      <c r="L104" t="n">
        <v>461.958282</v>
      </c>
      <c r="M104" t="n">
        <v>461.958282</v>
      </c>
      <c r="N104" t="n">
        <v>461.958282</v>
      </c>
      <c r="O104" t="n">
        <v>304.533157</v>
      </c>
      <c r="P104" t="n">
        <v>108.42706</v>
      </c>
      <c r="Q104" t="n">
        <v>461.958282</v>
      </c>
      <c r="R104" t="n">
        <v>461.958282</v>
      </c>
      <c r="S104" t="n">
        <v>304.533157</v>
      </c>
      <c r="T104" t="n">
        <v>304.533157</v>
      </c>
      <c r="U104" t="n">
        <v>108.42706</v>
      </c>
      <c r="V104" t="n">
        <v>108.42706</v>
      </c>
      <c r="W104" t="n">
        <v>306.991308</v>
      </c>
      <c r="X104" t="n">
        <v>468.161038</v>
      </c>
    </row>
    <row r="105">
      <c r="A105" t="inlineStr">
        <is>
          <t>Sebastes norvegicus</t>
        </is>
      </c>
      <c r="B105" t="n">
        <v>4.04</v>
      </c>
      <c r="C105" t="n">
        <v>1096.478196</v>
      </c>
      <c r="D105" t="inlineStr">
        <is>
          <t>Large Dem. fish</t>
        </is>
      </c>
      <c r="E105" t="n">
        <v>327.790917</v>
      </c>
      <c r="F105" t="n">
        <v>665.972772</v>
      </c>
      <c r="G105" t="n">
        <v>138.073221</v>
      </c>
      <c r="H105" t="n">
        <v>328.210407</v>
      </c>
      <c r="I105" t="n">
        <v>321.185641</v>
      </c>
      <c r="J105" t="n">
        <v>337.306601</v>
      </c>
      <c r="K105" t="n">
        <v>317.068205</v>
      </c>
      <c r="L105" t="n">
        <v>461.958282</v>
      </c>
      <c r="M105" t="n">
        <v>461.958282</v>
      </c>
      <c r="N105" t="n">
        <v>461.958282</v>
      </c>
      <c r="O105" t="n">
        <v>304.533157</v>
      </c>
      <c r="P105" t="n">
        <v>108.42706</v>
      </c>
      <c r="Q105" t="n">
        <v>461.958282</v>
      </c>
      <c r="R105" t="n">
        <v>461.958282</v>
      </c>
      <c r="S105" t="n">
        <v>304.533157</v>
      </c>
      <c r="T105" t="n">
        <v>304.533157</v>
      </c>
      <c r="U105" t="n">
        <v>108.42706</v>
      </c>
      <c r="V105" t="n">
        <v>108.42706</v>
      </c>
      <c r="W105" t="n">
        <v>306.991308</v>
      </c>
      <c r="X105" t="n">
        <v>468.161038</v>
      </c>
    </row>
    <row r="106">
      <c r="A106" t="inlineStr">
        <is>
          <t>Macrouridae</t>
        </is>
      </c>
      <c r="B106" t="n">
        <v>3.88</v>
      </c>
      <c r="C106" t="n">
        <v>758.577575</v>
      </c>
      <c r="D106" t="inlineStr">
        <is>
          <t>Unresolved</t>
        </is>
      </c>
    </row>
    <row r="107">
      <c r="A107" t="inlineStr">
        <is>
          <t>Chelidonichthys cuculus</t>
        </is>
      </c>
      <c r="B107" t="n">
        <v>3.81</v>
      </c>
      <c r="C107" t="n">
        <v>645.654229</v>
      </c>
      <c r="D107" t="inlineStr">
        <is>
          <t>Large Dem. fish</t>
        </is>
      </c>
      <c r="E107" t="n">
        <v>327.790917</v>
      </c>
      <c r="F107" t="n">
        <v>665.972772</v>
      </c>
      <c r="G107" t="n">
        <v>138.073221</v>
      </c>
      <c r="H107" t="n">
        <v>328.210407</v>
      </c>
      <c r="I107" t="n">
        <v>321.185641</v>
      </c>
      <c r="J107" t="n">
        <v>337.306601</v>
      </c>
      <c r="K107" t="n">
        <v>317.068205</v>
      </c>
      <c r="L107" t="n">
        <v>461.958282</v>
      </c>
      <c r="M107" t="n">
        <v>461.958282</v>
      </c>
      <c r="N107" t="n">
        <v>461.958282</v>
      </c>
      <c r="O107" t="n">
        <v>304.533157</v>
      </c>
      <c r="P107" t="n">
        <v>108.42706</v>
      </c>
      <c r="Q107" t="n">
        <v>461.958282</v>
      </c>
      <c r="R107" t="n">
        <v>461.958282</v>
      </c>
      <c r="S107" t="n">
        <v>304.533157</v>
      </c>
      <c r="T107" t="n">
        <v>304.533157</v>
      </c>
      <c r="U107" t="n">
        <v>108.42706</v>
      </c>
      <c r="V107" t="n">
        <v>108.42706</v>
      </c>
      <c r="W107" t="n">
        <v>306.991308</v>
      </c>
      <c r="X107" t="n">
        <v>468.161038</v>
      </c>
    </row>
    <row r="108">
      <c r="A108" t="inlineStr">
        <is>
          <t>Perciformes</t>
        </is>
      </c>
      <c r="B108" t="n">
        <v>3.53</v>
      </c>
      <c r="C108" t="n">
        <v>338.844156</v>
      </c>
      <c r="D108" t="inlineStr">
        <is>
          <t>Large Dem. fish</t>
        </is>
      </c>
      <c r="E108" t="n">
        <v>327.790917</v>
      </c>
      <c r="F108" t="n">
        <v>665.972772</v>
      </c>
      <c r="G108" t="n">
        <v>138.073221</v>
      </c>
      <c r="H108" t="n">
        <v>328.210407</v>
      </c>
      <c r="I108" t="n">
        <v>321.185641</v>
      </c>
      <c r="J108" t="n">
        <v>337.306601</v>
      </c>
      <c r="K108" t="n">
        <v>317.068205</v>
      </c>
      <c r="L108" t="n">
        <v>461.958282</v>
      </c>
      <c r="M108" t="n">
        <v>461.958282</v>
      </c>
      <c r="N108" t="n">
        <v>461.958282</v>
      </c>
      <c r="O108" t="n">
        <v>304.533157</v>
      </c>
      <c r="P108" t="n">
        <v>108.42706</v>
      </c>
      <c r="Q108" t="n">
        <v>461.958282</v>
      </c>
      <c r="R108" t="n">
        <v>461.958282</v>
      </c>
      <c r="S108" t="n">
        <v>304.533157</v>
      </c>
      <c r="T108" t="n">
        <v>304.533157</v>
      </c>
      <c r="U108" t="n">
        <v>108.42706</v>
      </c>
      <c r="V108" t="n">
        <v>108.42706</v>
      </c>
      <c r="W108" t="n">
        <v>306.991308</v>
      </c>
      <c r="X108" t="n">
        <v>468.161038</v>
      </c>
    </row>
    <row r="109">
      <c r="A109" t="inlineStr">
        <is>
          <t>Littorina</t>
        </is>
      </c>
      <c r="B109" t="n">
        <v>2</v>
      </c>
      <c r="C109" t="n">
        <v>10</v>
      </c>
      <c r="D109" t="inlineStr">
        <is>
          <t>Epifauna</t>
        </is>
      </c>
      <c r="E109" t="n">
        <v>327.790917</v>
      </c>
      <c r="F109" t="n">
        <v>28.994229</v>
      </c>
      <c r="G109" t="n">
        <v>12.834993</v>
      </c>
      <c r="H109" t="n">
        <v>17.954978</v>
      </c>
      <c r="I109" t="n">
        <v>11.374014</v>
      </c>
      <c r="J109" t="n">
        <v>11.374014</v>
      </c>
      <c r="K109" t="n">
        <v>10.009132</v>
      </c>
      <c r="L109" t="n">
        <v>10.950321</v>
      </c>
      <c r="M109" t="n">
        <v>10.950321</v>
      </c>
      <c r="N109" t="n">
        <v>10.950321</v>
      </c>
      <c r="O109" t="n">
        <v>10.041084</v>
      </c>
      <c r="P109" t="n">
        <v>6.846302</v>
      </c>
      <c r="Q109" t="n">
        <v>10.950321</v>
      </c>
      <c r="R109" t="n">
        <v>10.950321</v>
      </c>
      <c r="S109" t="n">
        <v>10.041084</v>
      </c>
      <c r="T109" t="n">
        <v>10.041084</v>
      </c>
      <c r="U109" t="n">
        <v>6.846302</v>
      </c>
      <c r="V109" t="n">
        <v>6.846302</v>
      </c>
      <c r="W109" t="n">
        <v>9.947857000000001</v>
      </c>
      <c r="X109" t="n">
        <v>10.794705</v>
      </c>
    </row>
    <row r="110">
      <c r="A110" t="inlineStr">
        <is>
          <t>Hippoglossus hippoglossus</t>
        </is>
      </c>
      <c r="B110" t="n">
        <v>4</v>
      </c>
      <c r="C110" t="n">
        <v>1000</v>
      </c>
      <c r="D110" t="inlineStr">
        <is>
          <t>Flatfishes</t>
        </is>
      </c>
      <c r="E110" t="n">
        <v>327.790917</v>
      </c>
      <c r="F110" t="n">
        <v>222.264878</v>
      </c>
      <c r="G110" t="n">
        <v>60.099306</v>
      </c>
      <c r="H110" t="n">
        <v>123.58001</v>
      </c>
      <c r="I110" t="n">
        <v>98.981683</v>
      </c>
      <c r="J110" t="n">
        <v>101.310188</v>
      </c>
      <c r="K110" t="n">
        <v>92.19227100000001</v>
      </c>
      <c r="L110" t="n">
        <v>114.167454</v>
      </c>
      <c r="M110" t="n">
        <v>114.167454</v>
      </c>
      <c r="N110" t="n">
        <v>114.167454</v>
      </c>
      <c r="O110" t="n">
        <v>82.349557</v>
      </c>
      <c r="P110" t="n">
        <v>38.756383</v>
      </c>
      <c r="Q110" t="n">
        <v>114.167454</v>
      </c>
      <c r="R110" t="n">
        <v>114.167454</v>
      </c>
      <c r="S110" t="n">
        <v>82.349557</v>
      </c>
      <c r="T110" t="n">
        <v>82.349557</v>
      </c>
      <c r="U110" t="n">
        <v>38.756383</v>
      </c>
      <c r="V110" t="n">
        <v>38.756383</v>
      </c>
      <c r="W110" t="n">
        <v>82.655303</v>
      </c>
      <c r="X110" t="n">
        <v>113.898256</v>
      </c>
    </row>
    <row r="111">
      <c r="A111" t="inlineStr">
        <is>
          <t>Raja clavata</t>
        </is>
      </c>
      <c r="B111" t="n">
        <v>3.84</v>
      </c>
      <c r="C111" t="n">
        <v>691.830971</v>
      </c>
      <c r="D111" t="inlineStr">
        <is>
          <t>Sharks &amp; rays</t>
        </is>
      </c>
      <c r="E111" t="n">
        <v>327.790917</v>
      </c>
      <c r="F111" t="n">
        <v>522.28227</v>
      </c>
      <c r="G111" t="n">
        <v>114.842938</v>
      </c>
      <c r="H111" t="n">
        <v>326.928715</v>
      </c>
      <c r="I111" t="n">
        <v>732.255138</v>
      </c>
      <c r="J111" t="n">
        <v>761.48662</v>
      </c>
      <c r="K111" t="n">
        <v>327.439247</v>
      </c>
      <c r="L111" t="n">
        <v>1275.246638</v>
      </c>
      <c r="M111" t="n">
        <v>1275.246638</v>
      </c>
      <c r="N111" t="n">
        <v>1275.246638</v>
      </c>
      <c r="O111" t="n">
        <v>317.659957</v>
      </c>
      <c r="P111" t="n">
        <v>115.247551</v>
      </c>
      <c r="Q111" t="n">
        <v>1275.246638</v>
      </c>
      <c r="R111" t="n">
        <v>1275.246638</v>
      </c>
      <c r="S111" t="n">
        <v>317.659957</v>
      </c>
      <c r="T111" t="n">
        <v>317.659957</v>
      </c>
      <c r="U111" t="n">
        <v>115.247551</v>
      </c>
      <c r="V111" t="n">
        <v>115.247551</v>
      </c>
      <c r="W111" t="n">
        <v>327.701462</v>
      </c>
      <c r="X111" t="n">
        <v>1310.378519</v>
      </c>
    </row>
    <row r="112">
      <c r="A112" t="inlineStr">
        <is>
          <t>Gadiformes</t>
        </is>
      </c>
      <c r="B112" t="n">
        <v>3.91</v>
      </c>
      <c r="C112" t="n">
        <v>812.830516</v>
      </c>
      <c r="D112" t="inlineStr">
        <is>
          <t>Cod | Ling | Haddock | Whiting | Hake | Saithe | Large Dem. fish | Small pelagics | Large Pelagics</t>
        </is>
      </c>
      <c r="E112" t="n">
        <v>327.790917</v>
      </c>
      <c r="F112" t="n">
        <v>485.882846</v>
      </c>
      <c r="G112" t="n">
        <v>103.968442</v>
      </c>
      <c r="H112" t="n">
        <v>199.990593</v>
      </c>
      <c r="I112" t="n">
        <v>136.731378</v>
      </c>
      <c r="J112" t="n">
        <v>144.758687</v>
      </c>
      <c r="K112" t="n">
        <v>129.782392</v>
      </c>
      <c r="L112" t="n">
        <v>181.24754</v>
      </c>
      <c r="M112" t="n">
        <v>181.24754</v>
      </c>
      <c r="N112" t="n">
        <v>181.24754</v>
      </c>
      <c r="O112" t="n">
        <v>117.578446</v>
      </c>
      <c r="P112" t="n">
        <v>45.881613</v>
      </c>
      <c r="Q112" t="n">
        <v>181.24754</v>
      </c>
      <c r="R112" t="n">
        <v>181.24754</v>
      </c>
      <c r="S112" t="n">
        <v>117.578446</v>
      </c>
      <c r="T112" t="n">
        <v>117.578446</v>
      </c>
      <c r="U112" t="n">
        <v>45.881613</v>
      </c>
      <c r="V112" t="n">
        <v>45.881613</v>
      </c>
      <c r="W112" t="n">
        <v>117.818156</v>
      </c>
      <c r="X112" t="n">
        <v>186.536458</v>
      </c>
    </row>
    <row r="113">
      <c r="A113" t="inlineStr">
        <is>
          <t>Molva dypterygia</t>
        </is>
      </c>
      <c r="B113" t="n">
        <v>4.49</v>
      </c>
      <c r="C113" t="n">
        <v>3090.295433</v>
      </c>
      <c r="D113" t="inlineStr">
        <is>
          <t>Ling</t>
        </is>
      </c>
      <c r="E113" t="n">
        <v>327.790917</v>
      </c>
      <c r="F113" t="n">
        <v>1898.245398</v>
      </c>
      <c r="G113" t="n">
        <v>305.428226</v>
      </c>
      <c r="H113" t="n">
        <v>911.558009</v>
      </c>
      <c r="I113" t="n">
        <v>376.10347</v>
      </c>
      <c r="J113" t="n">
        <v>391.847098</v>
      </c>
      <c r="K113" t="n">
        <v>368.336273</v>
      </c>
      <c r="L113" t="n">
        <v>491.495581</v>
      </c>
      <c r="M113" t="n">
        <v>491.495581</v>
      </c>
      <c r="N113" t="n">
        <v>491.495581</v>
      </c>
      <c r="O113" t="n">
        <v>302.549286</v>
      </c>
      <c r="P113" t="n">
        <v>96.52297900000001</v>
      </c>
      <c r="Q113" t="n">
        <v>491.495581</v>
      </c>
      <c r="R113" t="n">
        <v>491.495581</v>
      </c>
      <c r="S113" t="n">
        <v>302.549286</v>
      </c>
      <c r="T113" t="n">
        <v>302.549286</v>
      </c>
      <c r="U113" t="n">
        <v>96.52297900000001</v>
      </c>
      <c r="V113" t="n">
        <v>96.52297900000001</v>
      </c>
      <c r="W113" t="n">
        <v>307.895008</v>
      </c>
      <c r="X113" t="n">
        <v>544.500349</v>
      </c>
    </row>
    <row r="114">
      <c r="A114" t="inlineStr">
        <is>
          <t>Sciaenidae</t>
        </is>
      </c>
      <c r="B114" t="n">
        <v>3.76</v>
      </c>
      <c r="C114" t="n">
        <v>575.439937</v>
      </c>
      <c r="D114" t="inlineStr">
        <is>
          <t>Large Dem. fish</t>
        </is>
      </c>
      <c r="E114" t="n">
        <v>327.790917</v>
      </c>
      <c r="F114" t="n">
        <v>665.972772</v>
      </c>
      <c r="G114" t="n">
        <v>138.073221</v>
      </c>
      <c r="H114" t="n">
        <v>328.210407</v>
      </c>
      <c r="I114" t="n">
        <v>321.185641</v>
      </c>
      <c r="J114" t="n">
        <v>337.306601</v>
      </c>
      <c r="K114" t="n">
        <v>317.068205</v>
      </c>
      <c r="L114" t="n">
        <v>461.958282</v>
      </c>
      <c r="M114" t="n">
        <v>461.958282</v>
      </c>
      <c r="N114" t="n">
        <v>461.958282</v>
      </c>
      <c r="O114" t="n">
        <v>304.533157</v>
      </c>
      <c r="P114" t="n">
        <v>108.42706</v>
      </c>
      <c r="Q114" t="n">
        <v>461.958282</v>
      </c>
      <c r="R114" t="n">
        <v>461.958282</v>
      </c>
      <c r="S114" t="n">
        <v>304.533157</v>
      </c>
      <c r="T114" t="n">
        <v>304.533157</v>
      </c>
      <c r="U114" t="n">
        <v>108.42706</v>
      </c>
      <c r="V114" t="n">
        <v>108.42706</v>
      </c>
      <c r="W114" t="n">
        <v>306.991308</v>
      </c>
      <c r="X114" t="n">
        <v>468.161038</v>
      </c>
    </row>
    <row r="115">
      <c r="A115" t="inlineStr">
        <is>
          <t>Callionymus maculatus</t>
        </is>
      </c>
      <c r="B115" t="n">
        <v>3.25</v>
      </c>
      <c r="C115" t="n">
        <v>177.827941</v>
      </c>
      <c r="D115" t="inlineStr">
        <is>
          <t>Large Dem. fish</t>
        </is>
      </c>
      <c r="E115" t="n">
        <v>327.790917</v>
      </c>
      <c r="F115" t="n">
        <v>665.972772</v>
      </c>
      <c r="G115" t="n">
        <v>138.073221</v>
      </c>
      <c r="H115" t="n">
        <v>328.210407</v>
      </c>
      <c r="I115" t="n">
        <v>321.185641</v>
      </c>
      <c r="J115" t="n">
        <v>337.306601</v>
      </c>
      <c r="K115" t="n">
        <v>317.068205</v>
      </c>
      <c r="L115" t="n">
        <v>461.958282</v>
      </c>
      <c r="M115" t="n">
        <v>461.958282</v>
      </c>
      <c r="N115" t="n">
        <v>461.958282</v>
      </c>
      <c r="O115" t="n">
        <v>304.533157</v>
      </c>
      <c r="P115" t="n">
        <v>108.42706</v>
      </c>
      <c r="Q115" t="n">
        <v>461.958282</v>
      </c>
      <c r="R115" t="n">
        <v>461.958282</v>
      </c>
      <c r="S115" t="n">
        <v>304.533157</v>
      </c>
      <c r="T115" t="n">
        <v>304.533157</v>
      </c>
      <c r="U115" t="n">
        <v>108.42706</v>
      </c>
      <c r="V115" t="n">
        <v>108.42706</v>
      </c>
      <c r="W115" t="n">
        <v>306.991308</v>
      </c>
      <c r="X115" t="n">
        <v>468.161038</v>
      </c>
    </row>
    <row r="116">
      <c r="A116" t="inlineStr">
        <is>
          <t>Lepidorhombus</t>
        </is>
      </c>
      <c r="B116" t="n">
        <v>3.96</v>
      </c>
      <c r="C116" t="n">
        <v>912.010839</v>
      </c>
      <c r="D116" t="inlineStr">
        <is>
          <t>Flatfishes</t>
        </is>
      </c>
      <c r="E116" t="n">
        <v>327.790917</v>
      </c>
      <c r="F116" t="n">
        <v>222.264878</v>
      </c>
      <c r="G116" t="n">
        <v>60.099306</v>
      </c>
      <c r="H116" t="n">
        <v>123.58001</v>
      </c>
      <c r="I116" t="n">
        <v>98.981683</v>
      </c>
      <c r="J116" t="n">
        <v>101.310188</v>
      </c>
      <c r="K116" t="n">
        <v>92.19227100000001</v>
      </c>
      <c r="L116" t="n">
        <v>114.167454</v>
      </c>
      <c r="M116" t="n">
        <v>114.167454</v>
      </c>
      <c r="N116" t="n">
        <v>114.167454</v>
      </c>
      <c r="O116" t="n">
        <v>82.349557</v>
      </c>
      <c r="P116" t="n">
        <v>38.756383</v>
      </c>
      <c r="Q116" t="n">
        <v>114.167454</v>
      </c>
      <c r="R116" t="n">
        <v>114.167454</v>
      </c>
      <c r="S116" t="n">
        <v>82.349557</v>
      </c>
      <c r="T116" t="n">
        <v>82.349557</v>
      </c>
      <c r="U116" t="n">
        <v>38.756383</v>
      </c>
      <c r="V116" t="n">
        <v>38.756383</v>
      </c>
      <c r="W116" t="n">
        <v>82.655303</v>
      </c>
      <c r="X116" t="n">
        <v>113.898256</v>
      </c>
    </row>
    <row r="117">
      <c r="A117" t="inlineStr">
        <is>
          <t>Solen</t>
        </is>
      </c>
      <c r="B117" t="n">
        <v>2</v>
      </c>
      <c r="C117" t="n">
        <v>10</v>
      </c>
      <c r="D117" t="inlineStr">
        <is>
          <t>Infauna</t>
        </is>
      </c>
      <c r="E117" t="n">
        <v>327.790917</v>
      </c>
      <c r="F117" t="n">
        <v>10</v>
      </c>
      <c r="G117" t="n">
        <v>5.727631</v>
      </c>
      <c r="H117" t="n">
        <v>5.721903</v>
      </c>
      <c r="I117" t="n">
        <v>4.44</v>
      </c>
      <c r="J117" t="n">
        <v>4.44</v>
      </c>
      <c r="K117" t="n">
        <v>3.996</v>
      </c>
      <c r="L117" t="n">
        <v>3.864936</v>
      </c>
      <c r="M117" t="n">
        <v>3.864936</v>
      </c>
      <c r="N117" t="n">
        <v>3.864936</v>
      </c>
      <c r="O117" t="n">
        <v>4.247203</v>
      </c>
      <c r="P117" t="n">
        <v>3.679841</v>
      </c>
      <c r="Q117" t="n">
        <v>3.864936</v>
      </c>
      <c r="R117" t="n">
        <v>3.864936</v>
      </c>
      <c r="S117" t="n">
        <v>4.247203</v>
      </c>
      <c r="T117" t="n">
        <v>4.247203</v>
      </c>
      <c r="U117" t="n">
        <v>3.679841</v>
      </c>
      <c r="V117" t="n">
        <v>3.679841</v>
      </c>
      <c r="W117" t="n">
        <v>4.187569</v>
      </c>
      <c r="X117" t="n">
        <v>3.928919</v>
      </c>
    </row>
    <row r="118">
      <c r="A118" t="inlineStr">
        <is>
          <t>Scyliorhinus canicula</t>
        </is>
      </c>
      <c r="B118" t="n">
        <v>3.82</v>
      </c>
      <c r="C118" t="n">
        <v>660.693448</v>
      </c>
      <c r="D118" t="inlineStr">
        <is>
          <t>Sharks &amp; rays</t>
        </is>
      </c>
      <c r="E118" t="n">
        <v>327.790917</v>
      </c>
      <c r="F118" t="n">
        <v>522.28227</v>
      </c>
      <c r="G118" t="n">
        <v>114.842938</v>
      </c>
      <c r="H118" t="n">
        <v>326.928715</v>
      </c>
      <c r="I118" t="n">
        <v>732.255138</v>
      </c>
      <c r="J118" t="n">
        <v>761.48662</v>
      </c>
      <c r="K118" t="n">
        <v>327.439247</v>
      </c>
      <c r="L118" t="n">
        <v>1275.246638</v>
      </c>
      <c r="M118" t="n">
        <v>1275.246638</v>
      </c>
      <c r="N118" t="n">
        <v>1275.246638</v>
      </c>
      <c r="O118" t="n">
        <v>317.659957</v>
      </c>
      <c r="P118" t="n">
        <v>115.247551</v>
      </c>
      <c r="Q118" t="n">
        <v>1275.246638</v>
      </c>
      <c r="R118" t="n">
        <v>1275.246638</v>
      </c>
      <c r="S118" t="n">
        <v>317.659957</v>
      </c>
      <c r="T118" t="n">
        <v>317.659957</v>
      </c>
      <c r="U118" t="n">
        <v>115.247551</v>
      </c>
      <c r="V118" t="n">
        <v>115.247551</v>
      </c>
      <c r="W118" t="n">
        <v>327.701462</v>
      </c>
      <c r="X118" t="n">
        <v>1310.378519</v>
      </c>
    </row>
    <row r="119">
      <c r="A119" t="inlineStr">
        <is>
          <t>Aequipecten opercularis</t>
        </is>
      </c>
      <c r="B119" t="n">
        <v>2</v>
      </c>
      <c r="C119" t="n">
        <v>10</v>
      </c>
      <c r="D119" t="inlineStr">
        <is>
          <t>Epifauna</t>
        </is>
      </c>
      <c r="E119" t="n">
        <v>327.790917</v>
      </c>
      <c r="F119" t="n">
        <v>28.994229</v>
      </c>
      <c r="G119" t="n">
        <v>12.834993</v>
      </c>
      <c r="H119" t="n">
        <v>17.954978</v>
      </c>
      <c r="I119" t="n">
        <v>11.374014</v>
      </c>
      <c r="J119" t="n">
        <v>11.374014</v>
      </c>
      <c r="K119" t="n">
        <v>10.009132</v>
      </c>
      <c r="L119" t="n">
        <v>10.950321</v>
      </c>
      <c r="M119" t="n">
        <v>10.950321</v>
      </c>
      <c r="N119" t="n">
        <v>10.950321</v>
      </c>
      <c r="O119" t="n">
        <v>10.041084</v>
      </c>
      <c r="P119" t="n">
        <v>6.846302</v>
      </c>
      <c r="Q119" t="n">
        <v>10.950321</v>
      </c>
      <c r="R119" t="n">
        <v>10.950321</v>
      </c>
      <c r="S119" t="n">
        <v>10.041084</v>
      </c>
      <c r="T119" t="n">
        <v>10.041084</v>
      </c>
      <c r="U119" t="n">
        <v>6.846302</v>
      </c>
      <c r="V119" t="n">
        <v>6.846302</v>
      </c>
      <c r="W119" t="n">
        <v>9.947857000000001</v>
      </c>
      <c r="X119" t="n">
        <v>10.794705</v>
      </c>
    </row>
    <row r="120">
      <c r="A120" t="inlineStr">
        <is>
          <t>Gobiidae</t>
        </is>
      </c>
      <c r="B120" t="n">
        <v>3.11</v>
      </c>
      <c r="C120" t="n">
        <v>128.824955</v>
      </c>
      <c r="D120" t="inlineStr">
        <is>
          <t>Large Dem. fish</t>
        </is>
      </c>
      <c r="E120" t="n">
        <v>327.790917</v>
      </c>
      <c r="F120" t="n">
        <v>665.972772</v>
      </c>
      <c r="G120" t="n">
        <v>138.073221</v>
      </c>
      <c r="H120" t="n">
        <v>328.210407</v>
      </c>
      <c r="I120" t="n">
        <v>321.185641</v>
      </c>
      <c r="J120" t="n">
        <v>337.306601</v>
      </c>
      <c r="K120" t="n">
        <v>317.068205</v>
      </c>
      <c r="L120" t="n">
        <v>461.958282</v>
      </c>
      <c r="M120" t="n">
        <v>461.958282</v>
      </c>
      <c r="N120" t="n">
        <v>461.958282</v>
      </c>
      <c r="O120" t="n">
        <v>304.533157</v>
      </c>
      <c r="P120" t="n">
        <v>108.42706</v>
      </c>
      <c r="Q120" t="n">
        <v>461.958282</v>
      </c>
      <c r="R120" t="n">
        <v>461.958282</v>
      </c>
      <c r="S120" t="n">
        <v>304.533157</v>
      </c>
      <c r="T120" t="n">
        <v>304.533157</v>
      </c>
      <c r="U120" t="n">
        <v>108.42706</v>
      </c>
      <c r="V120" t="n">
        <v>108.42706</v>
      </c>
      <c r="W120" t="n">
        <v>306.991308</v>
      </c>
      <c r="X120" t="n">
        <v>468.161038</v>
      </c>
    </row>
    <row r="121">
      <c r="A121" t="inlineStr">
        <is>
          <t>Cephalopoda</t>
        </is>
      </c>
      <c r="B121" t="n">
        <v>3.81</v>
      </c>
      <c r="C121" t="n">
        <v>645.654229</v>
      </c>
      <c r="D121" t="inlineStr">
        <is>
          <t>Squid &amp; Octopus</t>
        </is>
      </c>
      <c r="E121" t="n">
        <v>327.790917</v>
      </c>
      <c r="F121" t="n">
        <v>160.967585</v>
      </c>
      <c r="G121" t="n">
        <v>47.060072</v>
      </c>
      <c r="H121" t="n">
        <v>88.258037</v>
      </c>
      <c r="I121" t="n">
        <v>77.00034599999999</v>
      </c>
      <c r="J121" t="n">
        <v>77.34926</v>
      </c>
      <c r="K121" t="n">
        <v>73.481797</v>
      </c>
      <c r="L121" t="n">
        <v>94.097724</v>
      </c>
      <c r="M121" t="n">
        <v>94.097724</v>
      </c>
      <c r="N121" t="n">
        <v>94.097724</v>
      </c>
      <c r="O121" t="n">
        <v>70.413555</v>
      </c>
      <c r="P121" t="n">
        <v>31.50612</v>
      </c>
      <c r="Q121" t="n">
        <v>94.097724</v>
      </c>
      <c r="R121" t="n">
        <v>94.097724</v>
      </c>
      <c r="S121" t="n">
        <v>70.413555</v>
      </c>
      <c r="T121" t="n">
        <v>70.413555</v>
      </c>
      <c r="U121" t="n">
        <v>31.50612</v>
      </c>
      <c r="V121" t="n">
        <v>31.50612</v>
      </c>
      <c r="W121" t="n">
        <v>71.270959</v>
      </c>
      <c r="X121" t="n">
        <v>97.60397</v>
      </c>
    </row>
    <row r="122">
      <c r="A122" t="inlineStr">
        <is>
          <t>Mollusca</t>
        </is>
      </c>
      <c r="B122" t="n">
        <v>2.1</v>
      </c>
      <c r="C122" t="n">
        <v>12.589254</v>
      </c>
      <c r="D122" t="inlineStr">
        <is>
          <t>Infauna | Epifauna</t>
        </is>
      </c>
      <c r="E122" t="n">
        <v>327.790917</v>
      </c>
      <c r="F122" t="n">
        <v>28.765706</v>
      </c>
      <c r="G122" t="n">
        <v>12.749483</v>
      </c>
      <c r="H122" t="n">
        <v>17.8078</v>
      </c>
      <c r="I122" t="n">
        <v>11.29059</v>
      </c>
      <c r="J122" t="n">
        <v>11.29059</v>
      </c>
      <c r="K122" t="n">
        <v>9.936787000000001</v>
      </c>
      <c r="L122" t="n">
        <v>10.865076</v>
      </c>
      <c r="M122" t="n">
        <v>10.865076</v>
      </c>
      <c r="N122" t="n">
        <v>10.865076</v>
      </c>
      <c r="O122" t="n">
        <v>9.971377</v>
      </c>
      <c r="P122" t="n">
        <v>6.808206</v>
      </c>
      <c r="Q122" t="n">
        <v>10.865076</v>
      </c>
      <c r="R122" t="n">
        <v>10.865076</v>
      </c>
      <c r="S122" t="n">
        <v>9.971377</v>
      </c>
      <c r="T122" t="n">
        <v>9.971377</v>
      </c>
      <c r="U122" t="n">
        <v>6.808206</v>
      </c>
      <c r="V122" t="n">
        <v>6.808206</v>
      </c>
      <c r="W122" t="n">
        <v>9.878553999999999</v>
      </c>
      <c r="X122" t="n">
        <v>10.712101</v>
      </c>
    </row>
    <row r="123">
      <c r="A123" t="inlineStr">
        <is>
          <t>Gastropoda</t>
        </is>
      </c>
      <c r="B123" t="n">
        <v>3.06</v>
      </c>
      <c r="C123" t="n">
        <v>114.815362</v>
      </c>
      <c r="D123" t="inlineStr">
        <is>
          <t>Epifauna</t>
        </is>
      </c>
      <c r="E123" t="n">
        <v>327.790917</v>
      </c>
      <c r="F123" t="n">
        <v>28.994229</v>
      </c>
      <c r="G123" t="n">
        <v>12.834993</v>
      </c>
      <c r="H123" t="n">
        <v>17.954978</v>
      </c>
      <c r="I123" t="n">
        <v>11.374014</v>
      </c>
      <c r="J123" t="n">
        <v>11.374014</v>
      </c>
      <c r="K123" t="n">
        <v>10.009132</v>
      </c>
      <c r="L123" t="n">
        <v>10.950321</v>
      </c>
      <c r="M123" t="n">
        <v>10.950321</v>
      </c>
      <c r="N123" t="n">
        <v>10.950321</v>
      </c>
      <c r="O123" t="n">
        <v>10.041084</v>
      </c>
      <c r="P123" t="n">
        <v>6.846302</v>
      </c>
      <c r="Q123" t="n">
        <v>10.950321</v>
      </c>
      <c r="R123" t="n">
        <v>10.950321</v>
      </c>
      <c r="S123" t="n">
        <v>10.041084</v>
      </c>
      <c r="T123" t="n">
        <v>10.041084</v>
      </c>
      <c r="U123" t="n">
        <v>6.846302</v>
      </c>
      <c r="V123" t="n">
        <v>6.846302</v>
      </c>
      <c r="W123" t="n">
        <v>9.947857000000001</v>
      </c>
      <c r="X123" t="n">
        <v>10.794705</v>
      </c>
    </row>
    <row r="124">
      <c r="A124" t="inlineStr">
        <is>
          <t>Necora puber</t>
        </is>
      </c>
      <c r="B124" t="n">
        <v>2.6</v>
      </c>
      <c r="C124" t="n">
        <v>39.810717</v>
      </c>
      <c r="D124" t="inlineStr">
        <is>
          <t>Crustacea</t>
        </is>
      </c>
      <c r="E124" t="n">
        <v>327.790917</v>
      </c>
      <c r="F124" t="n">
        <v>79.403785</v>
      </c>
      <c r="G124" t="n">
        <v>27.544327</v>
      </c>
      <c r="H124" t="n">
        <v>45.837748</v>
      </c>
      <c r="I124" t="n">
        <v>38.918317</v>
      </c>
      <c r="J124" t="n">
        <v>38.964516</v>
      </c>
      <c r="K124" t="n">
        <v>31.561258</v>
      </c>
      <c r="L124" t="n">
        <v>47.671907</v>
      </c>
      <c r="M124" t="n">
        <v>47.671907</v>
      </c>
      <c r="N124" t="n">
        <v>47.671907</v>
      </c>
      <c r="O124" t="n">
        <v>34.575524</v>
      </c>
      <c r="P124" t="n">
        <v>19.020842</v>
      </c>
      <c r="Q124" t="n">
        <v>47.671907</v>
      </c>
      <c r="R124" t="n">
        <v>47.671907</v>
      </c>
      <c r="S124" t="n">
        <v>34.575524</v>
      </c>
      <c r="T124" t="n">
        <v>34.575524</v>
      </c>
      <c r="U124" t="n">
        <v>19.020842</v>
      </c>
      <c r="V124" t="n">
        <v>19.020842</v>
      </c>
      <c r="W124" t="n">
        <v>34.954015</v>
      </c>
      <c r="X124" t="n">
        <v>47.765312</v>
      </c>
    </row>
    <row r="125">
      <c r="A125" t="inlineStr">
        <is>
          <t>Pectinidae</t>
        </is>
      </c>
      <c r="B125" t="n">
        <v>2</v>
      </c>
      <c r="C125" t="n">
        <v>10</v>
      </c>
      <c r="D125" t="inlineStr">
        <is>
          <t>Epifauna</t>
        </is>
      </c>
      <c r="E125" t="n">
        <v>327.790917</v>
      </c>
      <c r="F125" t="n">
        <v>28.994229</v>
      </c>
      <c r="G125" t="n">
        <v>12.834993</v>
      </c>
      <c r="H125" t="n">
        <v>17.954978</v>
      </c>
      <c r="I125" t="n">
        <v>11.374014</v>
      </c>
      <c r="J125" t="n">
        <v>11.374014</v>
      </c>
      <c r="K125" t="n">
        <v>10.009132</v>
      </c>
      <c r="L125" t="n">
        <v>10.950321</v>
      </c>
      <c r="M125" t="n">
        <v>10.950321</v>
      </c>
      <c r="N125" t="n">
        <v>10.950321</v>
      </c>
      <c r="O125" t="n">
        <v>10.041084</v>
      </c>
      <c r="P125" t="n">
        <v>6.846302</v>
      </c>
      <c r="Q125" t="n">
        <v>10.950321</v>
      </c>
      <c r="R125" t="n">
        <v>10.950321</v>
      </c>
      <c r="S125" t="n">
        <v>10.041084</v>
      </c>
      <c r="T125" t="n">
        <v>10.041084</v>
      </c>
      <c r="U125" t="n">
        <v>6.846302</v>
      </c>
      <c r="V125" t="n">
        <v>6.846302</v>
      </c>
      <c r="W125" t="n">
        <v>9.947857000000001</v>
      </c>
      <c r="X125" t="n">
        <v>10.794705</v>
      </c>
    </row>
    <row r="126">
      <c r="A126" t="inlineStr">
        <is>
          <t>Arnoglossus laterna</t>
        </is>
      </c>
      <c r="B126" t="n">
        <v>3.59</v>
      </c>
      <c r="C126" t="n">
        <v>389.045145</v>
      </c>
      <c r="D126" t="inlineStr">
        <is>
          <t>Flatfishes</t>
        </is>
      </c>
      <c r="E126" t="n">
        <v>327.790917</v>
      </c>
      <c r="F126" t="n">
        <v>222.264878</v>
      </c>
      <c r="G126" t="n">
        <v>60.099306</v>
      </c>
      <c r="H126" t="n">
        <v>123.58001</v>
      </c>
      <c r="I126" t="n">
        <v>98.981683</v>
      </c>
      <c r="J126" t="n">
        <v>101.310188</v>
      </c>
      <c r="K126" t="n">
        <v>92.19227100000001</v>
      </c>
      <c r="L126" t="n">
        <v>114.167454</v>
      </c>
      <c r="M126" t="n">
        <v>114.167454</v>
      </c>
      <c r="N126" t="n">
        <v>114.167454</v>
      </c>
      <c r="O126" t="n">
        <v>82.349557</v>
      </c>
      <c r="P126" t="n">
        <v>38.756383</v>
      </c>
      <c r="Q126" t="n">
        <v>114.167454</v>
      </c>
      <c r="R126" t="n">
        <v>114.167454</v>
      </c>
      <c r="S126" t="n">
        <v>82.349557</v>
      </c>
      <c r="T126" t="n">
        <v>82.349557</v>
      </c>
      <c r="U126" t="n">
        <v>38.756383</v>
      </c>
      <c r="V126" t="n">
        <v>38.756383</v>
      </c>
      <c r="W126" t="n">
        <v>82.655303</v>
      </c>
      <c r="X126" t="n">
        <v>113.898256</v>
      </c>
    </row>
    <row r="127">
      <c r="A127" t="inlineStr">
        <is>
          <t>Salmo trutta</t>
        </is>
      </c>
      <c r="B127" t="n">
        <v>3.36</v>
      </c>
      <c r="C127" t="n">
        <v>229.086765</v>
      </c>
      <c r="D127" t="inlineStr">
        <is>
          <t>Unresolved</t>
        </is>
      </c>
    </row>
    <row r="128">
      <c r="A128" t="inlineStr">
        <is>
          <t>Zoarces viviparus</t>
        </is>
      </c>
      <c r="B128" t="n">
        <v>3.47</v>
      </c>
      <c r="C128" t="n">
        <v>295.120923</v>
      </c>
      <c r="D128" t="inlineStr">
        <is>
          <t>Large Dem. fish</t>
        </is>
      </c>
      <c r="E128" t="n">
        <v>327.790917</v>
      </c>
      <c r="F128" t="n">
        <v>665.972772</v>
      </c>
      <c r="G128" t="n">
        <v>138.073221</v>
      </c>
      <c r="H128" t="n">
        <v>328.210407</v>
      </c>
      <c r="I128" t="n">
        <v>321.185641</v>
      </c>
      <c r="J128" t="n">
        <v>337.306601</v>
      </c>
      <c r="K128" t="n">
        <v>317.068205</v>
      </c>
      <c r="L128" t="n">
        <v>461.958282</v>
      </c>
      <c r="M128" t="n">
        <v>461.958282</v>
      </c>
      <c r="N128" t="n">
        <v>461.958282</v>
      </c>
      <c r="O128" t="n">
        <v>304.533157</v>
      </c>
      <c r="P128" t="n">
        <v>108.42706</v>
      </c>
      <c r="Q128" t="n">
        <v>461.958282</v>
      </c>
      <c r="R128" t="n">
        <v>461.958282</v>
      </c>
      <c r="S128" t="n">
        <v>304.533157</v>
      </c>
      <c r="T128" t="n">
        <v>304.533157</v>
      </c>
      <c r="U128" t="n">
        <v>108.42706</v>
      </c>
      <c r="V128" t="n">
        <v>108.42706</v>
      </c>
      <c r="W128" t="n">
        <v>306.991308</v>
      </c>
      <c r="X128" t="n">
        <v>468.161038</v>
      </c>
    </row>
    <row r="129">
      <c r="A129" t="inlineStr">
        <is>
          <t>Centroscymnus coelolepis</t>
        </is>
      </c>
      <c r="D129" t="inlineStr">
        <is>
          <t>Sharks &amp; rays</t>
        </is>
      </c>
      <c r="E129" t="n">
        <v>327.790917</v>
      </c>
      <c r="F129" t="n">
        <v>522.28227</v>
      </c>
      <c r="G129" t="n">
        <v>114.842938</v>
      </c>
      <c r="H129" t="n">
        <v>326.928715</v>
      </c>
      <c r="I129" t="n">
        <v>732.255138</v>
      </c>
      <c r="J129" t="n">
        <v>761.48662</v>
      </c>
      <c r="K129" t="n">
        <v>327.439247</v>
      </c>
      <c r="L129" t="n">
        <v>1275.246638</v>
      </c>
      <c r="M129" t="n">
        <v>1275.246638</v>
      </c>
      <c r="N129" t="n">
        <v>1275.246638</v>
      </c>
      <c r="O129" t="n">
        <v>317.659957</v>
      </c>
      <c r="P129" t="n">
        <v>115.247551</v>
      </c>
      <c r="Q129" t="n">
        <v>1275.246638</v>
      </c>
      <c r="R129" t="n">
        <v>1275.246638</v>
      </c>
      <c r="S129" t="n">
        <v>317.659957</v>
      </c>
      <c r="T129" t="n">
        <v>317.659957</v>
      </c>
      <c r="U129" t="n">
        <v>115.247551</v>
      </c>
      <c r="V129" t="n">
        <v>115.247551</v>
      </c>
      <c r="W129" t="n">
        <v>327.701462</v>
      </c>
      <c r="X129" t="n">
        <v>1310.378519</v>
      </c>
    </row>
    <row r="130">
      <c r="A130" t="inlineStr">
        <is>
          <t>Leucoraja naevus</t>
        </is>
      </c>
      <c r="B130" t="n">
        <v>4.21</v>
      </c>
      <c r="C130" t="n">
        <v>1621.810097</v>
      </c>
      <c r="D130" t="inlineStr">
        <is>
          <t>Sharks &amp; rays</t>
        </is>
      </c>
      <c r="E130" t="n">
        <v>327.790917</v>
      </c>
      <c r="F130" t="n">
        <v>522.28227</v>
      </c>
      <c r="G130" t="n">
        <v>114.842938</v>
      </c>
      <c r="H130" t="n">
        <v>326.928715</v>
      </c>
      <c r="I130" t="n">
        <v>732.255138</v>
      </c>
      <c r="J130" t="n">
        <v>761.48662</v>
      </c>
      <c r="K130" t="n">
        <v>327.439247</v>
      </c>
      <c r="L130" t="n">
        <v>1275.246638</v>
      </c>
      <c r="M130" t="n">
        <v>1275.246638</v>
      </c>
      <c r="N130" t="n">
        <v>1275.246638</v>
      </c>
      <c r="O130" t="n">
        <v>317.659957</v>
      </c>
      <c r="P130" t="n">
        <v>115.247551</v>
      </c>
      <c r="Q130" t="n">
        <v>1275.246638</v>
      </c>
      <c r="R130" t="n">
        <v>1275.246638</v>
      </c>
      <c r="S130" t="n">
        <v>317.659957</v>
      </c>
      <c r="T130" t="n">
        <v>317.659957</v>
      </c>
      <c r="U130" t="n">
        <v>115.247551</v>
      </c>
      <c r="V130" t="n">
        <v>115.247551</v>
      </c>
      <c r="W130" t="n">
        <v>327.701462</v>
      </c>
      <c r="X130" t="n">
        <v>1310.378519</v>
      </c>
    </row>
    <row r="131">
      <c r="A131" t="inlineStr">
        <is>
          <t>Trisopterus minutus</t>
        </is>
      </c>
      <c r="B131" t="n">
        <v>3.73</v>
      </c>
      <c r="C131" t="n">
        <v>537.031796</v>
      </c>
      <c r="D131" t="inlineStr">
        <is>
          <t>Small pelagics</t>
        </is>
      </c>
      <c r="E131" t="n">
        <v>327.790917</v>
      </c>
      <c r="F131" t="n">
        <v>148.024912</v>
      </c>
      <c r="G131" t="n">
        <v>44.163101</v>
      </c>
      <c r="H131" t="n">
        <v>58.893278</v>
      </c>
      <c r="I131" t="n">
        <v>29.57747</v>
      </c>
      <c r="J131" t="n">
        <v>29.708263</v>
      </c>
      <c r="K131" t="n">
        <v>26.143271</v>
      </c>
      <c r="L131" t="n">
        <v>37.444032</v>
      </c>
      <c r="M131" t="n">
        <v>37.444032</v>
      </c>
      <c r="N131" t="n">
        <v>37.444032</v>
      </c>
      <c r="O131" t="n">
        <v>26.825837</v>
      </c>
      <c r="P131" t="n">
        <v>12.629082</v>
      </c>
      <c r="Q131" t="n">
        <v>37.444032</v>
      </c>
      <c r="R131" t="n">
        <v>37.444032</v>
      </c>
      <c r="S131" t="n">
        <v>26.825837</v>
      </c>
      <c r="T131" t="n">
        <v>26.825837</v>
      </c>
      <c r="U131" t="n">
        <v>12.629082</v>
      </c>
      <c r="V131" t="n">
        <v>12.629082</v>
      </c>
      <c r="W131" t="n">
        <v>26.643813</v>
      </c>
      <c r="X131" t="n">
        <v>39.607714</v>
      </c>
    </row>
    <row r="132">
      <c r="A132" t="inlineStr">
        <is>
          <t>Chondrichthyes</t>
        </is>
      </c>
      <c r="B132" t="n">
        <v>4</v>
      </c>
      <c r="C132" t="n">
        <v>1000</v>
      </c>
      <c r="D132" t="inlineStr">
        <is>
          <t>Unresolved</t>
        </is>
      </c>
    </row>
    <row r="133">
      <c r="A133" t="inlineStr">
        <is>
          <t>Macrourus berglax</t>
        </is>
      </c>
      <c r="B133" t="n">
        <v>4.48</v>
      </c>
      <c r="C133" t="n">
        <v>3019.95172</v>
      </c>
      <c r="D133" t="inlineStr">
        <is>
          <t>Unresolved</t>
        </is>
      </c>
    </row>
    <row r="134">
      <c r="A134" t="inlineStr">
        <is>
          <t>Malacostraca</t>
        </is>
      </c>
      <c r="B134" t="n">
        <v>3</v>
      </c>
      <c r="C134" t="n">
        <v>100</v>
      </c>
      <c r="D134" t="inlineStr">
        <is>
          <t>Crustacea</t>
        </is>
      </c>
      <c r="E134" t="n">
        <v>327.790917</v>
      </c>
      <c r="F134" t="n">
        <v>79.403785</v>
      </c>
      <c r="G134" t="n">
        <v>27.544327</v>
      </c>
      <c r="H134" t="n">
        <v>45.837748</v>
      </c>
      <c r="I134" t="n">
        <v>38.918317</v>
      </c>
      <c r="J134" t="n">
        <v>38.964516</v>
      </c>
      <c r="K134" t="n">
        <v>31.561258</v>
      </c>
      <c r="L134" t="n">
        <v>47.671907</v>
      </c>
      <c r="M134" t="n">
        <v>47.671907</v>
      </c>
      <c r="N134" t="n">
        <v>47.671907</v>
      </c>
      <c r="O134" t="n">
        <v>34.575524</v>
      </c>
      <c r="P134" t="n">
        <v>19.020842</v>
      </c>
      <c r="Q134" t="n">
        <v>47.671907</v>
      </c>
      <c r="R134" t="n">
        <v>47.671907</v>
      </c>
      <c r="S134" t="n">
        <v>34.575524</v>
      </c>
      <c r="T134" t="n">
        <v>34.575524</v>
      </c>
      <c r="U134" t="n">
        <v>19.020842</v>
      </c>
      <c r="V134" t="n">
        <v>19.020842</v>
      </c>
      <c r="W134" t="n">
        <v>34.954015</v>
      </c>
      <c r="X134" t="n">
        <v>47.765312</v>
      </c>
    </row>
    <row r="135">
      <c r="A135" t="inlineStr">
        <is>
          <t>Raja brachyura</t>
        </is>
      </c>
      <c r="B135" t="n">
        <v>3.89</v>
      </c>
      <c r="C135" t="n">
        <v>776.247117</v>
      </c>
      <c r="D135" t="inlineStr">
        <is>
          <t>Sharks &amp; rays</t>
        </is>
      </c>
      <c r="E135" t="n">
        <v>327.790917</v>
      </c>
      <c r="F135" t="n">
        <v>522.28227</v>
      </c>
      <c r="G135" t="n">
        <v>114.842938</v>
      </c>
      <c r="H135" t="n">
        <v>326.928715</v>
      </c>
      <c r="I135" t="n">
        <v>732.255138</v>
      </c>
      <c r="J135" t="n">
        <v>761.48662</v>
      </c>
      <c r="K135" t="n">
        <v>327.439247</v>
      </c>
      <c r="L135" t="n">
        <v>1275.246638</v>
      </c>
      <c r="M135" t="n">
        <v>1275.246638</v>
      </c>
      <c r="N135" t="n">
        <v>1275.246638</v>
      </c>
      <c r="O135" t="n">
        <v>317.659957</v>
      </c>
      <c r="P135" t="n">
        <v>115.247551</v>
      </c>
      <c r="Q135" t="n">
        <v>1275.246638</v>
      </c>
      <c r="R135" t="n">
        <v>1275.246638</v>
      </c>
      <c r="S135" t="n">
        <v>317.659957</v>
      </c>
      <c r="T135" t="n">
        <v>317.659957</v>
      </c>
      <c r="U135" t="n">
        <v>115.247551</v>
      </c>
      <c r="V135" t="n">
        <v>115.247551</v>
      </c>
      <c r="W135" t="n">
        <v>327.701462</v>
      </c>
      <c r="X135" t="n">
        <v>1310.378519</v>
      </c>
    </row>
    <row r="136">
      <c r="A136" t="inlineStr">
        <is>
          <t>Spisula solida</t>
        </is>
      </c>
      <c r="B136" t="n">
        <v>2</v>
      </c>
      <c r="C136" t="n">
        <v>10</v>
      </c>
      <c r="D136" t="inlineStr">
        <is>
          <t>Infauna</t>
        </is>
      </c>
      <c r="E136" t="n">
        <v>327.790917</v>
      </c>
      <c r="F136" t="n">
        <v>10</v>
      </c>
      <c r="G136" t="n">
        <v>5.727631</v>
      </c>
      <c r="H136" t="n">
        <v>5.721903</v>
      </c>
      <c r="I136" t="n">
        <v>4.44</v>
      </c>
      <c r="J136" t="n">
        <v>4.44</v>
      </c>
      <c r="K136" t="n">
        <v>3.996</v>
      </c>
      <c r="L136" t="n">
        <v>3.864936</v>
      </c>
      <c r="M136" t="n">
        <v>3.864936</v>
      </c>
      <c r="N136" t="n">
        <v>3.864936</v>
      </c>
      <c r="O136" t="n">
        <v>4.247203</v>
      </c>
      <c r="P136" t="n">
        <v>3.679841</v>
      </c>
      <c r="Q136" t="n">
        <v>3.864936</v>
      </c>
      <c r="R136" t="n">
        <v>3.864936</v>
      </c>
      <c r="S136" t="n">
        <v>4.247203</v>
      </c>
      <c r="T136" t="n">
        <v>4.247203</v>
      </c>
      <c r="U136" t="n">
        <v>3.679841</v>
      </c>
      <c r="V136" t="n">
        <v>3.679841</v>
      </c>
      <c r="W136" t="n">
        <v>4.187569</v>
      </c>
      <c r="X136" t="n">
        <v>3.928919</v>
      </c>
    </row>
    <row r="137">
      <c r="A137" t="inlineStr">
        <is>
          <t>Aphanopus carbo</t>
        </is>
      </c>
      <c r="B137" t="n">
        <v>4.48</v>
      </c>
      <c r="C137" t="n">
        <v>3019.95172</v>
      </c>
      <c r="D137" t="inlineStr">
        <is>
          <t>Unresolved</t>
        </is>
      </c>
    </row>
    <row r="138">
      <c r="A138" t="inlineStr">
        <is>
          <t>Sebastes</t>
        </is>
      </c>
      <c r="B138" t="n">
        <v>3.79</v>
      </c>
      <c r="C138" t="n">
        <v>616.595002</v>
      </c>
      <c r="D138" t="inlineStr">
        <is>
          <t>Large Dem. fish</t>
        </is>
      </c>
      <c r="E138" t="n">
        <v>327.790917</v>
      </c>
      <c r="F138" t="n">
        <v>665.972772</v>
      </c>
      <c r="G138" t="n">
        <v>138.073221</v>
      </c>
      <c r="H138" t="n">
        <v>328.210407</v>
      </c>
      <c r="I138" t="n">
        <v>321.185641</v>
      </c>
      <c r="J138" t="n">
        <v>337.306601</v>
      </c>
      <c r="K138" t="n">
        <v>317.068205</v>
      </c>
      <c r="L138" t="n">
        <v>461.958282</v>
      </c>
      <c r="M138" t="n">
        <v>461.958282</v>
      </c>
      <c r="N138" t="n">
        <v>461.958282</v>
      </c>
      <c r="O138" t="n">
        <v>304.533157</v>
      </c>
      <c r="P138" t="n">
        <v>108.42706</v>
      </c>
      <c r="Q138" t="n">
        <v>461.958282</v>
      </c>
      <c r="R138" t="n">
        <v>461.958282</v>
      </c>
      <c r="S138" t="n">
        <v>304.533157</v>
      </c>
      <c r="T138" t="n">
        <v>304.533157</v>
      </c>
      <c r="U138" t="n">
        <v>108.42706</v>
      </c>
      <c r="V138" t="n">
        <v>108.42706</v>
      </c>
      <c r="W138" t="n">
        <v>306.991308</v>
      </c>
      <c r="X138" t="n">
        <v>468.161038</v>
      </c>
    </row>
    <row r="139">
      <c r="A139" t="inlineStr">
        <is>
          <t>Trigla</t>
        </is>
      </c>
      <c r="B139" t="n">
        <v>3.51</v>
      </c>
      <c r="C139" t="n">
        <v>323.593657</v>
      </c>
      <c r="D139" t="inlineStr">
        <is>
          <t>Large Dem. fish</t>
        </is>
      </c>
      <c r="E139" t="n">
        <v>327.790917</v>
      </c>
      <c r="F139" t="n">
        <v>665.972772</v>
      </c>
      <c r="G139" t="n">
        <v>138.073221</v>
      </c>
      <c r="H139" t="n">
        <v>328.210407</v>
      </c>
      <c r="I139" t="n">
        <v>321.185641</v>
      </c>
      <c r="J139" t="n">
        <v>337.306601</v>
      </c>
      <c r="K139" t="n">
        <v>317.068205</v>
      </c>
      <c r="L139" t="n">
        <v>461.958282</v>
      </c>
      <c r="M139" t="n">
        <v>461.958282</v>
      </c>
      <c r="N139" t="n">
        <v>461.958282</v>
      </c>
      <c r="O139" t="n">
        <v>304.533157</v>
      </c>
      <c r="P139" t="n">
        <v>108.42706</v>
      </c>
      <c r="Q139" t="n">
        <v>461.958282</v>
      </c>
      <c r="R139" t="n">
        <v>461.958282</v>
      </c>
      <c r="S139" t="n">
        <v>304.533157</v>
      </c>
      <c r="T139" t="n">
        <v>304.533157</v>
      </c>
      <c r="U139" t="n">
        <v>108.42706</v>
      </c>
      <c r="V139" t="n">
        <v>108.42706</v>
      </c>
      <c r="W139" t="n">
        <v>306.991308</v>
      </c>
      <c r="X139" t="n">
        <v>468.161038</v>
      </c>
    </row>
    <row r="140">
      <c r="A140" t="inlineStr">
        <is>
          <t>Sparidae</t>
        </is>
      </c>
      <c r="B140" t="n">
        <v>3.31</v>
      </c>
      <c r="C140" t="n">
        <v>204.173794</v>
      </c>
      <c r="D140" t="inlineStr">
        <is>
          <t>Large Dem. fish</t>
        </is>
      </c>
      <c r="E140" t="n">
        <v>327.790917</v>
      </c>
      <c r="F140" t="n">
        <v>665.972772</v>
      </c>
      <c r="G140" t="n">
        <v>138.073221</v>
      </c>
      <c r="H140" t="n">
        <v>328.210407</v>
      </c>
      <c r="I140" t="n">
        <v>321.185641</v>
      </c>
      <c r="J140" t="n">
        <v>337.306601</v>
      </c>
      <c r="K140" t="n">
        <v>317.068205</v>
      </c>
      <c r="L140" t="n">
        <v>461.958282</v>
      </c>
      <c r="M140" t="n">
        <v>461.958282</v>
      </c>
      <c r="N140" t="n">
        <v>461.958282</v>
      </c>
      <c r="O140" t="n">
        <v>304.533157</v>
      </c>
      <c r="P140" t="n">
        <v>108.42706</v>
      </c>
      <c r="Q140" t="n">
        <v>461.958282</v>
      </c>
      <c r="R140" t="n">
        <v>461.958282</v>
      </c>
      <c r="S140" t="n">
        <v>304.533157</v>
      </c>
      <c r="T140" t="n">
        <v>304.533157</v>
      </c>
      <c r="U140" t="n">
        <v>108.42706</v>
      </c>
      <c r="V140" t="n">
        <v>108.42706</v>
      </c>
      <c r="W140" t="n">
        <v>306.991308</v>
      </c>
      <c r="X140" t="n">
        <v>468.161038</v>
      </c>
    </row>
    <row r="141">
      <c r="A141" t="inlineStr">
        <is>
          <t>Mullus barbatus</t>
        </is>
      </c>
      <c r="B141" t="n">
        <v>3.14</v>
      </c>
      <c r="C141" t="n">
        <v>138.038426</v>
      </c>
      <c r="D141" t="inlineStr">
        <is>
          <t>Large Dem. fish</t>
        </is>
      </c>
      <c r="E141" t="n">
        <v>327.790917</v>
      </c>
      <c r="F141" t="n">
        <v>665.972772</v>
      </c>
      <c r="G141" t="n">
        <v>138.073221</v>
      </c>
      <c r="H141" t="n">
        <v>328.210407</v>
      </c>
      <c r="I141" t="n">
        <v>321.185641</v>
      </c>
      <c r="J141" t="n">
        <v>337.306601</v>
      </c>
      <c r="K141" t="n">
        <v>317.068205</v>
      </c>
      <c r="L141" t="n">
        <v>461.958282</v>
      </c>
      <c r="M141" t="n">
        <v>461.958282</v>
      </c>
      <c r="N141" t="n">
        <v>461.958282</v>
      </c>
      <c r="O141" t="n">
        <v>304.533157</v>
      </c>
      <c r="P141" t="n">
        <v>108.42706</v>
      </c>
      <c r="Q141" t="n">
        <v>461.958282</v>
      </c>
      <c r="R141" t="n">
        <v>461.958282</v>
      </c>
      <c r="S141" t="n">
        <v>304.533157</v>
      </c>
      <c r="T141" t="n">
        <v>304.533157</v>
      </c>
      <c r="U141" t="n">
        <v>108.42706</v>
      </c>
      <c r="V141" t="n">
        <v>108.42706</v>
      </c>
      <c r="W141" t="n">
        <v>306.991308</v>
      </c>
      <c r="X141" t="n">
        <v>468.161038</v>
      </c>
    </row>
    <row r="142">
      <c r="A142" t="inlineStr">
        <is>
          <t>Teuthida</t>
        </is>
      </c>
      <c r="B142" t="n">
        <v>4.13</v>
      </c>
      <c r="C142" t="n">
        <v>1348.962883</v>
      </c>
      <c r="D142" t="inlineStr">
        <is>
          <t>Squid &amp; Octopus</t>
        </is>
      </c>
      <c r="E142" t="n">
        <v>327.790917</v>
      </c>
      <c r="F142" t="n">
        <v>160.967585</v>
      </c>
      <c r="G142" t="n">
        <v>47.060072</v>
      </c>
      <c r="H142" t="n">
        <v>88.258037</v>
      </c>
      <c r="I142" t="n">
        <v>77.00034599999999</v>
      </c>
      <c r="J142" t="n">
        <v>77.34926</v>
      </c>
      <c r="K142" t="n">
        <v>73.481797</v>
      </c>
      <c r="L142" t="n">
        <v>94.097724</v>
      </c>
      <c r="M142" t="n">
        <v>94.097724</v>
      </c>
      <c r="N142" t="n">
        <v>94.097724</v>
      </c>
      <c r="O142" t="n">
        <v>70.413555</v>
      </c>
      <c r="P142" t="n">
        <v>31.50612</v>
      </c>
      <c r="Q142" t="n">
        <v>94.097724</v>
      </c>
      <c r="R142" t="n">
        <v>94.097724</v>
      </c>
      <c r="S142" t="n">
        <v>70.413555</v>
      </c>
      <c r="T142" t="n">
        <v>70.413555</v>
      </c>
      <c r="U142" t="n">
        <v>31.50612</v>
      </c>
      <c r="V142" t="n">
        <v>31.50612</v>
      </c>
      <c r="W142" t="n">
        <v>71.270959</v>
      </c>
      <c r="X142" t="n">
        <v>97.60397</v>
      </c>
    </row>
    <row r="143">
      <c r="A143" t="inlineStr">
        <is>
          <t>Trachurus</t>
        </is>
      </c>
      <c r="B143" t="n">
        <v>3.69</v>
      </c>
      <c r="C143" t="n">
        <v>489.778819</v>
      </c>
      <c r="D143" t="inlineStr">
        <is>
          <t>Large Pelagics</t>
        </is>
      </c>
      <c r="E143" t="n">
        <v>327.790917</v>
      </c>
      <c r="F143" t="n">
        <v>409.325031</v>
      </c>
      <c r="G143" t="n">
        <v>95.473426</v>
      </c>
      <c r="H143" t="n">
        <v>171.971164</v>
      </c>
      <c r="I143" t="n">
        <v>151.710468</v>
      </c>
      <c r="J143" t="n">
        <v>166.941311</v>
      </c>
      <c r="K143" t="n">
        <v>150.24718</v>
      </c>
      <c r="L143" t="n">
        <v>208.675232</v>
      </c>
      <c r="M143" t="n">
        <v>208.675232</v>
      </c>
      <c r="N143" t="n">
        <v>208.675232</v>
      </c>
      <c r="O143" t="n">
        <v>139.225251</v>
      </c>
      <c r="P143" t="n">
        <v>55.587338</v>
      </c>
      <c r="Q143" t="n">
        <v>208.675232</v>
      </c>
      <c r="R143" t="n">
        <v>208.675232</v>
      </c>
      <c r="S143" t="n">
        <v>139.225251</v>
      </c>
      <c r="T143" t="n">
        <v>139.225251</v>
      </c>
      <c r="U143" t="n">
        <v>55.587338</v>
      </c>
      <c r="V143" t="n">
        <v>55.587338</v>
      </c>
      <c r="W143" t="n">
        <v>138.889014</v>
      </c>
      <c r="X143" t="n">
        <v>209.882396</v>
      </c>
    </row>
    <row r="144">
      <c r="A144" t="inlineStr">
        <is>
          <t>Argentina silus</t>
        </is>
      </c>
      <c r="B144" t="n">
        <v>3.32</v>
      </c>
      <c r="C144" t="n">
        <v>208.929613</v>
      </c>
      <c r="D144" t="inlineStr">
        <is>
          <t>Small pelagics</t>
        </is>
      </c>
      <c r="E144" t="n">
        <v>327.790917</v>
      </c>
      <c r="F144" t="n">
        <v>148.024912</v>
      </c>
      <c r="G144" t="n">
        <v>44.163101</v>
      </c>
      <c r="H144" t="n">
        <v>58.893278</v>
      </c>
      <c r="I144" t="n">
        <v>29.57747</v>
      </c>
      <c r="J144" t="n">
        <v>29.708263</v>
      </c>
      <c r="K144" t="n">
        <v>26.143271</v>
      </c>
      <c r="L144" t="n">
        <v>37.444032</v>
      </c>
      <c r="M144" t="n">
        <v>37.444032</v>
      </c>
      <c r="N144" t="n">
        <v>37.444032</v>
      </c>
      <c r="O144" t="n">
        <v>26.825837</v>
      </c>
      <c r="P144" t="n">
        <v>12.629082</v>
      </c>
      <c r="Q144" t="n">
        <v>37.444032</v>
      </c>
      <c r="R144" t="n">
        <v>37.444032</v>
      </c>
      <c r="S144" t="n">
        <v>26.825837</v>
      </c>
      <c r="T144" t="n">
        <v>26.825837</v>
      </c>
      <c r="U144" t="n">
        <v>12.629082</v>
      </c>
      <c r="V144" t="n">
        <v>12.629082</v>
      </c>
      <c r="W144" t="n">
        <v>26.643813</v>
      </c>
      <c r="X144" t="n">
        <v>39.607714</v>
      </c>
    </row>
    <row r="145">
      <c r="A145" t="inlineStr">
        <is>
          <t>Raja montagui</t>
        </is>
      </c>
      <c r="B145" t="n">
        <v>3.88</v>
      </c>
      <c r="C145" t="n">
        <v>758.577575</v>
      </c>
      <c r="D145" t="inlineStr">
        <is>
          <t>Sharks &amp; rays</t>
        </is>
      </c>
      <c r="E145" t="n">
        <v>327.790917</v>
      </c>
      <c r="F145" t="n">
        <v>522.28227</v>
      </c>
      <c r="G145" t="n">
        <v>114.842938</v>
      </c>
      <c r="H145" t="n">
        <v>326.928715</v>
      </c>
      <c r="I145" t="n">
        <v>732.255138</v>
      </c>
      <c r="J145" t="n">
        <v>761.48662</v>
      </c>
      <c r="K145" t="n">
        <v>327.439247</v>
      </c>
      <c r="L145" t="n">
        <v>1275.246638</v>
      </c>
      <c r="M145" t="n">
        <v>1275.246638</v>
      </c>
      <c r="N145" t="n">
        <v>1275.246638</v>
      </c>
      <c r="O145" t="n">
        <v>317.659957</v>
      </c>
      <c r="P145" t="n">
        <v>115.247551</v>
      </c>
      <c r="Q145" t="n">
        <v>1275.246638</v>
      </c>
      <c r="R145" t="n">
        <v>1275.246638</v>
      </c>
      <c r="S145" t="n">
        <v>317.659957</v>
      </c>
      <c r="T145" t="n">
        <v>317.659957</v>
      </c>
      <c r="U145" t="n">
        <v>115.247551</v>
      </c>
      <c r="V145" t="n">
        <v>115.247551</v>
      </c>
      <c r="W145" t="n">
        <v>327.701462</v>
      </c>
      <c r="X145" t="n">
        <v>1310.378519</v>
      </c>
    </row>
    <row r="146">
      <c r="A146" t="inlineStr">
        <is>
          <t>Conger conger</t>
        </is>
      </c>
      <c r="B146" t="n">
        <v>4.31</v>
      </c>
      <c r="C146" t="n">
        <v>2041.737945</v>
      </c>
      <c r="D146" t="inlineStr">
        <is>
          <t>Large Dem. fish</t>
        </is>
      </c>
      <c r="E146" t="n">
        <v>327.790917</v>
      </c>
      <c r="F146" t="n">
        <v>665.972772</v>
      </c>
      <c r="G146" t="n">
        <v>138.073221</v>
      </c>
      <c r="H146" t="n">
        <v>328.210407</v>
      </c>
      <c r="I146" t="n">
        <v>321.185641</v>
      </c>
      <c r="J146" t="n">
        <v>337.306601</v>
      </c>
      <c r="K146" t="n">
        <v>317.068205</v>
      </c>
      <c r="L146" t="n">
        <v>461.958282</v>
      </c>
      <c r="M146" t="n">
        <v>461.958282</v>
      </c>
      <c r="N146" t="n">
        <v>461.958282</v>
      </c>
      <c r="O146" t="n">
        <v>304.533157</v>
      </c>
      <c r="P146" t="n">
        <v>108.42706</v>
      </c>
      <c r="Q146" t="n">
        <v>461.958282</v>
      </c>
      <c r="R146" t="n">
        <v>461.958282</v>
      </c>
      <c r="S146" t="n">
        <v>304.533157</v>
      </c>
      <c r="T146" t="n">
        <v>304.533157</v>
      </c>
      <c r="U146" t="n">
        <v>108.42706</v>
      </c>
      <c r="V146" t="n">
        <v>108.42706</v>
      </c>
      <c r="W146" t="n">
        <v>306.991308</v>
      </c>
      <c r="X146" t="n">
        <v>468.161038</v>
      </c>
    </row>
    <row r="147">
      <c r="A147" t="inlineStr">
        <is>
          <t>Sepia officinalis</t>
        </is>
      </c>
      <c r="B147" t="n">
        <v>4.27</v>
      </c>
      <c r="C147" t="n">
        <v>1862.087137</v>
      </c>
      <c r="D147" t="inlineStr">
        <is>
          <t>Squid &amp; Octopus</t>
        </is>
      </c>
      <c r="E147" t="n">
        <v>327.790917</v>
      </c>
      <c r="F147" t="n">
        <v>160.967585</v>
      </c>
      <c r="G147" t="n">
        <v>47.060072</v>
      </c>
      <c r="H147" t="n">
        <v>88.258037</v>
      </c>
      <c r="I147" t="n">
        <v>77.00034599999999</v>
      </c>
      <c r="J147" t="n">
        <v>77.34926</v>
      </c>
      <c r="K147" t="n">
        <v>73.481797</v>
      </c>
      <c r="L147" t="n">
        <v>94.097724</v>
      </c>
      <c r="M147" t="n">
        <v>94.097724</v>
      </c>
      <c r="N147" t="n">
        <v>94.097724</v>
      </c>
      <c r="O147" t="n">
        <v>70.413555</v>
      </c>
      <c r="P147" t="n">
        <v>31.50612</v>
      </c>
      <c r="Q147" t="n">
        <v>94.097724</v>
      </c>
      <c r="R147" t="n">
        <v>94.097724</v>
      </c>
      <c r="S147" t="n">
        <v>70.413555</v>
      </c>
      <c r="T147" t="n">
        <v>70.413555</v>
      </c>
      <c r="U147" t="n">
        <v>31.50612</v>
      </c>
      <c r="V147" t="n">
        <v>31.50612</v>
      </c>
      <c r="W147" t="n">
        <v>71.270959</v>
      </c>
      <c r="X147" t="n">
        <v>97.60397</v>
      </c>
    </row>
    <row r="148">
      <c r="A148" t="inlineStr">
        <is>
          <t>Balistidae</t>
        </is>
      </c>
      <c r="B148" t="n">
        <v>3.25</v>
      </c>
      <c r="C148" t="n">
        <v>177.827941</v>
      </c>
      <c r="D148" t="inlineStr">
        <is>
          <t>Large Dem. fish</t>
        </is>
      </c>
      <c r="E148" t="n">
        <v>327.790917</v>
      </c>
      <c r="F148" t="n">
        <v>665.972772</v>
      </c>
      <c r="G148" t="n">
        <v>138.073221</v>
      </c>
      <c r="H148" t="n">
        <v>328.210407</v>
      </c>
      <c r="I148" t="n">
        <v>321.185641</v>
      </c>
      <c r="J148" t="n">
        <v>337.306601</v>
      </c>
      <c r="K148" t="n">
        <v>317.068205</v>
      </c>
      <c r="L148" t="n">
        <v>461.958282</v>
      </c>
      <c r="M148" t="n">
        <v>461.958282</v>
      </c>
      <c r="N148" t="n">
        <v>461.958282</v>
      </c>
      <c r="O148" t="n">
        <v>304.533157</v>
      </c>
      <c r="P148" t="n">
        <v>108.42706</v>
      </c>
      <c r="Q148" t="n">
        <v>461.958282</v>
      </c>
      <c r="R148" t="n">
        <v>461.958282</v>
      </c>
      <c r="S148" t="n">
        <v>304.533157</v>
      </c>
      <c r="T148" t="n">
        <v>304.533157</v>
      </c>
      <c r="U148" t="n">
        <v>108.42706</v>
      </c>
      <c r="V148" t="n">
        <v>108.42706</v>
      </c>
      <c r="W148" t="n">
        <v>306.991308</v>
      </c>
      <c r="X148" t="n">
        <v>468.161038</v>
      </c>
    </row>
    <row r="149">
      <c r="A149" t="inlineStr">
        <is>
          <t>Cardiidae</t>
        </is>
      </c>
      <c r="D149" t="inlineStr">
        <is>
          <t>Epifauna</t>
        </is>
      </c>
      <c r="E149" t="n">
        <v>327.790917</v>
      </c>
      <c r="F149" t="n">
        <v>28.994229</v>
      </c>
      <c r="G149" t="n">
        <v>12.834993</v>
      </c>
      <c r="H149" t="n">
        <v>17.954978</v>
      </c>
      <c r="I149" t="n">
        <v>11.374014</v>
      </c>
      <c r="J149" t="n">
        <v>11.374014</v>
      </c>
      <c r="K149" t="n">
        <v>10.009132</v>
      </c>
      <c r="L149" t="n">
        <v>10.950321</v>
      </c>
      <c r="M149" t="n">
        <v>10.950321</v>
      </c>
      <c r="N149" t="n">
        <v>10.950321</v>
      </c>
      <c r="O149" t="n">
        <v>10.041084</v>
      </c>
      <c r="P149" t="n">
        <v>6.846302</v>
      </c>
      <c r="Q149" t="n">
        <v>10.950321</v>
      </c>
      <c r="R149" t="n">
        <v>10.950321</v>
      </c>
      <c r="S149" t="n">
        <v>10.041084</v>
      </c>
      <c r="T149" t="n">
        <v>10.041084</v>
      </c>
      <c r="U149" t="n">
        <v>6.846302</v>
      </c>
      <c r="V149" t="n">
        <v>6.846302</v>
      </c>
      <c r="W149" t="n">
        <v>9.947857000000001</v>
      </c>
      <c r="X149" t="n">
        <v>10.794705</v>
      </c>
    </row>
    <row r="150">
      <c r="A150" t="inlineStr">
        <is>
          <t>Sepiidae</t>
        </is>
      </c>
      <c r="B150" t="n">
        <v>3.6</v>
      </c>
      <c r="C150" t="n">
        <v>398.107171</v>
      </c>
      <c r="D150" t="inlineStr">
        <is>
          <t>Squid &amp; Octopus</t>
        </is>
      </c>
      <c r="E150" t="n">
        <v>327.790917</v>
      </c>
      <c r="F150" t="n">
        <v>160.967585</v>
      </c>
      <c r="G150" t="n">
        <v>47.060072</v>
      </c>
      <c r="H150" t="n">
        <v>88.258037</v>
      </c>
      <c r="I150" t="n">
        <v>77.00034599999999</v>
      </c>
      <c r="J150" t="n">
        <v>77.34926</v>
      </c>
      <c r="K150" t="n">
        <v>73.481797</v>
      </c>
      <c r="L150" t="n">
        <v>94.097724</v>
      </c>
      <c r="M150" t="n">
        <v>94.097724</v>
      </c>
      <c r="N150" t="n">
        <v>94.097724</v>
      </c>
      <c r="O150" t="n">
        <v>70.413555</v>
      </c>
      <c r="P150" t="n">
        <v>31.50612</v>
      </c>
      <c r="Q150" t="n">
        <v>94.097724</v>
      </c>
      <c r="R150" t="n">
        <v>94.097724</v>
      </c>
      <c r="S150" t="n">
        <v>70.413555</v>
      </c>
      <c r="T150" t="n">
        <v>70.413555</v>
      </c>
      <c r="U150" t="n">
        <v>31.50612</v>
      </c>
      <c r="V150" t="n">
        <v>31.50612</v>
      </c>
      <c r="W150" t="n">
        <v>71.270959</v>
      </c>
      <c r="X150" t="n">
        <v>97.60397</v>
      </c>
    </row>
    <row r="151">
      <c r="A151" t="inlineStr">
        <is>
          <t>Palaemon serratus</t>
        </is>
      </c>
      <c r="B151" t="n">
        <v>2.69</v>
      </c>
      <c r="C151" t="n">
        <v>48.977882</v>
      </c>
      <c r="D151" t="inlineStr">
        <is>
          <t>Crustacea</t>
        </is>
      </c>
      <c r="E151" t="n">
        <v>327.790917</v>
      </c>
      <c r="F151" t="n">
        <v>79.403785</v>
      </c>
      <c r="G151" t="n">
        <v>27.544327</v>
      </c>
      <c r="H151" t="n">
        <v>45.837748</v>
      </c>
      <c r="I151" t="n">
        <v>38.918317</v>
      </c>
      <c r="J151" t="n">
        <v>38.964516</v>
      </c>
      <c r="K151" t="n">
        <v>31.561258</v>
      </c>
      <c r="L151" t="n">
        <v>47.671907</v>
      </c>
      <c r="M151" t="n">
        <v>47.671907</v>
      </c>
      <c r="N151" t="n">
        <v>47.671907</v>
      </c>
      <c r="O151" t="n">
        <v>34.575524</v>
      </c>
      <c r="P151" t="n">
        <v>19.020842</v>
      </c>
      <c r="Q151" t="n">
        <v>47.671907</v>
      </c>
      <c r="R151" t="n">
        <v>47.671907</v>
      </c>
      <c r="S151" t="n">
        <v>34.575524</v>
      </c>
      <c r="T151" t="n">
        <v>34.575524</v>
      </c>
      <c r="U151" t="n">
        <v>19.020842</v>
      </c>
      <c r="V151" t="n">
        <v>19.020842</v>
      </c>
      <c r="W151" t="n">
        <v>34.954015</v>
      </c>
      <c r="X151" t="n">
        <v>47.765312</v>
      </c>
    </row>
    <row r="152">
      <c r="A152" t="inlineStr">
        <is>
          <t>Mugilidae</t>
        </is>
      </c>
      <c r="B152" t="n">
        <v>2.53</v>
      </c>
      <c r="C152" t="n">
        <v>33.884416</v>
      </c>
      <c r="D152" t="inlineStr">
        <is>
          <t>Large Dem. fish</t>
        </is>
      </c>
      <c r="E152" t="n">
        <v>327.790917</v>
      </c>
      <c r="F152" t="n">
        <v>665.972772</v>
      </c>
      <c r="G152" t="n">
        <v>138.073221</v>
      </c>
      <c r="H152" t="n">
        <v>328.210407</v>
      </c>
      <c r="I152" t="n">
        <v>321.185641</v>
      </c>
      <c r="J152" t="n">
        <v>337.306601</v>
      </c>
      <c r="K152" t="n">
        <v>317.068205</v>
      </c>
      <c r="L152" t="n">
        <v>461.958282</v>
      </c>
      <c r="M152" t="n">
        <v>461.958282</v>
      </c>
      <c r="N152" t="n">
        <v>461.958282</v>
      </c>
      <c r="O152" t="n">
        <v>304.533157</v>
      </c>
      <c r="P152" t="n">
        <v>108.42706</v>
      </c>
      <c r="Q152" t="n">
        <v>461.958282</v>
      </c>
      <c r="R152" t="n">
        <v>461.958282</v>
      </c>
      <c r="S152" t="n">
        <v>304.533157</v>
      </c>
      <c r="T152" t="n">
        <v>304.533157</v>
      </c>
      <c r="U152" t="n">
        <v>108.42706</v>
      </c>
      <c r="V152" t="n">
        <v>108.42706</v>
      </c>
      <c r="W152" t="n">
        <v>306.991308</v>
      </c>
      <c r="X152" t="n">
        <v>468.161038</v>
      </c>
    </row>
    <row r="153">
      <c r="A153" t="inlineStr">
        <is>
          <t>Mullus surmuletus</t>
        </is>
      </c>
      <c r="B153" t="n">
        <v>3.45</v>
      </c>
      <c r="C153" t="n">
        <v>281.838293</v>
      </c>
      <c r="D153" t="inlineStr">
        <is>
          <t>Large Dem. fish</t>
        </is>
      </c>
      <c r="E153" t="n">
        <v>327.790917</v>
      </c>
      <c r="F153" t="n">
        <v>665.972772</v>
      </c>
      <c r="G153" t="n">
        <v>138.073221</v>
      </c>
      <c r="H153" t="n">
        <v>328.210407</v>
      </c>
      <c r="I153" t="n">
        <v>321.185641</v>
      </c>
      <c r="J153" t="n">
        <v>337.306601</v>
      </c>
      <c r="K153" t="n">
        <v>317.068205</v>
      </c>
      <c r="L153" t="n">
        <v>461.958282</v>
      </c>
      <c r="M153" t="n">
        <v>461.958282</v>
      </c>
      <c r="N153" t="n">
        <v>461.958282</v>
      </c>
      <c r="O153" t="n">
        <v>304.533157</v>
      </c>
      <c r="P153" t="n">
        <v>108.42706</v>
      </c>
      <c r="Q153" t="n">
        <v>461.958282</v>
      </c>
      <c r="R153" t="n">
        <v>461.958282</v>
      </c>
      <c r="S153" t="n">
        <v>304.533157</v>
      </c>
      <c r="T153" t="n">
        <v>304.533157</v>
      </c>
      <c r="U153" t="n">
        <v>108.42706</v>
      </c>
      <c r="V153" t="n">
        <v>108.42706</v>
      </c>
      <c r="W153" t="n">
        <v>306.991308</v>
      </c>
      <c r="X153" t="n">
        <v>468.161038</v>
      </c>
    </row>
    <row r="154">
      <c r="A154" t="inlineStr">
        <is>
          <t>Pandalus</t>
        </is>
      </c>
      <c r="B154" t="n">
        <v>2.6</v>
      </c>
      <c r="C154" t="n">
        <v>39.810717</v>
      </c>
      <c r="D154" t="inlineStr">
        <is>
          <t>Crustacea</t>
        </is>
      </c>
      <c r="E154" t="n">
        <v>327.790917</v>
      </c>
      <c r="F154" t="n">
        <v>79.403785</v>
      </c>
      <c r="G154" t="n">
        <v>27.544327</v>
      </c>
      <c r="H154" t="n">
        <v>45.837748</v>
      </c>
      <c r="I154" t="n">
        <v>38.918317</v>
      </c>
      <c r="J154" t="n">
        <v>38.964516</v>
      </c>
      <c r="K154" t="n">
        <v>31.561258</v>
      </c>
      <c r="L154" t="n">
        <v>47.671907</v>
      </c>
      <c r="M154" t="n">
        <v>47.671907</v>
      </c>
      <c r="N154" t="n">
        <v>47.671907</v>
      </c>
      <c r="O154" t="n">
        <v>34.575524</v>
      </c>
      <c r="P154" t="n">
        <v>19.020842</v>
      </c>
      <c r="Q154" t="n">
        <v>47.671907</v>
      </c>
      <c r="R154" t="n">
        <v>47.671907</v>
      </c>
      <c r="S154" t="n">
        <v>34.575524</v>
      </c>
      <c r="T154" t="n">
        <v>34.575524</v>
      </c>
      <c r="U154" t="n">
        <v>19.020842</v>
      </c>
      <c r="V154" t="n">
        <v>19.020842</v>
      </c>
      <c r="W154" t="n">
        <v>34.954015</v>
      </c>
      <c r="X154" t="n">
        <v>47.765312</v>
      </c>
    </row>
    <row r="155">
      <c r="A155" t="inlineStr">
        <is>
          <t>Gasterosteus aculeatus</t>
        </is>
      </c>
      <c r="B155" t="n">
        <v>3.31</v>
      </c>
      <c r="C155" t="n">
        <v>204.173794</v>
      </c>
      <c r="D155" t="inlineStr">
        <is>
          <t>Large Dem. fish</t>
        </is>
      </c>
      <c r="E155" t="n">
        <v>327.790917</v>
      </c>
      <c r="F155" t="n">
        <v>665.972772</v>
      </c>
      <c r="G155" t="n">
        <v>138.073221</v>
      </c>
      <c r="H155" t="n">
        <v>328.210407</v>
      </c>
      <c r="I155" t="n">
        <v>321.185641</v>
      </c>
      <c r="J155" t="n">
        <v>337.306601</v>
      </c>
      <c r="K155" t="n">
        <v>317.068205</v>
      </c>
      <c r="L155" t="n">
        <v>461.958282</v>
      </c>
      <c r="M155" t="n">
        <v>461.958282</v>
      </c>
      <c r="N155" t="n">
        <v>461.958282</v>
      </c>
      <c r="O155" t="n">
        <v>304.533157</v>
      </c>
      <c r="P155" t="n">
        <v>108.42706</v>
      </c>
      <c r="Q155" t="n">
        <v>461.958282</v>
      </c>
      <c r="R155" t="n">
        <v>461.958282</v>
      </c>
      <c r="S155" t="n">
        <v>304.533157</v>
      </c>
      <c r="T155" t="n">
        <v>304.533157</v>
      </c>
      <c r="U155" t="n">
        <v>108.42706</v>
      </c>
      <c r="V155" t="n">
        <v>108.42706</v>
      </c>
      <c r="W155" t="n">
        <v>306.991308</v>
      </c>
      <c r="X155" t="n">
        <v>468.161038</v>
      </c>
    </row>
    <row r="156">
      <c r="A156" t="inlineStr">
        <is>
          <t>Buccinidae</t>
        </is>
      </c>
      <c r="D156" t="inlineStr">
        <is>
          <t>Epifauna</t>
        </is>
      </c>
      <c r="E156" t="n">
        <v>327.790917</v>
      </c>
      <c r="F156" t="n">
        <v>28.994229</v>
      </c>
      <c r="G156" t="n">
        <v>12.834993</v>
      </c>
      <c r="H156" t="n">
        <v>17.954978</v>
      </c>
      <c r="I156" t="n">
        <v>11.374014</v>
      </c>
      <c r="J156" t="n">
        <v>11.374014</v>
      </c>
      <c r="K156" t="n">
        <v>10.009132</v>
      </c>
      <c r="L156" t="n">
        <v>10.950321</v>
      </c>
      <c r="M156" t="n">
        <v>10.950321</v>
      </c>
      <c r="N156" t="n">
        <v>10.950321</v>
      </c>
      <c r="O156" t="n">
        <v>10.041084</v>
      </c>
      <c r="P156" t="n">
        <v>6.846302</v>
      </c>
      <c r="Q156" t="n">
        <v>10.950321</v>
      </c>
      <c r="R156" t="n">
        <v>10.950321</v>
      </c>
      <c r="S156" t="n">
        <v>10.041084</v>
      </c>
      <c r="T156" t="n">
        <v>10.041084</v>
      </c>
      <c r="U156" t="n">
        <v>6.846302</v>
      </c>
      <c r="V156" t="n">
        <v>6.846302</v>
      </c>
      <c r="W156" t="n">
        <v>9.947857000000001</v>
      </c>
      <c r="X156" t="n">
        <v>10.794705</v>
      </c>
    </row>
    <row r="157">
      <c r="A157" t="inlineStr">
        <is>
          <t>Mullidae</t>
        </is>
      </c>
      <c r="B157" t="n">
        <v>3.46</v>
      </c>
      <c r="C157" t="n">
        <v>288.40315</v>
      </c>
      <c r="D157" t="inlineStr">
        <is>
          <t>Large Dem. fish</t>
        </is>
      </c>
      <c r="E157" t="n">
        <v>327.790917</v>
      </c>
      <c r="F157" t="n">
        <v>665.972772</v>
      </c>
      <c r="G157" t="n">
        <v>138.073221</v>
      </c>
      <c r="H157" t="n">
        <v>328.210407</v>
      </c>
      <c r="I157" t="n">
        <v>321.185641</v>
      </c>
      <c r="J157" t="n">
        <v>337.306601</v>
      </c>
      <c r="K157" t="n">
        <v>317.068205</v>
      </c>
      <c r="L157" t="n">
        <v>461.958282</v>
      </c>
      <c r="M157" t="n">
        <v>461.958282</v>
      </c>
      <c r="N157" t="n">
        <v>461.958282</v>
      </c>
      <c r="O157" t="n">
        <v>304.533157</v>
      </c>
      <c r="P157" t="n">
        <v>108.42706</v>
      </c>
      <c r="Q157" t="n">
        <v>461.958282</v>
      </c>
      <c r="R157" t="n">
        <v>461.958282</v>
      </c>
      <c r="S157" t="n">
        <v>304.533157</v>
      </c>
      <c r="T157" t="n">
        <v>304.533157</v>
      </c>
      <c r="U157" t="n">
        <v>108.42706</v>
      </c>
      <c r="V157" t="n">
        <v>108.42706</v>
      </c>
      <c r="W157" t="n">
        <v>306.991308</v>
      </c>
      <c r="X157" t="n">
        <v>468.161038</v>
      </c>
    </row>
    <row r="158">
      <c r="A158" t="inlineStr">
        <is>
          <t>Littorina littorea</t>
        </is>
      </c>
      <c r="B158" t="n">
        <v>2</v>
      </c>
      <c r="C158" t="n">
        <v>10</v>
      </c>
      <c r="D158" t="inlineStr">
        <is>
          <t>Epifauna</t>
        </is>
      </c>
      <c r="E158" t="n">
        <v>327.790917</v>
      </c>
      <c r="F158" t="n">
        <v>28.994229</v>
      </c>
      <c r="G158" t="n">
        <v>12.834993</v>
      </c>
      <c r="H158" t="n">
        <v>17.954978</v>
      </c>
      <c r="I158" t="n">
        <v>11.374014</v>
      </c>
      <c r="J158" t="n">
        <v>11.374014</v>
      </c>
      <c r="K158" t="n">
        <v>10.009132</v>
      </c>
      <c r="L158" t="n">
        <v>10.950321</v>
      </c>
      <c r="M158" t="n">
        <v>10.950321</v>
      </c>
      <c r="N158" t="n">
        <v>10.950321</v>
      </c>
      <c r="O158" t="n">
        <v>10.041084</v>
      </c>
      <c r="P158" t="n">
        <v>6.846302</v>
      </c>
      <c r="Q158" t="n">
        <v>10.950321</v>
      </c>
      <c r="R158" t="n">
        <v>10.950321</v>
      </c>
      <c r="S158" t="n">
        <v>10.041084</v>
      </c>
      <c r="T158" t="n">
        <v>10.041084</v>
      </c>
      <c r="U158" t="n">
        <v>6.846302</v>
      </c>
      <c r="V158" t="n">
        <v>6.846302</v>
      </c>
      <c r="W158" t="n">
        <v>9.947857000000001</v>
      </c>
      <c r="X158" t="n">
        <v>10.794705</v>
      </c>
    </row>
    <row r="159">
      <c r="A159" t="inlineStr">
        <is>
          <t>Spondyliosoma cantharus</t>
        </is>
      </c>
      <c r="B159" t="n">
        <v>3.34</v>
      </c>
      <c r="C159" t="n">
        <v>218.776162</v>
      </c>
      <c r="D159" t="inlineStr">
        <is>
          <t>Large Dem. fish</t>
        </is>
      </c>
      <c r="E159" t="n">
        <v>327.790917</v>
      </c>
      <c r="F159" t="n">
        <v>665.972772</v>
      </c>
      <c r="G159" t="n">
        <v>138.073221</v>
      </c>
      <c r="H159" t="n">
        <v>328.210407</v>
      </c>
      <c r="I159" t="n">
        <v>321.185641</v>
      </c>
      <c r="J159" t="n">
        <v>337.306601</v>
      </c>
      <c r="K159" t="n">
        <v>317.068205</v>
      </c>
      <c r="L159" t="n">
        <v>461.958282</v>
      </c>
      <c r="M159" t="n">
        <v>461.958282</v>
      </c>
      <c r="N159" t="n">
        <v>461.958282</v>
      </c>
      <c r="O159" t="n">
        <v>304.533157</v>
      </c>
      <c r="P159" t="n">
        <v>108.42706</v>
      </c>
      <c r="Q159" t="n">
        <v>461.958282</v>
      </c>
      <c r="R159" t="n">
        <v>461.958282</v>
      </c>
      <c r="S159" t="n">
        <v>304.533157</v>
      </c>
      <c r="T159" t="n">
        <v>304.533157</v>
      </c>
      <c r="U159" t="n">
        <v>108.42706</v>
      </c>
      <c r="V159" t="n">
        <v>108.42706</v>
      </c>
      <c r="W159" t="n">
        <v>306.991308</v>
      </c>
      <c r="X159" t="n">
        <v>468.161038</v>
      </c>
    </row>
    <row r="160">
      <c r="A160" t="inlineStr">
        <is>
          <t>Chamelea gallina</t>
        </is>
      </c>
      <c r="B160" t="n">
        <v>2.1</v>
      </c>
      <c r="C160" t="n">
        <v>12.589254</v>
      </c>
      <c r="D160" t="inlineStr">
        <is>
          <t>Infauna</t>
        </is>
      </c>
      <c r="E160" t="n">
        <v>327.790917</v>
      </c>
      <c r="F160" t="n">
        <v>10</v>
      </c>
      <c r="G160" t="n">
        <v>5.727631</v>
      </c>
      <c r="H160" t="n">
        <v>5.721903</v>
      </c>
      <c r="I160" t="n">
        <v>4.44</v>
      </c>
      <c r="J160" t="n">
        <v>4.44</v>
      </c>
      <c r="K160" t="n">
        <v>3.996</v>
      </c>
      <c r="L160" t="n">
        <v>3.864936</v>
      </c>
      <c r="M160" t="n">
        <v>3.864936</v>
      </c>
      <c r="N160" t="n">
        <v>3.864936</v>
      </c>
      <c r="O160" t="n">
        <v>4.247203</v>
      </c>
      <c r="P160" t="n">
        <v>3.679841</v>
      </c>
      <c r="Q160" t="n">
        <v>3.864936</v>
      </c>
      <c r="R160" t="n">
        <v>3.864936</v>
      </c>
      <c r="S160" t="n">
        <v>4.247203</v>
      </c>
      <c r="T160" t="n">
        <v>4.247203</v>
      </c>
      <c r="U160" t="n">
        <v>3.679841</v>
      </c>
      <c r="V160" t="n">
        <v>3.679841</v>
      </c>
      <c r="W160" t="n">
        <v>4.187569</v>
      </c>
      <c r="X160" t="n">
        <v>3.928919</v>
      </c>
    </row>
    <row r="161">
      <c r="A161" t="inlineStr">
        <is>
          <t>Loligo</t>
        </is>
      </c>
      <c r="B161" t="n">
        <v>3.99</v>
      </c>
      <c r="C161" t="n">
        <v>977.237221</v>
      </c>
      <c r="D161" t="inlineStr">
        <is>
          <t>Squid &amp; Octopus</t>
        </is>
      </c>
      <c r="E161" t="n">
        <v>327.790917</v>
      </c>
      <c r="F161" t="n">
        <v>160.967585</v>
      </c>
      <c r="G161" t="n">
        <v>47.060072</v>
      </c>
      <c r="H161" t="n">
        <v>88.258037</v>
      </c>
      <c r="I161" t="n">
        <v>77.00034599999999</v>
      </c>
      <c r="J161" t="n">
        <v>77.34926</v>
      </c>
      <c r="K161" t="n">
        <v>73.481797</v>
      </c>
      <c r="L161" t="n">
        <v>94.097724</v>
      </c>
      <c r="M161" t="n">
        <v>94.097724</v>
      </c>
      <c r="N161" t="n">
        <v>94.097724</v>
      </c>
      <c r="O161" t="n">
        <v>70.413555</v>
      </c>
      <c r="P161" t="n">
        <v>31.50612</v>
      </c>
      <c r="Q161" t="n">
        <v>94.097724</v>
      </c>
      <c r="R161" t="n">
        <v>94.097724</v>
      </c>
      <c r="S161" t="n">
        <v>70.413555</v>
      </c>
      <c r="T161" t="n">
        <v>70.413555</v>
      </c>
      <c r="U161" t="n">
        <v>31.50612</v>
      </c>
      <c r="V161" t="n">
        <v>31.50612</v>
      </c>
      <c r="W161" t="n">
        <v>71.270959</v>
      </c>
      <c r="X161" t="n">
        <v>97.60397</v>
      </c>
    </row>
    <row r="162">
      <c r="A162" t="inlineStr">
        <is>
          <t>Rajidae</t>
        </is>
      </c>
      <c r="B162" t="n">
        <v>3.82</v>
      </c>
      <c r="C162" t="n">
        <v>660.693448</v>
      </c>
      <c r="D162" t="inlineStr">
        <is>
          <t>Sharks &amp; rays</t>
        </is>
      </c>
      <c r="E162" t="n">
        <v>327.790917</v>
      </c>
      <c r="F162" t="n">
        <v>522.28227</v>
      </c>
      <c r="G162" t="n">
        <v>114.842938</v>
      </c>
      <c r="H162" t="n">
        <v>326.928715</v>
      </c>
      <c r="I162" t="n">
        <v>732.255138</v>
      </c>
      <c r="J162" t="n">
        <v>761.48662</v>
      </c>
      <c r="K162" t="n">
        <v>327.439247</v>
      </c>
      <c r="L162" t="n">
        <v>1275.246638</v>
      </c>
      <c r="M162" t="n">
        <v>1275.246638</v>
      </c>
      <c r="N162" t="n">
        <v>1275.246638</v>
      </c>
      <c r="O162" t="n">
        <v>317.659957</v>
      </c>
      <c r="P162" t="n">
        <v>115.247551</v>
      </c>
      <c r="Q162" t="n">
        <v>1275.246638</v>
      </c>
      <c r="R162" t="n">
        <v>1275.246638</v>
      </c>
      <c r="S162" t="n">
        <v>317.659957</v>
      </c>
      <c r="T162" t="n">
        <v>317.659957</v>
      </c>
      <c r="U162" t="n">
        <v>115.247551</v>
      </c>
      <c r="V162" t="n">
        <v>115.247551</v>
      </c>
      <c r="W162" t="n">
        <v>327.701462</v>
      </c>
      <c r="X162" t="n">
        <v>1310.378519</v>
      </c>
    </row>
    <row r="163">
      <c r="A163" t="inlineStr">
        <is>
          <t>Mustelus mustelus</t>
        </is>
      </c>
      <c r="B163" t="n">
        <v>3.75</v>
      </c>
      <c r="C163" t="n">
        <v>562.341325</v>
      </c>
      <c r="D163" t="inlineStr">
        <is>
          <t>Sharks &amp; rays</t>
        </is>
      </c>
      <c r="E163" t="n">
        <v>327.790917</v>
      </c>
      <c r="F163" t="n">
        <v>522.28227</v>
      </c>
      <c r="G163" t="n">
        <v>114.842938</v>
      </c>
      <c r="H163" t="n">
        <v>326.928715</v>
      </c>
      <c r="I163" t="n">
        <v>732.255138</v>
      </c>
      <c r="J163" t="n">
        <v>761.48662</v>
      </c>
      <c r="K163" t="n">
        <v>327.439247</v>
      </c>
      <c r="L163" t="n">
        <v>1275.246638</v>
      </c>
      <c r="M163" t="n">
        <v>1275.246638</v>
      </c>
      <c r="N163" t="n">
        <v>1275.246638</v>
      </c>
      <c r="O163" t="n">
        <v>317.659957</v>
      </c>
      <c r="P163" t="n">
        <v>115.247551</v>
      </c>
      <c r="Q163" t="n">
        <v>1275.246638</v>
      </c>
      <c r="R163" t="n">
        <v>1275.246638</v>
      </c>
      <c r="S163" t="n">
        <v>317.659957</v>
      </c>
      <c r="T163" t="n">
        <v>317.659957</v>
      </c>
      <c r="U163" t="n">
        <v>115.247551</v>
      </c>
      <c r="V163" t="n">
        <v>115.247551</v>
      </c>
      <c r="W163" t="n">
        <v>327.701462</v>
      </c>
      <c r="X163" t="n">
        <v>1310.378519</v>
      </c>
    </row>
    <row r="164">
      <c r="A164" t="inlineStr">
        <is>
          <t>Raja microocellata</t>
        </is>
      </c>
      <c r="B164" t="n">
        <v>3.94</v>
      </c>
      <c r="C164" t="n">
        <v>870.96359</v>
      </c>
      <c r="D164" t="inlineStr">
        <is>
          <t>Sharks &amp; rays</t>
        </is>
      </c>
      <c r="E164" t="n">
        <v>327.790917</v>
      </c>
      <c r="F164" t="n">
        <v>522.28227</v>
      </c>
      <c r="G164" t="n">
        <v>114.842938</v>
      </c>
      <c r="H164" t="n">
        <v>326.928715</v>
      </c>
      <c r="I164" t="n">
        <v>732.255138</v>
      </c>
      <c r="J164" t="n">
        <v>761.48662</v>
      </c>
      <c r="K164" t="n">
        <v>327.439247</v>
      </c>
      <c r="L164" t="n">
        <v>1275.246638</v>
      </c>
      <c r="M164" t="n">
        <v>1275.246638</v>
      </c>
      <c r="N164" t="n">
        <v>1275.246638</v>
      </c>
      <c r="O164" t="n">
        <v>317.659957</v>
      </c>
      <c r="P164" t="n">
        <v>115.247551</v>
      </c>
      <c r="Q164" t="n">
        <v>1275.246638</v>
      </c>
      <c r="R164" t="n">
        <v>1275.246638</v>
      </c>
      <c r="S164" t="n">
        <v>317.659957</v>
      </c>
      <c r="T164" t="n">
        <v>317.659957</v>
      </c>
      <c r="U164" t="n">
        <v>115.247551</v>
      </c>
      <c r="V164" t="n">
        <v>115.247551</v>
      </c>
      <c r="W164" t="n">
        <v>327.701462</v>
      </c>
      <c r="X164" t="n">
        <v>1310.378519</v>
      </c>
    </row>
    <row r="165">
      <c r="A165" t="inlineStr">
        <is>
          <t>Clupeiformes</t>
        </is>
      </c>
      <c r="B165" t="n">
        <v>3.24</v>
      </c>
      <c r="C165" t="n">
        <v>173.780083</v>
      </c>
      <c r="D165" t="inlineStr">
        <is>
          <t>Herring | Small pelagics</t>
        </is>
      </c>
      <c r="E165" t="n">
        <v>327.790917</v>
      </c>
      <c r="F165" t="n">
        <v>186.736249</v>
      </c>
      <c r="G165" t="n">
        <v>52.535339</v>
      </c>
      <c r="H165" t="n">
        <v>74.14608800000001</v>
      </c>
      <c r="I165" t="n">
        <v>36.101934</v>
      </c>
      <c r="J165" t="n">
        <v>36.167334</v>
      </c>
      <c r="K165" t="n">
        <v>32.326352</v>
      </c>
      <c r="L165" t="n">
        <v>46.762497</v>
      </c>
      <c r="M165" t="n">
        <v>46.762497</v>
      </c>
      <c r="N165" t="n">
        <v>46.762497</v>
      </c>
      <c r="O165" t="n">
        <v>33.099579</v>
      </c>
      <c r="P165" t="n">
        <v>14.938245</v>
      </c>
      <c r="Q165" t="n">
        <v>46.762497</v>
      </c>
      <c r="R165" t="n">
        <v>46.762497</v>
      </c>
      <c r="S165" t="n">
        <v>33.099579</v>
      </c>
      <c r="T165" t="n">
        <v>33.099579</v>
      </c>
      <c r="U165" t="n">
        <v>14.938245</v>
      </c>
      <c r="V165" t="n">
        <v>14.938245</v>
      </c>
      <c r="W165" t="n">
        <v>33.746209</v>
      </c>
      <c r="X165" t="n">
        <v>49.739782</v>
      </c>
    </row>
    <row r="166">
      <c r="A166" t="inlineStr">
        <is>
          <t>Capros aper</t>
        </is>
      </c>
      <c r="B166" t="n">
        <v>3.14</v>
      </c>
      <c r="C166" t="n">
        <v>138.038426</v>
      </c>
      <c r="D166" t="inlineStr">
        <is>
          <t>Large Dem. fish</t>
        </is>
      </c>
      <c r="E166" t="n">
        <v>327.790917</v>
      </c>
      <c r="F166" t="n">
        <v>665.972772</v>
      </c>
      <c r="G166" t="n">
        <v>138.073221</v>
      </c>
      <c r="H166" t="n">
        <v>328.210407</v>
      </c>
      <c r="I166" t="n">
        <v>321.185641</v>
      </c>
      <c r="J166" t="n">
        <v>337.306601</v>
      </c>
      <c r="K166" t="n">
        <v>317.068205</v>
      </c>
      <c r="L166" t="n">
        <v>461.958282</v>
      </c>
      <c r="M166" t="n">
        <v>461.958282</v>
      </c>
      <c r="N166" t="n">
        <v>461.958282</v>
      </c>
      <c r="O166" t="n">
        <v>304.533157</v>
      </c>
      <c r="P166" t="n">
        <v>108.42706</v>
      </c>
      <c r="Q166" t="n">
        <v>461.958282</v>
      </c>
      <c r="R166" t="n">
        <v>461.958282</v>
      </c>
      <c r="S166" t="n">
        <v>304.533157</v>
      </c>
      <c r="T166" t="n">
        <v>304.533157</v>
      </c>
      <c r="U166" t="n">
        <v>108.42706</v>
      </c>
      <c r="V166" t="n">
        <v>108.42706</v>
      </c>
      <c r="W166" t="n">
        <v>306.991308</v>
      </c>
      <c r="X166" t="n">
        <v>468.161038</v>
      </c>
    </row>
    <row r="167">
      <c r="A167" t="inlineStr">
        <is>
          <t>Argentina sphyraena</t>
        </is>
      </c>
      <c r="B167" t="n">
        <v>3.62</v>
      </c>
      <c r="C167" t="n">
        <v>416.869383</v>
      </c>
      <c r="D167" t="inlineStr">
        <is>
          <t>Small pelagics</t>
        </is>
      </c>
      <c r="E167" t="n">
        <v>327.790917</v>
      </c>
      <c r="F167" t="n">
        <v>148.024912</v>
      </c>
      <c r="G167" t="n">
        <v>44.163101</v>
      </c>
      <c r="H167" t="n">
        <v>58.893278</v>
      </c>
      <c r="I167" t="n">
        <v>29.57747</v>
      </c>
      <c r="J167" t="n">
        <v>29.708263</v>
      </c>
      <c r="K167" t="n">
        <v>26.143271</v>
      </c>
      <c r="L167" t="n">
        <v>37.444032</v>
      </c>
      <c r="M167" t="n">
        <v>37.444032</v>
      </c>
      <c r="N167" t="n">
        <v>37.444032</v>
      </c>
      <c r="O167" t="n">
        <v>26.825837</v>
      </c>
      <c r="P167" t="n">
        <v>12.629082</v>
      </c>
      <c r="Q167" t="n">
        <v>37.444032</v>
      </c>
      <c r="R167" t="n">
        <v>37.444032</v>
      </c>
      <c r="S167" t="n">
        <v>26.825837</v>
      </c>
      <c r="T167" t="n">
        <v>26.825837</v>
      </c>
      <c r="U167" t="n">
        <v>12.629082</v>
      </c>
      <c r="V167" t="n">
        <v>12.629082</v>
      </c>
      <c r="W167" t="n">
        <v>26.643813</v>
      </c>
      <c r="X167" t="n">
        <v>39.607714</v>
      </c>
    </row>
    <row r="168">
      <c r="A168" t="inlineStr">
        <is>
          <t>Coregonus</t>
        </is>
      </c>
      <c r="B168" t="n">
        <v>3.3</v>
      </c>
      <c r="C168" t="n">
        <v>199.526231</v>
      </c>
      <c r="D168" t="inlineStr">
        <is>
          <t>Unresolved</t>
        </is>
      </c>
    </row>
    <row r="169">
      <c r="A169" t="inlineStr">
        <is>
          <t>Brama brama</t>
        </is>
      </c>
      <c r="B169" t="n">
        <v>4.08</v>
      </c>
      <c r="C169" t="n">
        <v>1202.264435</v>
      </c>
      <c r="D169" t="inlineStr">
        <is>
          <t>Unresolved</t>
        </is>
      </c>
    </row>
    <row r="170">
      <c r="A170" t="inlineStr">
        <is>
          <t>Leucoraja fullonica</t>
        </is>
      </c>
      <c r="B170" t="n">
        <v>3.5</v>
      </c>
      <c r="C170" t="n">
        <v>316.227766</v>
      </c>
      <c r="D170" t="inlineStr">
        <is>
          <t>Sharks &amp; rays</t>
        </is>
      </c>
      <c r="E170" t="n">
        <v>327.790917</v>
      </c>
      <c r="F170" t="n">
        <v>522.28227</v>
      </c>
      <c r="G170" t="n">
        <v>114.842938</v>
      </c>
      <c r="H170" t="n">
        <v>326.928715</v>
      </c>
      <c r="I170" t="n">
        <v>732.255138</v>
      </c>
      <c r="J170" t="n">
        <v>761.48662</v>
      </c>
      <c r="K170" t="n">
        <v>327.439247</v>
      </c>
      <c r="L170" t="n">
        <v>1275.246638</v>
      </c>
      <c r="M170" t="n">
        <v>1275.246638</v>
      </c>
      <c r="N170" t="n">
        <v>1275.246638</v>
      </c>
      <c r="O170" t="n">
        <v>317.659957</v>
      </c>
      <c r="P170" t="n">
        <v>115.247551</v>
      </c>
      <c r="Q170" t="n">
        <v>1275.246638</v>
      </c>
      <c r="R170" t="n">
        <v>1275.246638</v>
      </c>
      <c r="S170" t="n">
        <v>317.659957</v>
      </c>
      <c r="T170" t="n">
        <v>317.659957</v>
      </c>
      <c r="U170" t="n">
        <v>115.247551</v>
      </c>
      <c r="V170" t="n">
        <v>115.247551</v>
      </c>
      <c r="W170" t="n">
        <v>327.701462</v>
      </c>
      <c r="X170" t="n">
        <v>1310.378519</v>
      </c>
    </row>
    <row r="171">
      <c r="A171" t="inlineStr">
        <is>
          <t>Magallana gigas</t>
        </is>
      </c>
      <c r="B171" t="n">
        <v>2</v>
      </c>
      <c r="C171" t="n">
        <v>10</v>
      </c>
      <c r="D171" t="inlineStr">
        <is>
          <t>Epifauna</t>
        </is>
      </c>
      <c r="E171" t="n">
        <v>327.790917</v>
      </c>
      <c r="F171" t="n">
        <v>28.994229</v>
      </c>
      <c r="G171" t="n">
        <v>12.834993</v>
      </c>
      <c r="H171" t="n">
        <v>17.954978</v>
      </c>
      <c r="I171" t="n">
        <v>11.374014</v>
      </c>
      <c r="J171" t="n">
        <v>11.374014</v>
      </c>
      <c r="K171" t="n">
        <v>10.009132</v>
      </c>
      <c r="L171" t="n">
        <v>10.950321</v>
      </c>
      <c r="M171" t="n">
        <v>10.950321</v>
      </c>
      <c r="N171" t="n">
        <v>10.950321</v>
      </c>
      <c r="O171" t="n">
        <v>10.041084</v>
      </c>
      <c r="P171" t="n">
        <v>6.846302</v>
      </c>
      <c r="Q171" t="n">
        <v>10.950321</v>
      </c>
      <c r="R171" t="n">
        <v>10.950321</v>
      </c>
      <c r="S171" t="n">
        <v>10.041084</v>
      </c>
      <c r="T171" t="n">
        <v>10.041084</v>
      </c>
      <c r="U171" t="n">
        <v>6.846302</v>
      </c>
      <c r="V171" t="n">
        <v>6.846302</v>
      </c>
      <c r="W171" t="n">
        <v>9.947857000000001</v>
      </c>
      <c r="X171" t="n">
        <v>10.794705</v>
      </c>
    </row>
    <row r="172">
      <c r="A172" t="inlineStr">
        <is>
          <t>Perca fluviatilis</t>
        </is>
      </c>
      <c r="B172" t="n">
        <v>4.35</v>
      </c>
      <c r="C172" t="n">
        <v>2238.721139</v>
      </c>
      <c r="D172" t="inlineStr">
        <is>
          <t>Unresolved</t>
        </is>
      </c>
    </row>
    <row r="173">
      <c r="A173" t="inlineStr">
        <is>
          <t>Esox lucius</t>
        </is>
      </c>
      <c r="B173" t="n">
        <v>4.07</v>
      </c>
      <c r="C173" t="n">
        <v>1174.897555</v>
      </c>
      <c r="D173" t="inlineStr">
        <is>
          <t>Unresolved</t>
        </is>
      </c>
    </row>
    <row r="174">
      <c r="A174" t="inlineStr">
        <is>
          <t>Scyliorhinus</t>
        </is>
      </c>
      <c r="B174" t="n">
        <v>3.86</v>
      </c>
      <c r="C174" t="n">
        <v>724.43596</v>
      </c>
      <c r="D174" t="inlineStr">
        <is>
          <t>Sharks &amp; rays</t>
        </is>
      </c>
      <c r="E174" t="n">
        <v>327.790917</v>
      </c>
      <c r="F174" t="n">
        <v>522.28227</v>
      </c>
      <c r="G174" t="n">
        <v>114.842938</v>
      </c>
      <c r="H174" t="n">
        <v>326.928715</v>
      </c>
      <c r="I174" t="n">
        <v>732.255138</v>
      </c>
      <c r="J174" t="n">
        <v>761.48662</v>
      </c>
      <c r="K174" t="n">
        <v>327.439247</v>
      </c>
      <c r="L174" t="n">
        <v>1275.246638</v>
      </c>
      <c r="M174" t="n">
        <v>1275.246638</v>
      </c>
      <c r="N174" t="n">
        <v>1275.246638</v>
      </c>
      <c r="O174" t="n">
        <v>317.659957</v>
      </c>
      <c r="P174" t="n">
        <v>115.247551</v>
      </c>
      <c r="Q174" t="n">
        <v>1275.246638</v>
      </c>
      <c r="R174" t="n">
        <v>1275.246638</v>
      </c>
      <c r="S174" t="n">
        <v>317.659957</v>
      </c>
      <c r="T174" t="n">
        <v>317.659957</v>
      </c>
      <c r="U174" t="n">
        <v>115.247551</v>
      </c>
      <c r="V174" t="n">
        <v>115.247551</v>
      </c>
      <c r="W174" t="n">
        <v>327.701462</v>
      </c>
      <c r="X174" t="n">
        <v>1310.378519</v>
      </c>
    </row>
    <row r="175">
      <c r="A175" t="inlineStr">
        <is>
          <t>Sepiida</t>
        </is>
      </c>
      <c r="B175" t="n">
        <v>3.7</v>
      </c>
      <c r="C175" t="n">
        <v>501.187234</v>
      </c>
      <c r="D175" t="inlineStr">
        <is>
          <t>Squid &amp; Octopus</t>
        </is>
      </c>
      <c r="E175" t="n">
        <v>327.790917</v>
      </c>
      <c r="F175" t="n">
        <v>160.967585</v>
      </c>
      <c r="G175" t="n">
        <v>47.060072</v>
      </c>
      <c r="H175" t="n">
        <v>88.258037</v>
      </c>
      <c r="I175" t="n">
        <v>77.00034599999999</v>
      </c>
      <c r="J175" t="n">
        <v>77.34926</v>
      </c>
      <c r="K175" t="n">
        <v>73.481797</v>
      </c>
      <c r="L175" t="n">
        <v>94.097724</v>
      </c>
      <c r="M175" t="n">
        <v>94.097724</v>
      </c>
      <c r="N175" t="n">
        <v>94.097724</v>
      </c>
      <c r="O175" t="n">
        <v>70.413555</v>
      </c>
      <c r="P175" t="n">
        <v>31.50612</v>
      </c>
      <c r="Q175" t="n">
        <v>94.097724</v>
      </c>
      <c r="R175" t="n">
        <v>94.097724</v>
      </c>
      <c r="S175" t="n">
        <v>70.413555</v>
      </c>
      <c r="T175" t="n">
        <v>70.413555</v>
      </c>
      <c r="U175" t="n">
        <v>31.50612</v>
      </c>
      <c r="V175" t="n">
        <v>31.50612</v>
      </c>
      <c r="W175" t="n">
        <v>71.270959</v>
      </c>
      <c r="X175" t="n">
        <v>97.60397</v>
      </c>
    </row>
    <row r="176">
      <c r="A176" t="inlineStr">
        <is>
          <t>Bothidae</t>
        </is>
      </c>
      <c r="D176" t="inlineStr">
        <is>
          <t>Flatfishes</t>
        </is>
      </c>
      <c r="E176" t="n">
        <v>327.790917</v>
      </c>
      <c r="F176" t="n">
        <v>222.264878</v>
      </c>
      <c r="G176" t="n">
        <v>60.099306</v>
      </c>
      <c r="H176" t="n">
        <v>123.58001</v>
      </c>
      <c r="I176" t="n">
        <v>98.981683</v>
      </c>
      <c r="J176" t="n">
        <v>101.310188</v>
      </c>
      <c r="K176" t="n">
        <v>92.19227100000001</v>
      </c>
      <c r="L176" t="n">
        <v>114.167454</v>
      </c>
      <c r="M176" t="n">
        <v>114.167454</v>
      </c>
      <c r="N176" t="n">
        <v>114.167454</v>
      </c>
      <c r="O176" t="n">
        <v>82.349557</v>
      </c>
      <c r="P176" t="n">
        <v>38.756383</v>
      </c>
      <c r="Q176" t="n">
        <v>114.167454</v>
      </c>
      <c r="R176" t="n">
        <v>114.167454</v>
      </c>
      <c r="S176" t="n">
        <v>82.349557</v>
      </c>
      <c r="T176" t="n">
        <v>82.349557</v>
      </c>
      <c r="U176" t="n">
        <v>38.756383</v>
      </c>
      <c r="V176" t="n">
        <v>38.756383</v>
      </c>
      <c r="W176" t="n">
        <v>82.655303</v>
      </c>
      <c r="X176" t="n">
        <v>113.898256</v>
      </c>
    </row>
    <row r="177">
      <c r="A177" t="inlineStr">
        <is>
          <t>Dicentrarchus</t>
        </is>
      </c>
      <c r="B177" t="n">
        <v>3.94</v>
      </c>
      <c r="C177" t="n">
        <v>870.96359</v>
      </c>
      <c r="D177" t="inlineStr">
        <is>
          <t>Large Dem. fish</t>
        </is>
      </c>
      <c r="E177" t="n">
        <v>327.790917</v>
      </c>
      <c r="F177" t="n">
        <v>665.972772</v>
      </c>
      <c r="G177" t="n">
        <v>138.073221</v>
      </c>
      <c r="H177" t="n">
        <v>328.210407</v>
      </c>
      <c r="I177" t="n">
        <v>321.185641</v>
      </c>
      <c r="J177" t="n">
        <v>337.306601</v>
      </c>
      <c r="K177" t="n">
        <v>317.068205</v>
      </c>
      <c r="L177" t="n">
        <v>461.958282</v>
      </c>
      <c r="M177" t="n">
        <v>461.958282</v>
      </c>
      <c r="N177" t="n">
        <v>461.958282</v>
      </c>
      <c r="O177" t="n">
        <v>304.533157</v>
      </c>
      <c r="P177" t="n">
        <v>108.42706</v>
      </c>
      <c r="Q177" t="n">
        <v>461.958282</v>
      </c>
      <c r="R177" t="n">
        <v>461.958282</v>
      </c>
      <c r="S177" t="n">
        <v>304.533157</v>
      </c>
      <c r="T177" t="n">
        <v>304.533157</v>
      </c>
      <c r="U177" t="n">
        <v>108.42706</v>
      </c>
      <c r="V177" t="n">
        <v>108.42706</v>
      </c>
      <c r="W177" t="n">
        <v>306.991308</v>
      </c>
      <c r="X177" t="n">
        <v>468.161038</v>
      </c>
    </row>
    <row r="178">
      <c r="A178" t="inlineStr">
        <is>
          <t>Phycis blennoides</t>
        </is>
      </c>
      <c r="B178" t="n">
        <v>3.87</v>
      </c>
      <c r="C178" t="n">
        <v>741.310241</v>
      </c>
      <c r="D178" t="inlineStr">
        <is>
          <t>Large Dem. fish</t>
        </is>
      </c>
      <c r="E178" t="n">
        <v>327.790917</v>
      </c>
      <c r="F178" t="n">
        <v>665.972772</v>
      </c>
      <c r="G178" t="n">
        <v>138.073221</v>
      </c>
      <c r="H178" t="n">
        <v>328.210407</v>
      </c>
      <c r="I178" t="n">
        <v>321.185641</v>
      </c>
      <c r="J178" t="n">
        <v>337.306601</v>
      </c>
      <c r="K178" t="n">
        <v>317.068205</v>
      </c>
      <c r="L178" t="n">
        <v>461.958282</v>
      </c>
      <c r="M178" t="n">
        <v>461.958282</v>
      </c>
      <c r="N178" t="n">
        <v>461.958282</v>
      </c>
      <c r="O178" t="n">
        <v>304.533157</v>
      </c>
      <c r="P178" t="n">
        <v>108.42706</v>
      </c>
      <c r="Q178" t="n">
        <v>461.958282</v>
      </c>
      <c r="R178" t="n">
        <v>461.958282</v>
      </c>
      <c r="S178" t="n">
        <v>304.533157</v>
      </c>
      <c r="T178" t="n">
        <v>304.533157</v>
      </c>
      <c r="U178" t="n">
        <v>108.42706</v>
      </c>
      <c r="V178" t="n">
        <v>108.42706</v>
      </c>
      <c r="W178" t="n">
        <v>306.991308</v>
      </c>
      <c r="X178" t="n">
        <v>468.161038</v>
      </c>
    </row>
    <row r="179">
      <c r="A179" t="inlineStr">
        <is>
          <t>Dipturus batis</t>
        </is>
      </c>
      <c r="B179" t="n">
        <v>3.52</v>
      </c>
      <c r="C179" t="n">
        <v>331.131121</v>
      </c>
      <c r="D179" t="inlineStr">
        <is>
          <t>Sharks &amp; rays</t>
        </is>
      </c>
      <c r="E179" t="n">
        <v>327.790917</v>
      </c>
      <c r="F179" t="n">
        <v>522.28227</v>
      </c>
      <c r="G179" t="n">
        <v>114.842938</v>
      </c>
      <c r="H179" t="n">
        <v>326.928715</v>
      </c>
      <c r="I179" t="n">
        <v>732.255138</v>
      </c>
      <c r="J179" t="n">
        <v>761.48662</v>
      </c>
      <c r="K179" t="n">
        <v>327.439247</v>
      </c>
      <c r="L179" t="n">
        <v>1275.246638</v>
      </c>
      <c r="M179" t="n">
        <v>1275.246638</v>
      </c>
      <c r="N179" t="n">
        <v>1275.246638</v>
      </c>
      <c r="O179" t="n">
        <v>317.659957</v>
      </c>
      <c r="P179" t="n">
        <v>115.247551</v>
      </c>
      <c r="Q179" t="n">
        <v>1275.246638</v>
      </c>
      <c r="R179" t="n">
        <v>1275.246638</v>
      </c>
      <c r="S179" t="n">
        <v>317.659957</v>
      </c>
      <c r="T179" t="n">
        <v>317.659957</v>
      </c>
      <c r="U179" t="n">
        <v>115.247551</v>
      </c>
      <c r="V179" t="n">
        <v>115.247551</v>
      </c>
      <c r="W179" t="n">
        <v>327.701462</v>
      </c>
      <c r="X179" t="n">
        <v>1310.378519</v>
      </c>
    </row>
    <row r="180">
      <c r="A180" t="inlineStr">
        <is>
          <t>Moronidae</t>
        </is>
      </c>
      <c r="B180" t="n">
        <v>3.87</v>
      </c>
      <c r="C180" t="n">
        <v>741.310241</v>
      </c>
      <c r="D180" t="inlineStr">
        <is>
          <t>Large Dem. fish</t>
        </is>
      </c>
      <c r="E180" t="n">
        <v>327.790917</v>
      </c>
      <c r="F180" t="n">
        <v>665.972772</v>
      </c>
      <c r="G180" t="n">
        <v>138.073221</v>
      </c>
      <c r="H180" t="n">
        <v>328.210407</v>
      </c>
      <c r="I180" t="n">
        <v>321.185641</v>
      </c>
      <c r="J180" t="n">
        <v>337.306601</v>
      </c>
      <c r="K180" t="n">
        <v>317.068205</v>
      </c>
      <c r="L180" t="n">
        <v>461.958282</v>
      </c>
      <c r="M180" t="n">
        <v>461.958282</v>
      </c>
      <c r="N180" t="n">
        <v>461.958282</v>
      </c>
      <c r="O180" t="n">
        <v>304.533157</v>
      </c>
      <c r="P180" t="n">
        <v>108.42706</v>
      </c>
      <c r="Q180" t="n">
        <v>461.958282</v>
      </c>
      <c r="R180" t="n">
        <v>461.958282</v>
      </c>
      <c r="S180" t="n">
        <v>304.533157</v>
      </c>
      <c r="T180" t="n">
        <v>304.533157</v>
      </c>
      <c r="U180" t="n">
        <v>108.42706</v>
      </c>
      <c r="V180" t="n">
        <v>108.42706</v>
      </c>
      <c r="W180" t="n">
        <v>306.991308</v>
      </c>
      <c r="X180" t="n">
        <v>468.161038</v>
      </c>
    </row>
    <row r="181">
      <c r="A181" t="inlineStr">
        <is>
          <t>Pandalus montagui</t>
        </is>
      </c>
      <c r="B181" t="n">
        <v>2.3</v>
      </c>
      <c r="C181" t="n">
        <v>19.952623</v>
      </c>
      <c r="D181" t="inlineStr">
        <is>
          <t>Crustacea</t>
        </is>
      </c>
      <c r="E181" t="n">
        <v>327.790917</v>
      </c>
      <c r="F181" t="n">
        <v>79.403785</v>
      </c>
      <c r="G181" t="n">
        <v>27.544327</v>
      </c>
      <c r="H181" t="n">
        <v>45.837748</v>
      </c>
      <c r="I181" t="n">
        <v>38.918317</v>
      </c>
      <c r="J181" t="n">
        <v>38.964516</v>
      </c>
      <c r="K181" t="n">
        <v>31.561258</v>
      </c>
      <c r="L181" t="n">
        <v>47.671907</v>
      </c>
      <c r="M181" t="n">
        <v>47.671907</v>
      </c>
      <c r="N181" t="n">
        <v>47.671907</v>
      </c>
      <c r="O181" t="n">
        <v>34.575524</v>
      </c>
      <c r="P181" t="n">
        <v>19.020842</v>
      </c>
      <c r="Q181" t="n">
        <v>47.671907</v>
      </c>
      <c r="R181" t="n">
        <v>47.671907</v>
      </c>
      <c r="S181" t="n">
        <v>34.575524</v>
      </c>
      <c r="T181" t="n">
        <v>34.575524</v>
      </c>
      <c r="U181" t="n">
        <v>19.020842</v>
      </c>
      <c r="V181" t="n">
        <v>19.020842</v>
      </c>
      <c r="W181" t="n">
        <v>34.954015</v>
      </c>
      <c r="X181" t="n">
        <v>47.765312</v>
      </c>
    </row>
    <row r="182">
      <c r="A182" t="inlineStr">
        <is>
          <t>Zeus faber</t>
        </is>
      </c>
      <c r="B182" t="n">
        <v>4.5</v>
      </c>
      <c r="C182" t="n">
        <v>3162.27766</v>
      </c>
      <c r="D182" t="inlineStr">
        <is>
          <t>Large Dem. fish</t>
        </is>
      </c>
      <c r="E182" t="n">
        <v>327.790917</v>
      </c>
      <c r="F182" t="n">
        <v>665.972772</v>
      </c>
      <c r="G182" t="n">
        <v>138.073221</v>
      </c>
      <c r="H182" t="n">
        <v>328.210407</v>
      </c>
      <c r="I182" t="n">
        <v>321.185641</v>
      </c>
      <c r="J182" t="n">
        <v>337.306601</v>
      </c>
      <c r="K182" t="n">
        <v>317.068205</v>
      </c>
      <c r="L182" t="n">
        <v>461.958282</v>
      </c>
      <c r="M182" t="n">
        <v>461.958282</v>
      </c>
      <c r="N182" t="n">
        <v>461.958282</v>
      </c>
      <c r="O182" t="n">
        <v>304.533157</v>
      </c>
      <c r="P182" t="n">
        <v>108.42706</v>
      </c>
      <c r="Q182" t="n">
        <v>461.958282</v>
      </c>
      <c r="R182" t="n">
        <v>461.958282</v>
      </c>
      <c r="S182" t="n">
        <v>304.533157</v>
      </c>
      <c r="T182" t="n">
        <v>304.533157</v>
      </c>
      <c r="U182" t="n">
        <v>108.42706</v>
      </c>
      <c r="V182" t="n">
        <v>108.42706</v>
      </c>
      <c r="W182" t="n">
        <v>306.991308</v>
      </c>
      <c r="X182" t="n">
        <v>468.161038</v>
      </c>
    </row>
    <row r="183">
      <c r="A183" t="inlineStr">
        <is>
          <t>Lumpenus lampretaeformis</t>
        </is>
      </c>
      <c r="D183" t="inlineStr">
        <is>
          <t>Large Dem. fish</t>
        </is>
      </c>
      <c r="E183" t="n">
        <v>327.790917</v>
      </c>
      <c r="F183" t="n">
        <v>665.972772</v>
      </c>
      <c r="G183" t="n">
        <v>138.073221</v>
      </c>
      <c r="H183" t="n">
        <v>328.210407</v>
      </c>
      <c r="I183" t="n">
        <v>321.185641</v>
      </c>
      <c r="J183" t="n">
        <v>337.306601</v>
      </c>
      <c r="K183" t="n">
        <v>317.068205</v>
      </c>
      <c r="L183" t="n">
        <v>461.958282</v>
      </c>
      <c r="M183" t="n">
        <v>461.958282</v>
      </c>
      <c r="N183" t="n">
        <v>461.958282</v>
      </c>
      <c r="O183" t="n">
        <v>304.533157</v>
      </c>
      <c r="P183" t="n">
        <v>108.42706</v>
      </c>
      <c r="Q183" t="n">
        <v>461.958282</v>
      </c>
      <c r="R183" t="n">
        <v>461.958282</v>
      </c>
      <c r="S183" t="n">
        <v>304.533157</v>
      </c>
      <c r="T183" t="n">
        <v>304.533157</v>
      </c>
      <c r="U183" t="n">
        <v>108.42706</v>
      </c>
      <c r="V183" t="n">
        <v>108.42706</v>
      </c>
      <c r="W183" t="n">
        <v>306.991308</v>
      </c>
      <c r="X183" t="n">
        <v>468.161038</v>
      </c>
    </row>
    <row r="184">
      <c r="A184" t="inlineStr">
        <is>
          <t>Auxis thazard</t>
        </is>
      </c>
      <c r="B184" t="n">
        <v>4.37</v>
      </c>
      <c r="C184" t="n">
        <v>2344.228815</v>
      </c>
      <c r="D184" t="inlineStr">
        <is>
          <t>Unresolved</t>
        </is>
      </c>
    </row>
    <row r="185">
      <c r="A185" t="inlineStr">
        <is>
          <t>Galeorhinus galeus</t>
        </is>
      </c>
      <c r="B185" t="n">
        <v>4.34</v>
      </c>
      <c r="C185" t="n">
        <v>2187.761624</v>
      </c>
      <c r="D185" t="inlineStr">
        <is>
          <t>Sharks &amp; rays</t>
        </is>
      </c>
      <c r="E185" t="n">
        <v>327.790917</v>
      </c>
      <c r="F185" t="n">
        <v>522.28227</v>
      </c>
      <c r="G185" t="n">
        <v>114.842938</v>
      </c>
      <c r="H185" t="n">
        <v>326.928715</v>
      </c>
      <c r="I185" t="n">
        <v>732.255138</v>
      </c>
      <c r="J185" t="n">
        <v>761.48662</v>
      </c>
      <c r="K185" t="n">
        <v>327.439247</v>
      </c>
      <c r="L185" t="n">
        <v>1275.246638</v>
      </c>
      <c r="M185" t="n">
        <v>1275.246638</v>
      </c>
      <c r="N185" t="n">
        <v>1275.246638</v>
      </c>
      <c r="O185" t="n">
        <v>317.659957</v>
      </c>
      <c r="P185" t="n">
        <v>115.247551</v>
      </c>
      <c r="Q185" t="n">
        <v>1275.246638</v>
      </c>
      <c r="R185" t="n">
        <v>1275.246638</v>
      </c>
      <c r="S185" t="n">
        <v>317.659957</v>
      </c>
      <c r="T185" t="n">
        <v>317.659957</v>
      </c>
      <c r="U185" t="n">
        <v>115.247551</v>
      </c>
      <c r="V185" t="n">
        <v>115.247551</v>
      </c>
      <c r="W185" t="n">
        <v>327.701462</v>
      </c>
      <c r="X185" t="n">
        <v>1310.378519</v>
      </c>
    </row>
    <row r="186">
      <c r="A186" t="inlineStr">
        <is>
          <t>Labridae</t>
        </is>
      </c>
      <c r="B186" t="n">
        <v>3.46</v>
      </c>
      <c r="C186" t="n">
        <v>288.40315</v>
      </c>
      <c r="D186" t="inlineStr">
        <is>
          <t>Large Dem. fish</t>
        </is>
      </c>
      <c r="E186" t="n">
        <v>327.790917</v>
      </c>
      <c r="F186" t="n">
        <v>665.972772</v>
      </c>
      <c r="G186" t="n">
        <v>138.073221</v>
      </c>
      <c r="H186" t="n">
        <v>328.210407</v>
      </c>
      <c r="I186" t="n">
        <v>321.185641</v>
      </c>
      <c r="J186" t="n">
        <v>337.306601</v>
      </c>
      <c r="K186" t="n">
        <v>317.068205</v>
      </c>
      <c r="L186" t="n">
        <v>461.958282</v>
      </c>
      <c r="M186" t="n">
        <v>461.958282</v>
      </c>
      <c r="N186" t="n">
        <v>461.958282</v>
      </c>
      <c r="O186" t="n">
        <v>304.533157</v>
      </c>
      <c r="P186" t="n">
        <v>108.42706</v>
      </c>
      <c r="Q186" t="n">
        <v>461.958282</v>
      </c>
      <c r="R186" t="n">
        <v>461.958282</v>
      </c>
      <c r="S186" t="n">
        <v>304.533157</v>
      </c>
      <c r="T186" t="n">
        <v>304.533157</v>
      </c>
      <c r="U186" t="n">
        <v>108.42706</v>
      </c>
      <c r="V186" t="n">
        <v>108.42706</v>
      </c>
      <c r="W186" t="n">
        <v>306.991308</v>
      </c>
      <c r="X186" t="n">
        <v>468.161038</v>
      </c>
    </row>
    <row r="187">
      <c r="A187" t="inlineStr">
        <is>
          <t>Rutilus rutilus</t>
        </is>
      </c>
      <c r="B187" t="n">
        <v>2.96</v>
      </c>
      <c r="C187" t="n">
        <v>91.20108399999999</v>
      </c>
      <c r="D187" t="inlineStr">
        <is>
          <t>Unresolved</t>
        </is>
      </c>
    </row>
    <row r="188">
      <c r="A188" t="inlineStr">
        <is>
          <t>Thunnus alalunga</t>
        </is>
      </c>
      <c r="D188" t="inlineStr">
        <is>
          <t>Unresolved</t>
        </is>
      </c>
    </row>
    <row r="189">
      <c r="A189" t="inlineStr">
        <is>
          <t>Mallotus villosus</t>
        </is>
      </c>
      <c r="B189" t="n">
        <v>3.15</v>
      </c>
      <c r="C189" t="n">
        <v>141.253754</v>
      </c>
      <c r="D189" t="inlineStr">
        <is>
          <t>Small pelagics</t>
        </is>
      </c>
      <c r="E189" t="n">
        <v>327.790917</v>
      </c>
      <c r="F189" t="n">
        <v>148.024912</v>
      </c>
      <c r="G189" t="n">
        <v>44.163101</v>
      </c>
      <c r="H189" t="n">
        <v>58.893278</v>
      </c>
      <c r="I189" t="n">
        <v>29.57747</v>
      </c>
      <c r="J189" t="n">
        <v>29.708263</v>
      </c>
      <c r="K189" t="n">
        <v>26.143271</v>
      </c>
      <c r="L189" t="n">
        <v>37.444032</v>
      </c>
      <c r="M189" t="n">
        <v>37.444032</v>
      </c>
      <c r="N189" t="n">
        <v>37.444032</v>
      </c>
      <c r="O189" t="n">
        <v>26.825837</v>
      </c>
      <c r="P189" t="n">
        <v>12.629082</v>
      </c>
      <c r="Q189" t="n">
        <v>37.444032</v>
      </c>
      <c r="R189" t="n">
        <v>37.444032</v>
      </c>
      <c r="S189" t="n">
        <v>26.825837</v>
      </c>
      <c r="T189" t="n">
        <v>26.825837</v>
      </c>
      <c r="U189" t="n">
        <v>12.629082</v>
      </c>
      <c r="V189" t="n">
        <v>12.629082</v>
      </c>
      <c r="W189" t="n">
        <v>26.643813</v>
      </c>
      <c r="X189" t="n">
        <v>39.607714</v>
      </c>
    </row>
    <row r="190">
      <c r="A190" t="inlineStr">
        <is>
          <t>Octopodidae</t>
        </is>
      </c>
      <c r="B190" t="n">
        <v>3.59</v>
      </c>
      <c r="C190" t="n">
        <v>389.045145</v>
      </c>
      <c r="D190" t="inlineStr">
        <is>
          <t>Squid &amp; Octopus</t>
        </is>
      </c>
      <c r="E190" t="n">
        <v>327.790917</v>
      </c>
      <c r="F190" t="n">
        <v>160.967585</v>
      </c>
      <c r="G190" t="n">
        <v>47.060072</v>
      </c>
      <c r="H190" t="n">
        <v>88.258037</v>
      </c>
      <c r="I190" t="n">
        <v>77.00034599999999</v>
      </c>
      <c r="J190" t="n">
        <v>77.34926</v>
      </c>
      <c r="K190" t="n">
        <v>73.481797</v>
      </c>
      <c r="L190" t="n">
        <v>94.097724</v>
      </c>
      <c r="M190" t="n">
        <v>94.097724</v>
      </c>
      <c r="N190" t="n">
        <v>94.097724</v>
      </c>
      <c r="O190" t="n">
        <v>70.413555</v>
      </c>
      <c r="P190" t="n">
        <v>31.50612</v>
      </c>
      <c r="Q190" t="n">
        <v>94.097724</v>
      </c>
      <c r="R190" t="n">
        <v>94.097724</v>
      </c>
      <c r="S190" t="n">
        <v>70.413555</v>
      </c>
      <c r="T190" t="n">
        <v>70.413555</v>
      </c>
      <c r="U190" t="n">
        <v>31.50612</v>
      </c>
      <c r="V190" t="n">
        <v>31.50612</v>
      </c>
      <c r="W190" t="n">
        <v>71.270959</v>
      </c>
      <c r="X190" t="n">
        <v>97.60397</v>
      </c>
    </row>
    <row r="191">
      <c r="A191" t="inlineStr">
        <is>
          <t>Crassostrea</t>
        </is>
      </c>
      <c r="B191" t="n">
        <v>2</v>
      </c>
      <c r="C191" t="n">
        <v>10</v>
      </c>
      <c r="D191" t="inlineStr">
        <is>
          <t>Epifauna</t>
        </is>
      </c>
      <c r="E191" t="n">
        <v>327.790917</v>
      </c>
      <c r="F191" t="n">
        <v>28.994229</v>
      </c>
      <c r="G191" t="n">
        <v>12.834993</v>
      </c>
      <c r="H191" t="n">
        <v>17.954978</v>
      </c>
      <c r="I191" t="n">
        <v>11.374014</v>
      </c>
      <c r="J191" t="n">
        <v>11.374014</v>
      </c>
      <c r="K191" t="n">
        <v>10.009132</v>
      </c>
      <c r="L191" t="n">
        <v>10.950321</v>
      </c>
      <c r="M191" t="n">
        <v>10.950321</v>
      </c>
      <c r="N191" t="n">
        <v>10.950321</v>
      </c>
      <c r="O191" t="n">
        <v>10.041084</v>
      </c>
      <c r="P191" t="n">
        <v>6.846302</v>
      </c>
      <c r="Q191" t="n">
        <v>10.950321</v>
      </c>
      <c r="R191" t="n">
        <v>10.950321</v>
      </c>
      <c r="S191" t="n">
        <v>10.041084</v>
      </c>
      <c r="T191" t="n">
        <v>10.041084</v>
      </c>
      <c r="U191" t="n">
        <v>6.846302</v>
      </c>
      <c r="V191" t="n">
        <v>6.846302</v>
      </c>
      <c r="W191" t="n">
        <v>9.947857000000001</v>
      </c>
      <c r="X191" t="n">
        <v>10.794705</v>
      </c>
    </row>
    <row r="192">
      <c r="A192" t="inlineStr">
        <is>
          <t>Sarda sarda</t>
        </is>
      </c>
      <c r="B192" t="n">
        <v>4.5</v>
      </c>
      <c r="C192" t="n">
        <v>3162.27766</v>
      </c>
      <c r="D192" t="inlineStr">
        <is>
          <t>Unresolved</t>
        </is>
      </c>
    </row>
    <row r="193">
      <c r="A193" t="inlineStr">
        <is>
          <t>Chaceon affinis</t>
        </is>
      </c>
      <c r="B193" t="n">
        <v>3.1</v>
      </c>
      <c r="C193" t="n">
        <v>125.892541</v>
      </c>
      <c r="D193" t="inlineStr">
        <is>
          <t>Crustacea</t>
        </is>
      </c>
      <c r="E193" t="n">
        <v>327.790917</v>
      </c>
      <c r="F193" t="n">
        <v>79.403785</v>
      </c>
      <c r="G193" t="n">
        <v>27.544327</v>
      </c>
      <c r="H193" t="n">
        <v>45.837748</v>
      </c>
      <c r="I193" t="n">
        <v>38.918317</v>
      </c>
      <c r="J193" t="n">
        <v>38.964516</v>
      </c>
      <c r="K193" t="n">
        <v>31.561258</v>
      </c>
      <c r="L193" t="n">
        <v>47.671907</v>
      </c>
      <c r="M193" t="n">
        <v>47.671907</v>
      </c>
      <c r="N193" t="n">
        <v>47.671907</v>
      </c>
      <c r="O193" t="n">
        <v>34.575524</v>
      </c>
      <c r="P193" t="n">
        <v>19.020842</v>
      </c>
      <c r="Q193" t="n">
        <v>47.671907</v>
      </c>
      <c r="R193" t="n">
        <v>47.671907</v>
      </c>
      <c r="S193" t="n">
        <v>34.575524</v>
      </c>
      <c r="T193" t="n">
        <v>34.575524</v>
      </c>
      <c r="U193" t="n">
        <v>19.020842</v>
      </c>
      <c r="V193" t="n">
        <v>19.020842</v>
      </c>
      <c r="W193" t="n">
        <v>34.954015</v>
      </c>
      <c r="X193" t="n">
        <v>47.765312</v>
      </c>
    </row>
    <row r="194">
      <c r="A194" t="inlineStr">
        <is>
          <t>Illex</t>
        </is>
      </c>
      <c r="B194" t="n">
        <v>3.98</v>
      </c>
      <c r="C194" t="n">
        <v>954.992586</v>
      </c>
      <c r="D194" t="inlineStr">
        <is>
          <t>Squid &amp; Octopus</t>
        </is>
      </c>
      <c r="E194" t="n">
        <v>327.790917</v>
      </c>
      <c r="F194" t="n">
        <v>160.967585</v>
      </c>
      <c r="G194" t="n">
        <v>47.060072</v>
      </c>
      <c r="H194" t="n">
        <v>88.258037</v>
      </c>
      <c r="I194" t="n">
        <v>77.00034599999999</v>
      </c>
      <c r="J194" t="n">
        <v>77.34926</v>
      </c>
      <c r="K194" t="n">
        <v>73.481797</v>
      </c>
      <c r="L194" t="n">
        <v>94.097724</v>
      </c>
      <c r="M194" t="n">
        <v>94.097724</v>
      </c>
      <c r="N194" t="n">
        <v>94.097724</v>
      </c>
      <c r="O194" t="n">
        <v>70.413555</v>
      </c>
      <c r="P194" t="n">
        <v>31.50612</v>
      </c>
      <c r="Q194" t="n">
        <v>94.097724</v>
      </c>
      <c r="R194" t="n">
        <v>94.097724</v>
      </c>
      <c r="S194" t="n">
        <v>70.413555</v>
      </c>
      <c r="T194" t="n">
        <v>70.413555</v>
      </c>
      <c r="U194" t="n">
        <v>31.50612</v>
      </c>
      <c r="V194" t="n">
        <v>31.50612</v>
      </c>
      <c r="W194" t="n">
        <v>71.270959</v>
      </c>
      <c r="X194" t="n">
        <v>97.60397</v>
      </c>
    </row>
    <row r="195">
      <c r="A195" t="inlineStr">
        <is>
          <t>Helicolenus dactylopterus</t>
        </is>
      </c>
      <c r="B195" t="n">
        <v>3.54</v>
      </c>
      <c r="C195" t="n">
        <v>346.73685</v>
      </c>
      <c r="D195" t="inlineStr">
        <is>
          <t>Large Dem. fish</t>
        </is>
      </c>
      <c r="E195" t="n">
        <v>327.790917</v>
      </c>
      <c r="F195" t="n">
        <v>665.972772</v>
      </c>
      <c r="G195" t="n">
        <v>138.073221</v>
      </c>
      <c r="H195" t="n">
        <v>328.210407</v>
      </c>
      <c r="I195" t="n">
        <v>321.185641</v>
      </c>
      <c r="J195" t="n">
        <v>337.306601</v>
      </c>
      <c r="K195" t="n">
        <v>317.068205</v>
      </c>
      <c r="L195" t="n">
        <v>461.958282</v>
      </c>
      <c r="M195" t="n">
        <v>461.958282</v>
      </c>
      <c r="N195" t="n">
        <v>461.958282</v>
      </c>
      <c r="O195" t="n">
        <v>304.533157</v>
      </c>
      <c r="P195" t="n">
        <v>108.42706</v>
      </c>
      <c r="Q195" t="n">
        <v>461.958282</v>
      </c>
      <c r="R195" t="n">
        <v>461.958282</v>
      </c>
      <c r="S195" t="n">
        <v>304.533157</v>
      </c>
      <c r="T195" t="n">
        <v>304.533157</v>
      </c>
      <c r="U195" t="n">
        <v>108.42706</v>
      </c>
      <c r="V195" t="n">
        <v>108.42706</v>
      </c>
      <c r="W195" t="n">
        <v>306.991308</v>
      </c>
      <c r="X195" t="n">
        <v>468.161038</v>
      </c>
    </row>
    <row r="196">
      <c r="A196" t="inlineStr">
        <is>
          <t>Prionace glauca</t>
        </is>
      </c>
      <c r="B196" t="n">
        <v>4.35</v>
      </c>
      <c r="C196" t="n">
        <v>2238.721139</v>
      </c>
      <c r="D196" t="inlineStr">
        <is>
          <t>Sharks &amp; rays</t>
        </is>
      </c>
      <c r="E196" t="n">
        <v>327.790917</v>
      </c>
      <c r="F196" t="n">
        <v>522.28227</v>
      </c>
      <c r="G196" t="n">
        <v>114.842938</v>
      </c>
      <c r="H196" t="n">
        <v>326.928715</v>
      </c>
      <c r="I196" t="n">
        <v>732.255138</v>
      </c>
      <c r="J196" t="n">
        <v>761.48662</v>
      </c>
      <c r="K196" t="n">
        <v>327.439247</v>
      </c>
      <c r="L196" t="n">
        <v>1275.246638</v>
      </c>
      <c r="M196" t="n">
        <v>1275.246638</v>
      </c>
      <c r="N196" t="n">
        <v>1275.246638</v>
      </c>
      <c r="O196" t="n">
        <v>317.659957</v>
      </c>
      <c r="P196" t="n">
        <v>115.247551</v>
      </c>
      <c r="Q196" t="n">
        <v>1275.246638</v>
      </c>
      <c r="R196" t="n">
        <v>1275.246638</v>
      </c>
      <c r="S196" t="n">
        <v>317.659957</v>
      </c>
      <c r="T196" t="n">
        <v>317.659957</v>
      </c>
      <c r="U196" t="n">
        <v>115.247551</v>
      </c>
      <c r="V196" t="n">
        <v>115.247551</v>
      </c>
      <c r="W196" t="n">
        <v>327.701462</v>
      </c>
      <c r="X196" t="n">
        <v>1310.378519</v>
      </c>
    </row>
    <row r="197">
      <c r="A197" t="inlineStr">
        <is>
          <t>Mugil</t>
        </is>
      </c>
      <c r="B197" t="n">
        <v>2.26</v>
      </c>
      <c r="C197" t="n">
        <v>18.197009</v>
      </c>
      <c r="D197" t="inlineStr">
        <is>
          <t>Large Dem. fish</t>
        </is>
      </c>
      <c r="E197" t="n">
        <v>327.790917</v>
      </c>
      <c r="F197" t="n">
        <v>665.972772</v>
      </c>
      <c r="G197" t="n">
        <v>138.073221</v>
      </c>
      <c r="H197" t="n">
        <v>328.210407</v>
      </c>
      <c r="I197" t="n">
        <v>321.185641</v>
      </c>
      <c r="J197" t="n">
        <v>337.306601</v>
      </c>
      <c r="K197" t="n">
        <v>317.068205</v>
      </c>
      <c r="L197" t="n">
        <v>461.958282</v>
      </c>
      <c r="M197" t="n">
        <v>461.958282</v>
      </c>
      <c r="N197" t="n">
        <v>461.958282</v>
      </c>
      <c r="O197" t="n">
        <v>304.533157</v>
      </c>
      <c r="P197" t="n">
        <v>108.42706</v>
      </c>
      <c r="Q197" t="n">
        <v>461.958282</v>
      </c>
      <c r="R197" t="n">
        <v>461.958282</v>
      </c>
      <c r="S197" t="n">
        <v>304.533157</v>
      </c>
      <c r="T197" t="n">
        <v>304.533157</v>
      </c>
      <c r="U197" t="n">
        <v>108.42706</v>
      </c>
      <c r="V197" t="n">
        <v>108.42706</v>
      </c>
      <c r="W197" t="n">
        <v>306.991308</v>
      </c>
      <c r="X197" t="n">
        <v>468.161038</v>
      </c>
    </row>
    <row r="198">
      <c r="A198" t="inlineStr">
        <is>
          <t>Batoidea</t>
        </is>
      </c>
      <c r="D198" t="inlineStr">
        <is>
          <t>Sharks &amp; rays</t>
        </is>
      </c>
      <c r="E198" t="n">
        <v>327.790917</v>
      </c>
      <c r="F198" t="n">
        <v>522.28227</v>
      </c>
      <c r="G198" t="n">
        <v>114.842938</v>
      </c>
      <c r="H198" t="n">
        <v>326.928715</v>
      </c>
      <c r="I198" t="n">
        <v>732.255138</v>
      </c>
      <c r="J198" t="n">
        <v>761.48662</v>
      </c>
      <c r="K198" t="n">
        <v>327.439247</v>
      </c>
      <c r="L198" t="n">
        <v>1275.246638</v>
      </c>
      <c r="M198" t="n">
        <v>1275.246638</v>
      </c>
      <c r="N198" t="n">
        <v>1275.246638</v>
      </c>
      <c r="O198" t="n">
        <v>317.659957</v>
      </c>
      <c r="P198" t="n">
        <v>115.247551</v>
      </c>
      <c r="Q198" t="n">
        <v>1275.246638</v>
      </c>
      <c r="R198" t="n">
        <v>1275.246638</v>
      </c>
      <c r="S198" t="n">
        <v>317.659957</v>
      </c>
      <c r="T198" t="n">
        <v>317.659957</v>
      </c>
      <c r="U198" t="n">
        <v>115.247551</v>
      </c>
      <c r="V198" t="n">
        <v>115.247551</v>
      </c>
      <c r="W198" t="n">
        <v>327.701462</v>
      </c>
      <c r="X198" t="n">
        <v>1310.378519</v>
      </c>
    </row>
    <row r="199">
      <c r="A199" t="inlineStr">
        <is>
          <t>Mustelus</t>
        </is>
      </c>
      <c r="B199" t="n">
        <v>3.73</v>
      </c>
      <c r="C199" t="n">
        <v>537.031796</v>
      </c>
      <c r="D199" t="inlineStr">
        <is>
          <t>Sharks &amp; rays</t>
        </is>
      </c>
      <c r="E199" t="n">
        <v>327.790917</v>
      </c>
      <c r="F199" t="n">
        <v>522.28227</v>
      </c>
      <c r="G199" t="n">
        <v>114.842938</v>
      </c>
      <c r="H199" t="n">
        <v>326.928715</v>
      </c>
      <c r="I199" t="n">
        <v>732.255138</v>
      </c>
      <c r="J199" t="n">
        <v>761.48662</v>
      </c>
      <c r="K199" t="n">
        <v>327.439247</v>
      </c>
      <c r="L199" t="n">
        <v>1275.246638</v>
      </c>
      <c r="M199" t="n">
        <v>1275.246638</v>
      </c>
      <c r="N199" t="n">
        <v>1275.246638</v>
      </c>
      <c r="O199" t="n">
        <v>317.659957</v>
      </c>
      <c r="P199" t="n">
        <v>115.247551</v>
      </c>
      <c r="Q199" t="n">
        <v>1275.246638</v>
      </c>
      <c r="R199" t="n">
        <v>1275.246638</v>
      </c>
      <c r="S199" t="n">
        <v>317.659957</v>
      </c>
      <c r="T199" t="n">
        <v>317.659957</v>
      </c>
      <c r="U199" t="n">
        <v>115.247551</v>
      </c>
      <c r="V199" t="n">
        <v>115.247551</v>
      </c>
      <c r="W199" t="n">
        <v>327.701462</v>
      </c>
      <c r="X199" t="n">
        <v>1310.378519</v>
      </c>
    </row>
    <row r="200">
      <c r="A200" t="inlineStr">
        <is>
          <t>Salmo</t>
        </is>
      </c>
      <c r="B200" t="n">
        <v>4</v>
      </c>
      <c r="C200" t="n">
        <v>1000</v>
      </c>
      <c r="D200" t="inlineStr">
        <is>
          <t>Unresolved</t>
        </is>
      </c>
    </row>
    <row r="201">
      <c r="A201" t="inlineStr">
        <is>
          <t>Triakidae</t>
        </is>
      </c>
      <c r="D201" t="inlineStr">
        <is>
          <t>Sharks &amp; rays</t>
        </is>
      </c>
      <c r="E201" t="n">
        <v>327.790917</v>
      </c>
      <c r="F201" t="n">
        <v>522.28227</v>
      </c>
      <c r="G201" t="n">
        <v>114.842938</v>
      </c>
      <c r="H201" t="n">
        <v>326.928715</v>
      </c>
      <c r="I201" t="n">
        <v>732.255138</v>
      </c>
      <c r="J201" t="n">
        <v>761.48662</v>
      </c>
      <c r="K201" t="n">
        <v>327.439247</v>
      </c>
      <c r="L201" t="n">
        <v>1275.246638</v>
      </c>
      <c r="M201" t="n">
        <v>1275.246638</v>
      </c>
      <c r="N201" t="n">
        <v>1275.246638</v>
      </c>
      <c r="O201" t="n">
        <v>317.659957</v>
      </c>
      <c r="P201" t="n">
        <v>115.247551</v>
      </c>
      <c r="Q201" t="n">
        <v>1275.246638</v>
      </c>
      <c r="R201" t="n">
        <v>1275.246638</v>
      </c>
      <c r="S201" t="n">
        <v>317.659957</v>
      </c>
      <c r="T201" t="n">
        <v>317.659957</v>
      </c>
      <c r="U201" t="n">
        <v>115.247551</v>
      </c>
      <c r="V201" t="n">
        <v>115.247551</v>
      </c>
      <c r="W201" t="n">
        <v>327.701462</v>
      </c>
      <c r="X201" t="n">
        <v>1310.378519</v>
      </c>
    </row>
    <row r="202">
      <c r="A202" t="inlineStr">
        <is>
          <t>Galeocerdo cuvier</t>
        </is>
      </c>
      <c r="D202" t="inlineStr">
        <is>
          <t>Sharks &amp; rays</t>
        </is>
      </c>
      <c r="E202" t="n">
        <v>327.790917</v>
      </c>
      <c r="F202" t="n">
        <v>522.28227</v>
      </c>
      <c r="G202" t="n">
        <v>114.842938</v>
      </c>
      <c r="H202" t="n">
        <v>326.928715</v>
      </c>
      <c r="I202" t="n">
        <v>732.255138</v>
      </c>
      <c r="J202" t="n">
        <v>761.48662</v>
      </c>
      <c r="K202" t="n">
        <v>327.439247</v>
      </c>
      <c r="L202" t="n">
        <v>1275.246638</v>
      </c>
      <c r="M202" t="n">
        <v>1275.246638</v>
      </c>
      <c r="N202" t="n">
        <v>1275.246638</v>
      </c>
      <c r="O202" t="n">
        <v>317.659957</v>
      </c>
      <c r="P202" t="n">
        <v>115.247551</v>
      </c>
      <c r="Q202" t="n">
        <v>1275.246638</v>
      </c>
      <c r="R202" t="n">
        <v>1275.246638</v>
      </c>
      <c r="S202" t="n">
        <v>317.659957</v>
      </c>
      <c r="T202" t="n">
        <v>317.659957</v>
      </c>
      <c r="U202" t="n">
        <v>115.247551</v>
      </c>
      <c r="V202" t="n">
        <v>115.247551</v>
      </c>
      <c r="W202" t="n">
        <v>327.701462</v>
      </c>
      <c r="X202" t="n">
        <v>1310.378519</v>
      </c>
    </row>
    <row r="203">
      <c r="A203" t="inlineStr">
        <is>
          <t>Pagellus bogaraveo</t>
        </is>
      </c>
      <c r="B203" t="n">
        <v>4.21</v>
      </c>
      <c r="C203" t="n">
        <v>1621.810097</v>
      </c>
      <c r="D203" t="inlineStr">
        <is>
          <t>Large Dem. fish</t>
        </is>
      </c>
      <c r="E203" t="n">
        <v>327.790917</v>
      </c>
      <c r="F203" t="n">
        <v>665.972772</v>
      </c>
      <c r="G203" t="n">
        <v>138.073221</v>
      </c>
      <c r="H203" t="n">
        <v>328.210407</v>
      </c>
      <c r="I203" t="n">
        <v>321.185641</v>
      </c>
      <c r="J203" t="n">
        <v>337.306601</v>
      </c>
      <c r="K203" t="n">
        <v>317.068205</v>
      </c>
      <c r="L203" t="n">
        <v>461.958282</v>
      </c>
      <c r="M203" t="n">
        <v>461.958282</v>
      </c>
      <c r="N203" t="n">
        <v>461.958282</v>
      </c>
      <c r="O203" t="n">
        <v>304.533157</v>
      </c>
      <c r="P203" t="n">
        <v>108.42706</v>
      </c>
      <c r="Q203" t="n">
        <v>461.958282</v>
      </c>
      <c r="R203" t="n">
        <v>461.958282</v>
      </c>
      <c r="S203" t="n">
        <v>304.533157</v>
      </c>
      <c r="T203" t="n">
        <v>304.533157</v>
      </c>
      <c r="U203" t="n">
        <v>108.42706</v>
      </c>
      <c r="V203" t="n">
        <v>108.42706</v>
      </c>
      <c r="W203" t="n">
        <v>306.991308</v>
      </c>
      <c r="X203" t="n">
        <v>468.161038</v>
      </c>
    </row>
    <row r="204">
      <c r="A204" t="inlineStr">
        <is>
          <t>Chimaera monstrosa</t>
        </is>
      </c>
      <c r="B204" t="n">
        <v>3.52</v>
      </c>
      <c r="C204" t="n">
        <v>331.131121</v>
      </c>
      <c r="D204" t="inlineStr">
        <is>
          <t>Unresolved</t>
        </is>
      </c>
    </row>
    <row r="205">
      <c r="A205" t="inlineStr">
        <is>
          <t>Alepocephalus bairdii</t>
        </is>
      </c>
      <c r="B205" t="n">
        <v>3.69</v>
      </c>
      <c r="C205" t="n">
        <v>489.778819</v>
      </c>
      <c r="D205" t="inlineStr">
        <is>
          <t>Unresolved</t>
        </is>
      </c>
    </row>
    <row r="206">
      <c r="A206" t="inlineStr">
        <is>
          <t>Leucoraja circularis</t>
        </is>
      </c>
      <c r="B206" t="n">
        <v>3.5</v>
      </c>
      <c r="C206" t="n">
        <v>316.227766</v>
      </c>
      <c r="D206" t="inlineStr">
        <is>
          <t>Sharks &amp; rays</t>
        </is>
      </c>
      <c r="E206" t="n">
        <v>327.790917</v>
      </c>
      <c r="F206" t="n">
        <v>522.28227</v>
      </c>
      <c r="G206" t="n">
        <v>114.842938</v>
      </c>
      <c r="H206" t="n">
        <v>326.928715</v>
      </c>
      <c r="I206" t="n">
        <v>732.255138</v>
      </c>
      <c r="J206" t="n">
        <v>761.48662</v>
      </c>
      <c r="K206" t="n">
        <v>327.439247</v>
      </c>
      <c r="L206" t="n">
        <v>1275.246638</v>
      </c>
      <c r="M206" t="n">
        <v>1275.246638</v>
      </c>
      <c r="N206" t="n">
        <v>1275.246638</v>
      </c>
      <c r="O206" t="n">
        <v>317.659957</v>
      </c>
      <c r="P206" t="n">
        <v>115.247551</v>
      </c>
      <c r="Q206" t="n">
        <v>1275.246638</v>
      </c>
      <c r="R206" t="n">
        <v>1275.246638</v>
      </c>
      <c r="S206" t="n">
        <v>317.659957</v>
      </c>
      <c r="T206" t="n">
        <v>317.659957</v>
      </c>
      <c r="U206" t="n">
        <v>115.247551</v>
      </c>
      <c r="V206" t="n">
        <v>115.247551</v>
      </c>
      <c r="W206" t="n">
        <v>327.701462</v>
      </c>
      <c r="X206" t="n">
        <v>1310.378519</v>
      </c>
    </row>
    <row r="207">
      <c r="A207" t="inlineStr">
        <is>
          <t>Meganyctiphanes norvegica</t>
        </is>
      </c>
      <c r="D207" t="inlineStr">
        <is>
          <t>Large zooplankton</t>
        </is>
      </c>
      <c r="E207" t="n">
        <v>327.790917</v>
      </c>
      <c r="F207" t="n">
        <v>20.943663</v>
      </c>
      <c r="G207" t="n">
        <v>10.030553</v>
      </c>
      <c r="H207" t="n">
        <v>13.199789</v>
      </c>
      <c r="I207" t="n">
        <v>6.157937</v>
      </c>
      <c r="J207" t="n">
        <v>6.157937</v>
      </c>
      <c r="K207" t="n">
        <v>5.542143</v>
      </c>
      <c r="L207" t="n">
        <v>8.442342</v>
      </c>
      <c r="M207" t="n">
        <v>8.442342</v>
      </c>
      <c r="N207" t="n">
        <v>8.442342</v>
      </c>
      <c r="O207" t="n">
        <v>6.642375</v>
      </c>
      <c r="P207" t="n">
        <v>3.737611</v>
      </c>
      <c r="Q207" t="n">
        <v>8.442342</v>
      </c>
      <c r="R207" t="n">
        <v>8.442342</v>
      </c>
      <c r="S207" t="n">
        <v>6.642375</v>
      </c>
      <c r="T207" t="n">
        <v>6.642375</v>
      </c>
      <c r="U207" t="n">
        <v>3.737611</v>
      </c>
      <c r="V207" t="n">
        <v>3.737611</v>
      </c>
      <c r="W207" t="n">
        <v>6.670992</v>
      </c>
      <c r="X207" t="n">
        <v>9.011415</v>
      </c>
    </row>
    <row r="208">
      <c r="A208" t="inlineStr">
        <is>
          <t>Mya arenaria</t>
        </is>
      </c>
      <c r="D208" t="inlineStr">
        <is>
          <t>Infauna</t>
        </is>
      </c>
      <c r="E208" t="n">
        <v>327.790917</v>
      </c>
      <c r="F208" t="n">
        <v>10</v>
      </c>
      <c r="G208" t="n">
        <v>5.727631</v>
      </c>
      <c r="H208" t="n">
        <v>5.721903</v>
      </c>
      <c r="I208" t="n">
        <v>4.44</v>
      </c>
      <c r="J208" t="n">
        <v>4.44</v>
      </c>
      <c r="K208" t="n">
        <v>3.996</v>
      </c>
      <c r="L208" t="n">
        <v>3.864936</v>
      </c>
      <c r="M208" t="n">
        <v>3.864936</v>
      </c>
      <c r="N208" t="n">
        <v>3.864936</v>
      </c>
      <c r="O208" t="n">
        <v>4.247203</v>
      </c>
      <c r="P208" t="n">
        <v>3.679841</v>
      </c>
      <c r="Q208" t="n">
        <v>3.864936</v>
      </c>
      <c r="R208" t="n">
        <v>3.864936</v>
      </c>
      <c r="S208" t="n">
        <v>4.247203</v>
      </c>
      <c r="T208" t="n">
        <v>4.247203</v>
      </c>
      <c r="U208" t="n">
        <v>3.679841</v>
      </c>
      <c r="V208" t="n">
        <v>3.679841</v>
      </c>
      <c r="W208" t="n">
        <v>4.187569</v>
      </c>
      <c r="X208" t="n">
        <v>3.928919</v>
      </c>
    </row>
    <row r="209">
      <c r="A209" t="inlineStr">
        <is>
          <t>Osteichthyes</t>
        </is>
      </c>
      <c r="B209" t="n">
        <v>3.79</v>
      </c>
      <c r="C209" t="n">
        <v>616.595002</v>
      </c>
      <c r="D209" t="inlineStr">
        <is>
          <t>Flatfishes | Monkfish | Large Dem. fish</t>
        </is>
      </c>
      <c r="E209" t="n">
        <v>327.790917</v>
      </c>
      <c r="F209" t="n">
        <v>345.033369</v>
      </c>
      <c r="G209" t="n">
        <v>78.18723</v>
      </c>
      <c r="H209" t="n">
        <v>164.100144</v>
      </c>
      <c r="I209" t="n">
        <v>132.854976</v>
      </c>
      <c r="J209" t="n">
        <v>137.390299</v>
      </c>
      <c r="K209" t="n">
        <v>126.313644</v>
      </c>
      <c r="L209" t="n">
        <v>164.733434</v>
      </c>
      <c r="M209" t="n">
        <v>164.733434</v>
      </c>
      <c r="N209" t="n">
        <v>164.733434</v>
      </c>
      <c r="O209" t="n">
        <v>113.48574</v>
      </c>
      <c r="P209" t="n">
        <v>48.310329</v>
      </c>
      <c r="Q209" t="n">
        <v>164.733434</v>
      </c>
      <c r="R209" t="n">
        <v>164.733434</v>
      </c>
      <c r="S209" t="n">
        <v>113.48574</v>
      </c>
      <c r="T209" t="n">
        <v>113.48574</v>
      </c>
      <c r="U209" t="n">
        <v>48.310329</v>
      </c>
      <c r="V209" t="n">
        <v>48.310329</v>
      </c>
      <c r="W209" t="n">
        <v>114.273159</v>
      </c>
      <c r="X209" t="n">
        <v>165.225716</v>
      </c>
    </row>
    <row r="210">
      <c r="A210" t="inlineStr">
        <is>
          <t>Octopoda</t>
        </is>
      </c>
      <c r="D210" t="inlineStr">
        <is>
          <t>Squid &amp; Octopus</t>
        </is>
      </c>
      <c r="E210" t="n">
        <v>327.790917</v>
      </c>
      <c r="F210" t="n">
        <v>160.967585</v>
      </c>
      <c r="G210" t="n">
        <v>47.060072</v>
      </c>
      <c r="H210" t="n">
        <v>88.258037</v>
      </c>
      <c r="I210" t="n">
        <v>77.00034599999999</v>
      </c>
      <c r="J210" t="n">
        <v>77.34926</v>
      </c>
      <c r="K210" t="n">
        <v>73.481797</v>
      </c>
      <c r="L210" t="n">
        <v>94.097724</v>
      </c>
      <c r="M210" t="n">
        <v>94.097724</v>
      </c>
      <c r="N210" t="n">
        <v>94.097724</v>
      </c>
      <c r="O210" t="n">
        <v>70.413555</v>
      </c>
      <c r="P210" t="n">
        <v>31.50612</v>
      </c>
      <c r="Q210" t="n">
        <v>94.097724</v>
      </c>
      <c r="R210" t="n">
        <v>94.097724</v>
      </c>
      <c r="S210" t="n">
        <v>70.413555</v>
      </c>
      <c r="T210" t="n">
        <v>70.413555</v>
      </c>
      <c r="U210" t="n">
        <v>31.50612</v>
      </c>
      <c r="V210" t="n">
        <v>31.50612</v>
      </c>
      <c r="W210" t="n">
        <v>71.270959</v>
      </c>
      <c r="X210" t="n">
        <v>97.60397</v>
      </c>
    </row>
    <row r="211">
      <c r="A211" t="inlineStr">
        <is>
          <t>Scorpaeniformes</t>
        </is>
      </c>
      <c r="B211" t="n">
        <v>3.78</v>
      </c>
      <c r="C211" t="n">
        <v>602.559586</v>
      </c>
      <c r="D211" t="inlineStr">
        <is>
          <t>Large Dem. fish</t>
        </is>
      </c>
      <c r="E211" t="n">
        <v>327.790917</v>
      </c>
      <c r="F211" t="n">
        <v>665.972772</v>
      </c>
      <c r="G211" t="n">
        <v>138.073221</v>
      </c>
      <c r="H211" t="n">
        <v>328.210407</v>
      </c>
      <c r="I211" t="n">
        <v>321.185641</v>
      </c>
      <c r="J211" t="n">
        <v>337.306601</v>
      </c>
      <c r="K211" t="n">
        <v>317.068205</v>
      </c>
      <c r="L211" t="n">
        <v>461.958282</v>
      </c>
      <c r="M211" t="n">
        <v>461.958282</v>
      </c>
      <c r="N211" t="n">
        <v>461.958282</v>
      </c>
      <c r="O211" t="n">
        <v>304.533157</v>
      </c>
      <c r="P211" t="n">
        <v>108.42706</v>
      </c>
      <c r="Q211" t="n">
        <v>461.958282</v>
      </c>
      <c r="R211" t="n">
        <v>461.958282</v>
      </c>
      <c r="S211" t="n">
        <v>304.533157</v>
      </c>
      <c r="T211" t="n">
        <v>304.533157</v>
      </c>
      <c r="U211" t="n">
        <v>108.42706</v>
      </c>
      <c r="V211" t="n">
        <v>108.42706</v>
      </c>
      <c r="W211" t="n">
        <v>306.991308</v>
      </c>
      <c r="X211" t="n">
        <v>468.161038</v>
      </c>
    </row>
    <row r="212">
      <c r="A212" t="inlineStr">
        <is>
          <t>Sander lucioperca</t>
        </is>
      </c>
      <c r="B212" t="n">
        <v>4.04</v>
      </c>
      <c r="C212" t="n">
        <v>1096.478196</v>
      </c>
      <c r="D212" t="inlineStr">
        <is>
          <t>Unresolved</t>
        </is>
      </c>
    </row>
    <row r="213">
      <c r="A213" t="inlineStr">
        <is>
          <t>Chelon ramada</t>
        </is>
      </c>
      <c r="B213" t="n">
        <v>2.3</v>
      </c>
      <c r="C213" t="n">
        <v>19.952623</v>
      </c>
      <c r="D213" t="inlineStr">
        <is>
          <t>Large Pelagics</t>
        </is>
      </c>
      <c r="E213" t="n">
        <v>327.790917</v>
      </c>
      <c r="F213" t="n">
        <v>409.325031</v>
      </c>
      <c r="G213" t="n">
        <v>95.473426</v>
      </c>
      <c r="H213" t="n">
        <v>171.971164</v>
      </c>
      <c r="I213" t="n">
        <v>151.710468</v>
      </c>
      <c r="J213" t="n">
        <v>166.941311</v>
      </c>
      <c r="K213" t="n">
        <v>150.24718</v>
      </c>
      <c r="L213" t="n">
        <v>208.675232</v>
      </c>
      <c r="M213" t="n">
        <v>208.675232</v>
      </c>
      <c r="N213" t="n">
        <v>208.675232</v>
      </c>
      <c r="O213" t="n">
        <v>139.225251</v>
      </c>
      <c r="P213" t="n">
        <v>55.587338</v>
      </c>
      <c r="Q213" t="n">
        <v>208.675232</v>
      </c>
      <c r="R213" t="n">
        <v>208.675232</v>
      </c>
      <c r="S213" t="n">
        <v>139.225251</v>
      </c>
      <c r="T213" t="n">
        <v>139.225251</v>
      </c>
      <c r="U213" t="n">
        <v>55.587338</v>
      </c>
      <c r="V213" t="n">
        <v>55.587338</v>
      </c>
      <c r="W213" t="n">
        <v>138.889014</v>
      </c>
      <c r="X213" t="n">
        <v>209.882396</v>
      </c>
    </row>
    <row r="214">
      <c r="A214" t="inlineStr">
        <is>
          <t>Chimaeriformes</t>
        </is>
      </c>
      <c r="B214" t="n">
        <v>3.37</v>
      </c>
      <c r="C214" t="n">
        <v>234.422882</v>
      </c>
      <c r="D214" t="inlineStr">
        <is>
          <t>Unresolved</t>
        </is>
      </c>
    </row>
    <row r="215">
      <c r="A215" t="inlineStr">
        <is>
          <t>Mullus</t>
        </is>
      </c>
      <c r="B215" t="n">
        <v>3.29</v>
      </c>
      <c r="C215" t="n">
        <v>194.98446</v>
      </c>
      <c r="D215" t="inlineStr">
        <is>
          <t>Large Dem. fish</t>
        </is>
      </c>
      <c r="E215" t="n">
        <v>327.790917</v>
      </c>
      <c r="F215" t="n">
        <v>665.972772</v>
      </c>
      <c r="G215" t="n">
        <v>138.073221</v>
      </c>
      <c r="H215" t="n">
        <v>328.210407</v>
      </c>
      <c r="I215" t="n">
        <v>321.185641</v>
      </c>
      <c r="J215" t="n">
        <v>337.306601</v>
      </c>
      <c r="K215" t="n">
        <v>317.068205</v>
      </c>
      <c r="L215" t="n">
        <v>461.958282</v>
      </c>
      <c r="M215" t="n">
        <v>461.958282</v>
      </c>
      <c r="N215" t="n">
        <v>461.958282</v>
      </c>
      <c r="O215" t="n">
        <v>304.533157</v>
      </c>
      <c r="P215" t="n">
        <v>108.42706</v>
      </c>
      <c r="Q215" t="n">
        <v>461.958282</v>
      </c>
      <c r="R215" t="n">
        <v>461.958282</v>
      </c>
      <c r="S215" t="n">
        <v>304.533157</v>
      </c>
      <c r="T215" t="n">
        <v>304.533157</v>
      </c>
      <c r="U215" t="n">
        <v>108.42706</v>
      </c>
      <c r="V215" t="n">
        <v>108.42706</v>
      </c>
      <c r="W215" t="n">
        <v>306.991308</v>
      </c>
      <c r="X215" t="n">
        <v>468.161038</v>
      </c>
    </row>
    <row r="216">
      <c r="A216" t="inlineStr">
        <is>
          <t>Octopus</t>
        </is>
      </c>
      <c r="B216" t="n">
        <v>3.8</v>
      </c>
      <c r="C216" t="n">
        <v>630.957344</v>
      </c>
      <c r="D216" t="inlineStr">
        <is>
          <t>Squid &amp; Octopus</t>
        </is>
      </c>
      <c r="E216" t="n">
        <v>327.790917</v>
      </c>
      <c r="F216" t="n">
        <v>160.967585</v>
      </c>
      <c r="G216" t="n">
        <v>47.060072</v>
      </c>
      <c r="H216" t="n">
        <v>88.258037</v>
      </c>
      <c r="I216" t="n">
        <v>77.00034599999999</v>
      </c>
      <c r="J216" t="n">
        <v>77.34926</v>
      </c>
      <c r="K216" t="n">
        <v>73.481797</v>
      </c>
      <c r="L216" t="n">
        <v>94.097724</v>
      </c>
      <c r="M216" t="n">
        <v>94.097724</v>
      </c>
      <c r="N216" t="n">
        <v>94.097724</v>
      </c>
      <c r="O216" t="n">
        <v>70.413555</v>
      </c>
      <c r="P216" t="n">
        <v>31.50612</v>
      </c>
      <c r="Q216" t="n">
        <v>94.097724</v>
      </c>
      <c r="R216" t="n">
        <v>94.097724</v>
      </c>
      <c r="S216" t="n">
        <v>70.413555</v>
      </c>
      <c r="T216" t="n">
        <v>70.413555</v>
      </c>
      <c r="U216" t="n">
        <v>31.50612</v>
      </c>
      <c r="V216" t="n">
        <v>31.50612</v>
      </c>
      <c r="W216" t="n">
        <v>71.270959</v>
      </c>
      <c r="X216" t="n">
        <v>97.60397</v>
      </c>
    </row>
    <row r="217">
      <c r="A217" t="inlineStr">
        <is>
          <t>Notoscopelus</t>
        </is>
      </c>
      <c r="B217" t="n">
        <v>3.15</v>
      </c>
      <c r="C217" t="n">
        <v>141.253754</v>
      </c>
      <c r="D217" t="inlineStr">
        <is>
          <t>Small pelagics</t>
        </is>
      </c>
      <c r="E217" t="n">
        <v>327.790917</v>
      </c>
      <c r="F217" t="n">
        <v>148.024912</v>
      </c>
      <c r="G217" t="n">
        <v>44.163101</v>
      </c>
      <c r="H217" t="n">
        <v>58.893278</v>
      </c>
      <c r="I217" t="n">
        <v>29.57747</v>
      </c>
      <c r="J217" t="n">
        <v>29.708263</v>
      </c>
      <c r="K217" t="n">
        <v>26.143271</v>
      </c>
      <c r="L217" t="n">
        <v>37.444032</v>
      </c>
      <c r="M217" t="n">
        <v>37.444032</v>
      </c>
      <c r="N217" t="n">
        <v>37.444032</v>
      </c>
      <c r="O217" t="n">
        <v>26.825837</v>
      </c>
      <c r="P217" t="n">
        <v>12.629082</v>
      </c>
      <c r="Q217" t="n">
        <v>37.444032</v>
      </c>
      <c r="R217" t="n">
        <v>37.444032</v>
      </c>
      <c r="S217" t="n">
        <v>26.825837</v>
      </c>
      <c r="T217" t="n">
        <v>26.825837</v>
      </c>
      <c r="U217" t="n">
        <v>12.629082</v>
      </c>
      <c r="V217" t="n">
        <v>12.629082</v>
      </c>
      <c r="W217" t="n">
        <v>26.643813</v>
      </c>
      <c r="X217" t="n">
        <v>39.607714</v>
      </c>
    </row>
    <row r="218">
      <c r="A218" t="inlineStr">
        <is>
          <t>Spisula</t>
        </is>
      </c>
      <c r="B218" t="n">
        <v>2</v>
      </c>
      <c r="C218" t="n">
        <v>10</v>
      </c>
      <c r="D218" t="inlineStr">
        <is>
          <t>Infauna</t>
        </is>
      </c>
      <c r="E218" t="n">
        <v>327.790917</v>
      </c>
      <c r="F218" t="n">
        <v>10</v>
      </c>
      <c r="G218" t="n">
        <v>5.727631</v>
      </c>
      <c r="H218" t="n">
        <v>5.721903</v>
      </c>
      <c r="I218" t="n">
        <v>4.44</v>
      </c>
      <c r="J218" t="n">
        <v>4.44</v>
      </c>
      <c r="K218" t="n">
        <v>3.996</v>
      </c>
      <c r="L218" t="n">
        <v>3.864936</v>
      </c>
      <c r="M218" t="n">
        <v>3.864936</v>
      </c>
      <c r="N218" t="n">
        <v>3.864936</v>
      </c>
      <c r="O218" t="n">
        <v>4.247203</v>
      </c>
      <c r="P218" t="n">
        <v>3.679841</v>
      </c>
      <c r="Q218" t="n">
        <v>3.864936</v>
      </c>
      <c r="R218" t="n">
        <v>3.864936</v>
      </c>
      <c r="S218" t="n">
        <v>4.247203</v>
      </c>
      <c r="T218" t="n">
        <v>4.247203</v>
      </c>
      <c r="U218" t="n">
        <v>3.679841</v>
      </c>
      <c r="V218" t="n">
        <v>3.679841</v>
      </c>
      <c r="W218" t="n">
        <v>4.187569</v>
      </c>
      <c r="X218" t="n">
        <v>3.928919</v>
      </c>
    </row>
    <row r="219">
      <c r="A219" t="inlineStr">
        <is>
          <t>Beryx</t>
        </is>
      </c>
      <c r="B219" t="n">
        <v>3.97</v>
      </c>
      <c r="C219" t="n">
        <v>933.2543010000001</v>
      </c>
      <c r="D219" t="inlineStr">
        <is>
          <t>Unresolved</t>
        </is>
      </c>
    </row>
    <row r="220">
      <c r="A220" t="inlineStr">
        <is>
          <t>Chelon labrosus</t>
        </is>
      </c>
      <c r="B220" t="n">
        <v>2.59</v>
      </c>
      <c r="C220" t="n">
        <v>38.904514</v>
      </c>
      <c r="D220" t="inlineStr">
        <is>
          <t>Large Dem. fish</t>
        </is>
      </c>
      <c r="E220" t="n">
        <v>327.790917</v>
      </c>
      <c r="F220" t="n">
        <v>665.972772</v>
      </c>
      <c r="G220" t="n">
        <v>138.073221</v>
      </c>
      <c r="H220" t="n">
        <v>328.210407</v>
      </c>
      <c r="I220" t="n">
        <v>321.185641</v>
      </c>
      <c r="J220" t="n">
        <v>337.306601</v>
      </c>
      <c r="K220" t="n">
        <v>317.068205</v>
      </c>
      <c r="L220" t="n">
        <v>461.958282</v>
      </c>
      <c r="M220" t="n">
        <v>461.958282</v>
      </c>
      <c r="N220" t="n">
        <v>461.958282</v>
      </c>
      <c r="O220" t="n">
        <v>304.533157</v>
      </c>
      <c r="P220" t="n">
        <v>108.42706</v>
      </c>
      <c r="Q220" t="n">
        <v>461.958282</v>
      </c>
      <c r="R220" t="n">
        <v>461.958282</v>
      </c>
      <c r="S220" t="n">
        <v>304.533157</v>
      </c>
      <c r="T220" t="n">
        <v>304.533157</v>
      </c>
      <c r="U220" t="n">
        <v>108.42706</v>
      </c>
      <c r="V220" t="n">
        <v>108.42706</v>
      </c>
      <c r="W220" t="n">
        <v>306.991308</v>
      </c>
      <c r="X220" t="n">
        <v>468.161038</v>
      </c>
    </row>
    <row r="221">
      <c r="A221" t="inlineStr">
        <is>
          <t>Myxine glutinosa</t>
        </is>
      </c>
      <c r="B221" t="n">
        <v>4.54</v>
      </c>
      <c r="C221" t="n">
        <v>3467.368505</v>
      </c>
      <c r="D221" t="inlineStr">
        <is>
          <t>Large Dem. fish</t>
        </is>
      </c>
      <c r="E221" t="n">
        <v>327.790917</v>
      </c>
      <c r="F221" t="n">
        <v>665.972772</v>
      </c>
      <c r="G221" t="n">
        <v>138.073221</v>
      </c>
      <c r="H221" t="n">
        <v>328.210407</v>
      </c>
      <c r="I221" t="n">
        <v>321.185641</v>
      </c>
      <c r="J221" t="n">
        <v>337.306601</v>
      </c>
      <c r="K221" t="n">
        <v>317.068205</v>
      </c>
      <c r="L221" t="n">
        <v>461.958282</v>
      </c>
      <c r="M221" t="n">
        <v>461.958282</v>
      </c>
      <c r="N221" t="n">
        <v>461.958282</v>
      </c>
      <c r="O221" t="n">
        <v>304.533157</v>
      </c>
      <c r="P221" t="n">
        <v>108.42706</v>
      </c>
      <c r="Q221" t="n">
        <v>461.958282</v>
      </c>
      <c r="R221" t="n">
        <v>461.958282</v>
      </c>
      <c r="S221" t="n">
        <v>304.533157</v>
      </c>
      <c r="T221" t="n">
        <v>304.533157</v>
      </c>
      <c r="U221" t="n">
        <v>108.42706</v>
      </c>
      <c r="V221" t="n">
        <v>108.42706</v>
      </c>
      <c r="W221" t="n">
        <v>306.991308</v>
      </c>
      <c r="X221" t="n">
        <v>468.161038</v>
      </c>
    </row>
    <row r="222">
      <c r="A222" t="inlineStr">
        <is>
          <t>Dipturus oxyrinchus</t>
        </is>
      </c>
      <c r="B222" t="n">
        <v>3.5</v>
      </c>
      <c r="C222" t="n">
        <v>316.227766</v>
      </c>
      <c r="D222" t="inlineStr">
        <is>
          <t>Sharks &amp; rays</t>
        </is>
      </c>
      <c r="E222" t="n">
        <v>327.790917</v>
      </c>
      <c r="F222" t="n">
        <v>522.28227</v>
      </c>
      <c r="G222" t="n">
        <v>114.842938</v>
      </c>
      <c r="H222" t="n">
        <v>326.928715</v>
      </c>
      <c r="I222" t="n">
        <v>732.255138</v>
      </c>
      <c r="J222" t="n">
        <v>761.48662</v>
      </c>
      <c r="K222" t="n">
        <v>327.439247</v>
      </c>
      <c r="L222" t="n">
        <v>1275.246638</v>
      </c>
      <c r="M222" t="n">
        <v>1275.246638</v>
      </c>
      <c r="N222" t="n">
        <v>1275.246638</v>
      </c>
      <c r="O222" t="n">
        <v>317.659957</v>
      </c>
      <c r="P222" t="n">
        <v>115.247551</v>
      </c>
      <c r="Q222" t="n">
        <v>1275.246638</v>
      </c>
      <c r="R222" t="n">
        <v>1275.246638</v>
      </c>
      <c r="S222" t="n">
        <v>317.659957</v>
      </c>
      <c r="T222" t="n">
        <v>317.659957</v>
      </c>
      <c r="U222" t="n">
        <v>115.247551</v>
      </c>
      <c r="V222" t="n">
        <v>115.247551</v>
      </c>
      <c r="W222" t="n">
        <v>327.701462</v>
      </c>
      <c r="X222" t="n">
        <v>1310.378519</v>
      </c>
    </row>
    <row r="223">
      <c r="A223" t="inlineStr">
        <is>
          <t>Centroselachus crepidater</t>
        </is>
      </c>
      <c r="D223" t="inlineStr">
        <is>
          <t>Sharks &amp; rays</t>
        </is>
      </c>
      <c r="E223" t="n">
        <v>327.790917</v>
      </c>
      <c r="F223" t="n">
        <v>522.28227</v>
      </c>
      <c r="G223" t="n">
        <v>114.842938</v>
      </c>
      <c r="H223" t="n">
        <v>326.928715</v>
      </c>
      <c r="I223" t="n">
        <v>732.255138</v>
      </c>
      <c r="J223" t="n">
        <v>761.48662</v>
      </c>
      <c r="K223" t="n">
        <v>327.439247</v>
      </c>
      <c r="L223" t="n">
        <v>1275.246638</v>
      </c>
      <c r="M223" t="n">
        <v>1275.246638</v>
      </c>
      <c r="N223" t="n">
        <v>1275.246638</v>
      </c>
      <c r="O223" t="n">
        <v>317.659957</v>
      </c>
      <c r="P223" t="n">
        <v>115.247551</v>
      </c>
      <c r="Q223" t="n">
        <v>1275.246638</v>
      </c>
      <c r="R223" t="n">
        <v>1275.246638</v>
      </c>
      <c r="S223" t="n">
        <v>317.659957</v>
      </c>
      <c r="T223" t="n">
        <v>317.659957</v>
      </c>
      <c r="U223" t="n">
        <v>115.247551</v>
      </c>
      <c r="V223" t="n">
        <v>115.247551</v>
      </c>
      <c r="W223" t="n">
        <v>327.701462</v>
      </c>
      <c r="X223" t="n">
        <v>1310.378519</v>
      </c>
    </row>
    <row r="224">
      <c r="A224" t="inlineStr">
        <is>
          <t>Miscellaneous diadromous fishes</t>
        </is>
      </c>
      <c r="D224" t="inlineStr">
        <is>
          <t>Unresolved</t>
        </is>
      </c>
    </row>
    <row r="225">
      <c r="A225" t="inlineStr">
        <is>
          <t>Dipturus nidarosiensis</t>
        </is>
      </c>
      <c r="D225" t="inlineStr">
        <is>
          <t>Sharks &amp; rays</t>
        </is>
      </c>
      <c r="E225" t="n">
        <v>327.790917</v>
      </c>
      <c r="F225" t="n">
        <v>522.28227</v>
      </c>
      <c r="G225" t="n">
        <v>114.842938</v>
      </c>
      <c r="H225" t="n">
        <v>326.928715</v>
      </c>
      <c r="I225" t="n">
        <v>732.255138</v>
      </c>
      <c r="J225" t="n">
        <v>761.48662</v>
      </c>
      <c r="K225" t="n">
        <v>327.439247</v>
      </c>
      <c r="L225" t="n">
        <v>1275.246638</v>
      </c>
      <c r="M225" t="n">
        <v>1275.246638</v>
      </c>
      <c r="N225" t="n">
        <v>1275.246638</v>
      </c>
      <c r="O225" t="n">
        <v>317.659957</v>
      </c>
      <c r="P225" t="n">
        <v>115.247551</v>
      </c>
      <c r="Q225" t="n">
        <v>1275.246638</v>
      </c>
      <c r="R225" t="n">
        <v>1275.246638</v>
      </c>
      <c r="S225" t="n">
        <v>317.659957</v>
      </c>
      <c r="T225" t="n">
        <v>317.659957</v>
      </c>
      <c r="U225" t="n">
        <v>115.247551</v>
      </c>
      <c r="V225" t="n">
        <v>115.247551</v>
      </c>
      <c r="W225" t="n">
        <v>327.701462</v>
      </c>
      <c r="X225" t="n">
        <v>1310.378519</v>
      </c>
    </row>
    <row r="226">
      <c r="A226" t="inlineStr">
        <is>
          <t>Scyliorhinidae</t>
        </is>
      </c>
      <c r="B226" t="n">
        <v>3.97</v>
      </c>
      <c r="C226" t="n">
        <v>933.2543010000001</v>
      </c>
      <c r="D226" t="inlineStr">
        <is>
          <t>Sharks &amp; rays</t>
        </is>
      </c>
      <c r="E226" t="n">
        <v>327.790917</v>
      </c>
      <c r="F226" t="n">
        <v>522.28227</v>
      </c>
      <c r="G226" t="n">
        <v>114.842938</v>
      </c>
      <c r="H226" t="n">
        <v>326.928715</v>
      </c>
      <c r="I226" t="n">
        <v>732.255138</v>
      </c>
      <c r="J226" t="n">
        <v>761.48662</v>
      </c>
      <c r="K226" t="n">
        <v>327.439247</v>
      </c>
      <c r="L226" t="n">
        <v>1275.246638</v>
      </c>
      <c r="M226" t="n">
        <v>1275.246638</v>
      </c>
      <c r="N226" t="n">
        <v>1275.246638</v>
      </c>
      <c r="O226" t="n">
        <v>317.659957</v>
      </c>
      <c r="P226" t="n">
        <v>115.247551</v>
      </c>
      <c r="Q226" t="n">
        <v>1275.246638</v>
      </c>
      <c r="R226" t="n">
        <v>1275.246638</v>
      </c>
      <c r="S226" t="n">
        <v>317.659957</v>
      </c>
      <c r="T226" t="n">
        <v>317.659957</v>
      </c>
      <c r="U226" t="n">
        <v>115.247551</v>
      </c>
      <c r="V226" t="n">
        <v>115.247551</v>
      </c>
      <c r="W226" t="n">
        <v>327.701462</v>
      </c>
      <c r="X226" t="n">
        <v>1310.378519</v>
      </c>
    </row>
    <row r="227">
      <c r="A227" t="inlineStr">
        <is>
          <t>Salmonidae</t>
        </is>
      </c>
      <c r="D227" t="inlineStr">
        <is>
          <t>Unresolved</t>
        </is>
      </c>
    </row>
    <row r="228">
      <c r="A228" t="inlineStr">
        <is>
          <t>Scyliorhinus stellaris</t>
        </is>
      </c>
      <c r="B228" t="n">
        <v>4.03</v>
      </c>
      <c r="C228" t="n">
        <v>1071.519305</v>
      </c>
      <c r="D228" t="inlineStr">
        <is>
          <t>Sharks &amp; rays</t>
        </is>
      </c>
      <c r="E228" t="n">
        <v>327.790917</v>
      </c>
      <c r="F228" t="n">
        <v>522.28227</v>
      </c>
      <c r="G228" t="n">
        <v>114.842938</v>
      </c>
      <c r="H228" t="n">
        <v>326.928715</v>
      </c>
      <c r="I228" t="n">
        <v>732.255138</v>
      </c>
      <c r="J228" t="n">
        <v>761.48662</v>
      </c>
      <c r="K228" t="n">
        <v>327.439247</v>
      </c>
      <c r="L228" t="n">
        <v>1275.246638</v>
      </c>
      <c r="M228" t="n">
        <v>1275.246638</v>
      </c>
      <c r="N228" t="n">
        <v>1275.246638</v>
      </c>
      <c r="O228" t="n">
        <v>317.659957</v>
      </c>
      <c r="P228" t="n">
        <v>115.247551</v>
      </c>
      <c r="Q228" t="n">
        <v>1275.246638</v>
      </c>
      <c r="R228" t="n">
        <v>1275.246638</v>
      </c>
      <c r="S228" t="n">
        <v>317.659957</v>
      </c>
      <c r="T228" t="n">
        <v>317.659957</v>
      </c>
      <c r="U228" t="n">
        <v>115.247551</v>
      </c>
      <c r="V228" t="n">
        <v>115.247551</v>
      </c>
      <c r="W228" t="n">
        <v>327.701462</v>
      </c>
      <c r="X228" t="n">
        <v>1310.378519</v>
      </c>
    </row>
    <row r="229">
      <c r="A229" t="inlineStr">
        <is>
          <t>Thunnus</t>
        </is>
      </c>
      <c r="D229" t="inlineStr">
        <is>
          <t>Unresolved</t>
        </is>
      </c>
    </row>
    <row r="230">
      <c r="A230" t="inlineStr">
        <is>
          <t>Isurus</t>
        </is>
      </c>
      <c r="D230" t="inlineStr">
        <is>
          <t>Sharks &amp; rays</t>
        </is>
      </c>
      <c r="E230" t="n">
        <v>327.790917</v>
      </c>
      <c r="F230" t="n">
        <v>522.28227</v>
      </c>
      <c r="G230" t="n">
        <v>114.842938</v>
      </c>
      <c r="H230" t="n">
        <v>326.928715</v>
      </c>
      <c r="I230" t="n">
        <v>732.255138</v>
      </c>
      <c r="J230" t="n">
        <v>761.48662</v>
      </c>
      <c r="K230" t="n">
        <v>327.439247</v>
      </c>
      <c r="L230" t="n">
        <v>1275.246638</v>
      </c>
      <c r="M230" t="n">
        <v>1275.246638</v>
      </c>
      <c r="N230" t="n">
        <v>1275.246638</v>
      </c>
      <c r="O230" t="n">
        <v>317.659957</v>
      </c>
      <c r="P230" t="n">
        <v>115.247551</v>
      </c>
      <c r="Q230" t="n">
        <v>1275.246638</v>
      </c>
      <c r="R230" t="n">
        <v>1275.246638</v>
      </c>
      <c r="S230" t="n">
        <v>317.659957</v>
      </c>
      <c r="T230" t="n">
        <v>317.659957</v>
      </c>
      <c r="U230" t="n">
        <v>115.247551</v>
      </c>
      <c r="V230" t="n">
        <v>115.247551</v>
      </c>
      <c r="W230" t="n">
        <v>327.701462</v>
      </c>
      <c r="X230" t="n">
        <v>1310.378519</v>
      </c>
    </row>
    <row r="231">
      <c r="A231" t="inlineStr">
        <is>
          <t>Cyprinidae</t>
        </is>
      </c>
      <c r="B231" t="n">
        <v>2.8</v>
      </c>
      <c r="C231" t="n">
        <v>63.095734</v>
      </c>
      <c r="D231" t="inlineStr">
        <is>
          <t>Unresolved</t>
        </is>
      </c>
    </row>
    <row r="232">
      <c r="A232" t="inlineStr">
        <is>
          <t>Euthynnus alletteratus</t>
        </is>
      </c>
      <c r="D232" t="inlineStr">
        <is>
          <t>Unresolved</t>
        </is>
      </c>
    </row>
    <row r="233">
      <c r="A233" t="inlineStr">
        <is>
          <t>Caproidae</t>
        </is>
      </c>
      <c r="B233" t="n">
        <v>3.54</v>
      </c>
      <c r="C233" t="n">
        <v>346.73685</v>
      </c>
      <c r="D233" t="inlineStr">
        <is>
          <t>Large Dem. fish</t>
        </is>
      </c>
      <c r="E233" t="n">
        <v>327.790917</v>
      </c>
      <c r="F233" t="n">
        <v>665.972772</v>
      </c>
      <c r="G233" t="n">
        <v>138.073221</v>
      </c>
      <c r="H233" t="n">
        <v>328.210407</v>
      </c>
      <c r="I233" t="n">
        <v>321.185641</v>
      </c>
      <c r="J233" t="n">
        <v>337.306601</v>
      </c>
      <c r="K233" t="n">
        <v>317.068205</v>
      </c>
      <c r="L233" t="n">
        <v>461.958282</v>
      </c>
      <c r="M233" t="n">
        <v>461.958282</v>
      </c>
      <c r="N233" t="n">
        <v>461.958282</v>
      </c>
      <c r="O233" t="n">
        <v>304.533157</v>
      </c>
      <c r="P233" t="n">
        <v>108.42706</v>
      </c>
      <c r="Q233" t="n">
        <v>461.958282</v>
      </c>
      <c r="R233" t="n">
        <v>461.958282</v>
      </c>
      <c r="S233" t="n">
        <v>304.533157</v>
      </c>
      <c r="T233" t="n">
        <v>304.533157</v>
      </c>
      <c r="U233" t="n">
        <v>108.42706</v>
      </c>
      <c r="V233" t="n">
        <v>108.42706</v>
      </c>
      <c r="W233" t="n">
        <v>306.991308</v>
      </c>
      <c r="X233" t="n">
        <v>468.161038</v>
      </c>
    </row>
    <row r="234">
      <c r="A234" t="inlineStr">
        <is>
          <t>Alosa</t>
        </is>
      </c>
      <c r="B234" t="n">
        <v>3.89</v>
      </c>
      <c r="C234" t="n">
        <v>776.247117</v>
      </c>
      <c r="D234" t="inlineStr">
        <is>
          <t>Large Pelagics</t>
        </is>
      </c>
      <c r="E234" t="n">
        <v>327.790917</v>
      </c>
      <c r="F234" t="n">
        <v>409.325031</v>
      </c>
      <c r="G234" t="n">
        <v>95.473426</v>
      </c>
      <c r="H234" t="n">
        <v>171.971164</v>
      </c>
      <c r="I234" t="n">
        <v>151.710468</v>
      </c>
      <c r="J234" t="n">
        <v>166.941311</v>
      </c>
      <c r="K234" t="n">
        <v>150.24718</v>
      </c>
      <c r="L234" t="n">
        <v>208.675232</v>
      </c>
      <c r="M234" t="n">
        <v>208.675232</v>
      </c>
      <c r="N234" t="n">
        <v>208.675232</v>
      </c>
      <c r="O234" t="n">
        <v>139.225251</v>
      </c>
      <c r="P234" t="n">
        <v>55.587338</v>
      </c>
      <c r="Q234" t="n">
        <v>208.675232</v>
      </c>
      <c r="R234" t="n">
        <v>208.675232</v>
      </c>
      <c r="S234" t="n">
        <v>139.225251</v>
      </c>
      <c r="T234" t="n">
        <v>139.225251</v>
      </c>
      <c r="U234" t="n">
        <v>55.587338</v>
      </c>
      <c r="V234" t="n">
        <v>55.587338</v>
      </c>
      <c r="W234" t="n">
        <v>138.889014</v>
      </c>
      <c r="X234" t="n">
        <v>209.882396</v>
      </c>
    </row>
    <row r="235">
      <c r="A235" t="inlineStr">
        <is>
          <t>Mora moro</t>
        </is>
      </c>
      <c r="B235" t="n">
        <v>3.75</v>
      </c>
      <c r="C235" t="n">
        <v>562.341325</v>
      </c>
      <c r="D235" t="inlineStr">
        <is>
          <t>Unresolved</t>
        </is>
      </c>
    </row>
    <row r="236">
      <c r="A236" t="inlineStr">
        <is>
          <t>Cepola macrophthalma</t>
        </is>
      </c>
      <c r="B236" t="n">
        <v>3.13</v>
      </c>
      <c r="C236" t="n">
        <v>134.896288</v>
      </c>
      <c r="D236" t="inlineStr">
        <is>
          <t>Large Dem. fish</t>
        </is>
      </c>
      <c r="E236" t="n">
        <v>327.790917</v>
      </c>
      <c r="F236" t="n">
        <v>665.972772</v>
      </c>
      <c r="G236" t="n">
        <v>138.073221</v>
      </c>
      <c r="H236" t="n">
        <v>328.210407</v>
      </c>
      <c r="I236" t="n">
        <v>321.185641</v>
      </c>
      <c r="J236" t="n">
        <v>337.306601</v>
      </c>
      <c r="K236" t="n">
        <v>317.068205</v>
      </c>
      <c r="L236" t="n">
        <v>461.958282</v>
      </c>
      <c r="M236" t="n">
        <v>461.958282</v>
      </c>
      <c r="N236" t="n">
        <v>461.958282</v>
      </c>
      <c r="O236" t="n">
        <v>304.533157</v>
      </c>
      <c r="P236" t="n">
        <v>108.42706</v>
      </c>
      <c r="Q236" t="n">
        <v>461.958282</v>
      </c>
      <c r="R236" t="n">
        <v>461.958282</v>
      </c>
      <c r="S236" t="n">
        <v>304.533157</v>
      </c>
      <c r="T236" t="n">
        <v>304.533157</v>
      </c>
      <c r="U236" t="n">
        <v>108.42706</v>
      </c>
      <c r="V236" t="n">
        <v>108.42706</v>
      </c>
      <c r="W236" t="n">
        <v>306.991308</v>
      </c>
      <c r="X236" t="n">
        <v>468.161038</v>
      </c>
    </row>
    <row r="237">
      <c r="A237" t="inlineStr">
        <is>
          <t>Serranidae</t>
        </is>
      </c>
      <c r="D237" t="inlineStr">
        <is>
          <t>Large Dem. fish</t>
        </is>
      </c>
      <c r="E237" t="n">
        <v>327.790917</v>
      </c>
      <c r="F237" t="n">
        <v>665.972772</v>
      </c>
      <c r="G237" t="n">
        <v>138.073221</v>
      </c>
      <c r="H237" t="n">
        <v>328.210407</v>
      </c>
      <c r="I237" t="n">
        <v>321.185641</v>
      </c>
      <c r="J237" t="n">
        <v>337.306601</v>
      </c>
      <c r="K237" t="n">
        <v>317.068205</v>
      </c>
      <c r="L237" t="n">
        <v>461.958282</v>
      </c>
      <c r="M237" t="n">
        <v>461.958282</v>
      </c>
      <c r="N237" t="n">
        <v>461.958282</v>
      </c>
      <c r="O237" t="n">
        <v>304.533157</v>
      </c>
      <c r="P237" t="n">
        <v>108.42706</v>
      </c>
      <c r="Q237" t="n">
        <v>461.958282</v>
      </c>
      <c r="R237" t="n">
        <v>461.958282</v>
      </c>
      <c r="S237" t="n">
        <v>304.533157</v>
      </c>
      <c r="T237" t="n">
        <v>304.533157</v>
      </c>
      <c r="U237" t="n">
        <v>108.42706</v>
      </c>
      <c r="V237" t="n">
        <v>108.42706</v>
      </c>
      <c r="W237" t="n">
        <v>306.991308</v>
      </c>
      <c r="X237" t="n">
        <v>468.161038</v>
      </c>
    </row>
    <row r="238">
      <c r="A238" t="inlineStr">
        <is>
          <t>Scorpaenidae</t>
        </is>
      </c>
      <c r="B238" t="n">
        <v>3.92</v>
      </c>
      <c r="C238" t="n">
        <v>831.763771</v>
      </c>
      <c r="D238" t="inlineStr">
        <is>
          <t>Large Dem. fish</t>
        </is>
      </c>
      <c r="E238" t="n">
        <v>327.790917</v>
      </c>
      <c r="F238" t="n">
        <v>665.972772</v>
      </c>
      <c r="G238" t="n">
        <v>138.073221</v>
      </c>
      <c r="H238" t="n">
        <v>328.210407</v>
      </c>
      <c r="I238" t="n">
        <v>321.185641</v>
      </c>
      <c r="J238" t="n">
        <v>337.306601</v>
      </c>
      <c r="K238" t="n">
        <v>317.068205</v>
      </c>
      <c r="L238" t="n">
        <v>461.958282</v>
      </c>
      <c r="M238" t="n">
        <v>461.958282</v>
      </c>
      <c r="N238" t="n">
        <v>461.958282</v>
      </c>
      <c r="O238" t="n">
        <v>304.533157</v>
      </c>
      <c r="P238" t="n">
        <v>108.42706</v>
      </c>
      <c r="Q238" t="n">
        <v>461.958282</v>
      </c>
      <c r="R238" t="n">
        <v>461.958282</v>
      </c>
      <c r="S238" t="n">
        <v>304.533157</v>
      </c>
      <c r="T238" t="n">
        <v>304.533157</v>
      </c>
      <c r="U238" t="n">
        <v>108.42706</v>
      </c>
      <c r="V238" t="n">
        <v>108.42706</v>
      </c>
      <c r="W238" t="n">
        <v>306.991308</v>
      </c>
      <c r="X238" t="n">
        <v>468.161038</v>
      </c>
    </row>
    <row r="239">
      <c r="A239" t="inlineStr">
        <is>
          <t>Labrus bergylta</t>
        </is>
      </c>
      <c r="B239" t="n">
        <v>3.2</v>
      </c>
      <c r="C239" t="n">
        <v>158.489319</v>
      </c>
      <c r="D239" t="inlineStr">
        <is>
          <t>Large Dem. fish</t>
        </is>
      </c>
      <c r="E239" t="n">
        <v>327.790917</v>
      </c>
      <c r="F239" t="n">
        <v>665.972772</v>
      </c>
      <c r="G239" t="n">
        <v>138.073221</v>
      </c>
      <c r="H239" t="n">
        <v>328.210407</v>
      </c>
      <c r="I239" t="n">
        <v>321.185641</v>
      </c>
      <c r="J239" t="n">
        <v>337.306601</v>
      </c>
      <c r="K239" t="n">
        <v>317.068205</v>
      </c>
      <c r="L239" t="n">
        <v>461.958282</v>
      </c>
      <c r="M239" t="n">
        <v>461.958282</v>
      </c>
      <c r="N239" t="n">
        <v>461.958282</v>
      </c>
      <c r="O239" t="n">
        <v>304.533157</v>
      </c>
      <c r="P239" t="n">
        <v>108.42706</v>
      </c>
      <c r="Q239" t="n">
        <v>461.958282</v>
      </c>
      <c r="R239" t="n">
        <v>461.958282</v>
      </c>
      <c r="S239" t="n">
        <v>304.533157</v>
      </c>
      <c r="T239" t="n">
        <v>304.533157</v>
      </c>
      <c r="U239" t="n">
        <v>108.42706</v>
      </c>
      <c r="V239" t="n">
        <v>108.42706</v>
      </c>
      <c r="W239" t="n">
        <v>306.991308</v>
      </c>
      <c r="X239" t="n">
        <v>468.161038</v>
      </c>
    </row>
    <row r="240">
      <c r="A240" t="inlineStr">
        <is>
          <t>Echinus esculentus</t>
        </is>
      </c>
      <c r="B240" t="n">
        <v>2</v>
      </c>
      <c r="C240" t="n">
        <v>10</v>
      </c>
      <c r="D240" t="inlineStr">
        <is>
          <t>Epifauna</t>
        </is>
      </c>
      <c r="E240" t="n">
        <v>327.790917</v>
      </c>
      <c r="F240" t="n">
        <v>28.994229</v>
      </c>
      <c r="G240" t="n">
        <v>12.834993</v>
      </c>
      <c r="H240" t="n">
        <v>17.954978</v>
      </c>
      <c r="I240" t="n">
        <v>11.374014</v>
      </c>
      <c r="J240" t="n">
        <v>11.374014</v>
      </c>
      <c r="K240" t="n">
        <v>10.009132</v>
      </c>
      <c r="L240" t="n">
        <v>10.950321</v>
      </c>
      <c r="M240" t="n">
        <v>10.950321</v>
      </c>
      <c r="N240" t="n">
        <v>10.950321</v>
      </c>
      <c r="O240" t="n">
        <v>10.041084</v>
      </c>
      <c r="P240" t="n">
        <v>6.846302</v>
      </c>
      <c r="Q240" t="n">
        <v>10.950321</v>
      </c>
      <c r="R240" t="n">
        <v>10.950321</v>
      </c>
      <c r="S240" t="n">
        <v>10.041084</v>
      </c>
      <c r="T240" t="n">
        <v>10.041084</v>
      </c>
      <c r="U240" t="n">
        <v>6.846302</v>
      </c>
      <c r="V240" t="n">
        <v>6.846302</v>
      </c>
      <c r="W240" t="n">
        <v>9.947857000000001</v>
      </c>
      <c r="X240" t="n">
        <v>10.794705</v>
      </c>
    </row>
    <row r="241">
      <c r="A241" t="inlineStr">
        <is>
          <t>Epigonus telescopus</t>
        </is>
      </c>
      <c r="B241" t="n">
        <v>3.59</v>
      </c>
      <c r="C241" t="n">
        <v>389.045145</v>
      </c>
      <c r="D241" t="inlineStr">
        <is>
          <t>Unresolved</t>
        </is>
      </c>
    </row>
    <row r="242">
      <c r="A242" t="inlineStr">
        <is>
          <t>Trachinus</t>
        </is>
      </c>
      <c r="B242" t="n">
        <v>3.95</v>
      </c>
      <c r="C242" t="n">
        <v>891.250938</v>
      </c>
      <c r="D242" t="inlineStr">
        <is>
          <t>Large Dem. fish</t>
        </is>
      </c>
      <c r="E242" t="n">
        <v>327.790917</v>
      </c>
      <c r="F242" t="n">
        <v>665.972772</v>
      </c>
      <c r="G242" t="n">
        <v>138.073221</v>
      </c>
      <c r="H242" t="n">
        <v>328.210407</v>
      </c>
      <c r="I242" t="n">
        <v>321.185641</v>
      </c>
      <c r="J242" t="n">
        <v>337.306601</v>
      </c>
      <c r="K242" t="n">
        <v>317.068205</v>
      </c>
      <c r="L242" t="n">
        <v>461.958282</v>
      </c>
      <c r="M242" t="n">
        <v>461.958282</v>
      </c>
      <c r="N242" t="n">
        <v>461.958282</v>
      </c>
      <c r="O242" t="n">
        <v>304.533157</v>
      </c>
      <c r="P242" t="n">
        <v>108.42706</v>
      </c>
      <c r="Q242" t="n">
        <v>461.958282</v>
      </c>
      <c r="R242" t="n">
        <v>461.958282</v>
      </c>
      <c r="S242" t="n">
        <v>304.533157</v>
      </c>
      <c r="T242" t="n">
        <v>304.533157</v>
      </c>
      <c r="U242" t="n">
        <v>108.42706</v>
      </c>
      <c r="V242" t="n">
        <v>108.42706</v>
      </c>
      <c r="W242" t="n">
        <v>306.991308</v>
      </c>
      <c r="X242" t="n">
        <v>468.161038</v>
      </c>
    </row>
    <row r="243">
      <c r="A243" t="inlineStr">
        <is>
          <t>Boops boops</t>
        </is>
      </c>
      <c r="B243" t="n">
        <v>2.79</v>
      </c>
      <c r="C243" t="n">
        <v>61.6595</v>
      </c>
      <c r="D243" t="inlineStr">
        <is>
          <t>Large Dem. fish</t>
        </is>
      </c>
      <c r="E243" t="n">
        <v>327.790917</v>
      </c>
      <c r="F243" t="n">
        <v>665.972772</v>
      </c>
      <c r="G243" t="n">
        <v>138.073221</v>
      </c>
      <c r="H243" t="n">
        <v>328.210407</v>
      </c>
      <c r="I243" t="n">
        <v>321.185641</v>
      </c>
      <c r="J243" t="n">
        <v>337.306601</v>
      </c>
      <c r="K243" t="n">
        <v>317.068205</v>
      </c>
      <c r="L243" t="n">
        <v>461.958282</v>
      </c>
      <c r="M243" t="n">
        <v>461.958282</v>
      </c>
      <c r="N243" t="n">
        <v>461.958282</v>
      </c>
      <c r="O243" t="n">
        <v>304.533157</v>
      </c>
      <c r="P243" t="n">
        <v>108.42706</v>
      </c>
      <c r="Q243" t="n">
        <v>461.958282</v>
      </c>
      <c r="R243" t="n">
        <v>461.958282</v>
      </c>
      <c r="S243" t="n">
        <v>304.533157</v>
      </c>
      <c r="T243" t="n">
        <v>304.533157</v>
      </c>
      <c r="U243" t="n">
        <v>108.42706</v>
      </c>
      <c r="V243" t="n">
        <v>108.42706</v>
      </c>
      <c r="W243" t="n">
        <v>306.991308</v>
      </c>
      <c r="X243" t="n">
        <v>468.161038</v>
      </c>
    </row>
    <row r="244">
      <c r="A244" t="inlineStr">
        <is>
          <t>Pandalidae</t>
        </is>
      </c>
      <c r="B244" t="n">
        <v>2.7</v>
      </c>
      <c r="C244" t="n">
        <v>50.118723</v>
      </c>
      <c r="D244" t="inlineStr">
        <is>
          <t>Crustacea</t>
        </is>
      </c>
      <c r="E244" t="n">
        <v>327.790917</v>
      </c>
      <c r="F244" t="n">
        <v>79.403785</v>
      </c>
      <c r="G244" t="n">
        <v>27.544327</v>
      </c>
      <c r="H244" t="n">
        <v>45.837748</v>
      </c>
      <c r="I244" t="n">
        <v>38.918317</v>
      </c>
      <c r="J244" t="n">
        <v>38.964516</v>
      </c>
      <c r="K244" t="n">
        <v>31.561258</v>
      </c>
      <c r="L244" t="n">
        <v>47.671907</v>
      </c>
      <c r="M244" t="n">
        <v>47.671907</v>
      </c>
      <c r="N244" t="n">
        <v>47.671907</v>
      </c>
      <c r="O244" t="n">
        <v>34.575524</v>
      </c>
      <c r="P244" t="n">
        <v>19.020842</v>
      </c>
      <c r="Q244" t="n">
        <v>47.671907</v>
      </c>
      <c r="R244" t="n">
        <v>47.671907</v>
      </c>
      <c r="S244" t="n">
        <v>34.575524</v>
      </c>
      <c r="T244" t="n">
        <v>34.575524</v>
      </c>
      <c r="U244" t="n">
        <v>19.020842</v>
      </c>
      <c r="V244" t="n">
        <v>19.020842</v>
      </c>
      <c r="W244" t="n">
        <v>34.954015</v>
      </c>
      <c r="X244" t="n">
        <v>47.765312</v>
      </c>
    </row>
    <row r="245">
      <c r="A245" t="inlineStr">
        <is>
          <t>Symphodus melops</t>
        </is>
      </c>
      <c r="B245" t="n">
        <v>3.38</v>
      </c>
      <c r="C245" t="n">
        <v>239.883292</v>
      </c>
      <c r="D245" t="inlineStr">
        <is>
          <t>Large Dem. fish</t>
        </is>
      </c>
      <c r="E245" t="n">
        <v>327.790917</v>
      </c>
      <c r="F245" t="n">
        <v>665.972772</v>
      </c>
      <c r="G245" t="n">
        <v>138.073221</v>
      </c>
      <c r="H245" t="n">
        <v>328.210407</v>
      </c>
      <c r="I245" t="n">
        <v>321.185641</v>
      </c>
      <c r="J245" t="n">
        <v>337.306601</v>
      </c>
      <c r="K245" t="n">
        <v>317.068205</v>
      </c>
      <c r="L245" t="n">
        <v>461.958282</v>
      </c>
      <c r="M245" t="n">
        <v>461.958282</v>
      </c>
      <c r="N245" t="n">
        <v>461.958282</v>
      </c>
      <c r="O245" t="n">
        <v>304.533157</v>
      </c>
      <c r="P245" t="n">
        <v>108.42706</v>
      </c>
      <c r="Q245" t="n">
        <v>461.958282</v>
      </c>
      <c r="R245" t="n">
        <v>461.958282</v>
      </c>
      <c r="S245" t="n">
        <v>304.533157</v>
      </c>
      <c r="T245" t="n">
        <v>304.533157</v>
      </c>
      <c r="U245" t="n">
        <v>108.42706</v>
      </c>
      <c r="V245" t="n">
        <v>108.42706</v>
      </c>
      <c r="W245" t="n">
        <v>306.991308</v>
      </c>
      <c r="X245" t="n">
        <v>468.161038</v>
      </c>
    </row>
    <row r="246">
      <c r="A246" t="inlineStr">
        <is>
          <t>Solea</t>
        </is>
      </c>
      <c r="B246" t="n">
        <v>3.13</v>
      </c>
      <c r="C246" t="n">
        <v>134.896288</v>
      </c>
      <c r="D246" t="inlineStr">
        <is>
          <t>Flatfishes</t>
        </is>
      </c>
      <c r="E246" t="n">
        <v>327.790917</v>
      </c>
      <c r="F246" t="n">
        <v>222.264878</v>
      </c>
      <c r="G246" t="n">
        <v>60.099306</v>
      </c>
      <c r="H246" t="n">
        <v>123.58001</v>
      </c>
      <c r="I246" t="n">
        <v>98.981683</v>
      </c>
      <c r="J246" t="n">
        <v>101.310188</v>
      </c>
      <c r="K246" t="n">
        <v>92.19227100000001</v>
      </c>
      <c r="L246" t="n">
        <v>114.167454</v>
      </c>
      <c r="M246" t="n">
        <v>114.167454</v>
      </c>
      <c r="N246" t="n">
        <v>114.167454</v>
      </c>
      <c r="O246" t="n">
        <v>82.349557</v>
      </c>
      <c r="P246" t="n">
        <v>38.756383</v>
      </c>
      <c r="Q246" t="n">
        <v>114.167454</v>
      </c>
      <c r="R246" t="n">
        <v>114.167454</v>
      </c>
      <c r="S246" t="n">
        <v>82.349557</v>
      </c>
      <c r="T246" t="n">
        <v>82.349557</v>
      </c>
      <c r="U246" t="n">
        <v>38.756383</v>
      </c>
      <c r="V246" t="n">
        <v>38.756383</v>
      </c>
      <c r="W246" t="n">
        <v>82.655303</v>
      </c>
      <c r="X246" t="n">
        <v>113.898256</v>
      </c>
    </row>
    <row r="247">
      <c r="A247" t="inlineStr">
        <is>
          <t>Mustelus asterias</t>
        </is>
      </c>
      <c r="B247" t="n">
        <v>3.62</v>
      </c>
      <c r="C247" t="n">
        <v>416.869383</v>
      </c>
      <c r="D247" t="inlineStr">
        <is>
          <t>Sharks &amp; rays</t>
        </is>
      </c>
      <c r="E247" t="n">
        <v>327.790917</v>
      </c>
      <c r="F247" t="n">
        <v>522.28227</v>
      </c>
      <c r="G247" t="n">
        <v>114.842938</v>
      </c>
      <c r="H247" t="n">
        <v>326.928715</v>
      </c>
      <c r="I247" t="n">
        <v>732.255138</v>
      </c>
      <c r="J247" t="n">
        <v>761.48662</v>
      </c>
      <c r="K247" t="n">
        <v>327.439247</v>
      </c>
      <c r="L247" t="n">
        <v>1275.246638</v>
      </c>
      <c r="M247" t="n">
        <v>1275.246638</v>
      </c>
      <c r="N247" t="n">
        <v>1275.246638</v>
      </c>
      <c r="O247" t="n">
        <v>317.659957</v>
      </c>
      <c r="P247" t="n">
        <v>115.247551</v>
      </c>
      <c r="Q247" t="n">
        <v>1275.246638</v>
      </c>
      <c r="R247" t="n">
        <v>1275.246638</v>
      </c>
      <c r="S247" t="n">
        <v>317.659957</v>
      </c>
      <c r="T247" t="n">
        <v>317.659957</v>
      </c>
      <c r="U247" t="n">
        <v>115.247551</v>
      </c>
      <c r="V247" t="n">
        <v>115.247551</v>
      </c>
      <c r="W247" t="n">
        <v>327.701462</v>
      </c>
      <c r="X247" t="n">
        <v>1310.378519</v>
      </c>
    </row>
    <row r="248">
      <c r="A248" t="inlineStr">
        <is>
          <t>Acipenseridae</t>
        </is>
      </c>
      <c r="D248" t="inlineStr">
        <is>
          <t>Unresolved</t>
        </is>
      </c>
    </row>
    <row r="249">
      <c r="A249" t="inlineStr">
        <is>
          <t>Alosa fallax</t>
        </is>
      </c>
      <c r="B249" t="n">
        <v>4.03</v>
      </c>
      <c r="C249" t="n">
        <v>1071.519305</v>
      </c>
      <c r="D249" t="inlineStr">
        <is>
          <t>Large Pelagics</t>
        </is>
      </c>
      <c r="E249" t="n">
        <v>327.790917</v>
      </c>
      <c r="F249" t="n">
        <v>409.325031</v>
      </c>
      <c r="G249" t="n">
        <v>95.473426</v>
      </c>
      <c r="H249" t="n">
        <v>171.971164</v>
      </c>
      <c r="I249" t="n">
        <v>151.710468</v>
      </c>
      <c r="J249" t="n">
        <v>166.941311</v>
      </c>
      <c r="K249" t="n">
        <v>150.24718</v>
      </c>
      <c r="L249" t="n">
        <v>208.675232</v>
      </c>
      <c r="M249" t="n">
        <v>208.675232</v>
      </c>
      <c r="N249" t="n">
        <v>208.675232</v>
      </c>
      <c r="O249" t="n">
        <v>139.225251</v>
      </c>
      <c r="P249" t="n">
        <v>55.587338</v>
      </c>
      <c r="Q249" t="n">
        <v>208.675232</v>
      </c>
      <c r="R249" t="n">
        <v>208.675232</v>
      </c>
      <c r="S249" t="n">
        <v>139.225251</v>
      </c>
      <c r="T249" t="n">
        <v>139.225251</v>
      </c>
      <c r="U249" t="n">
        <v>55.587338</v>
      </c>
      <c r="V249" t="n">
        <v>55.587338</v>
      </c>
      <c r="W249" t="n">
        <v>138.889014</v>
      </c>
      <c r="X249" t="n">
        <v>209.882396</v>
      </c>
    </row>
    <row r="250">
      <c r="A250" t="inlineStr">
        <is>
          <t>Ciliata mustela</t>
        </is>
      </c>
      <c r="D250" t="inlineStr">
        <is>
          <t>Large Dem. fish</t>
        </is>
      </c>
      <c r="E250" t="n">
        <v>327.790917</v>
      </c>
      <c r="F250" t="n">
        <v>665.972772</v>
      </c>
      <c r="G250" t="n">
        <v>138.073221</v>
      </c>
      <c r="H250" t="n">
        <v>328.210407</v>
      </c>
      <c r="I250" t="n">
        <v>321.185641</v>
      </c>
      <c r="J250" t="n">
        <v>337.306601</v>
      </c>
      <c r="K250" t="n">
        <v>317.068205</v>
      </c>
      <c r="L250" t="n">
        <v>461.958282</v>
      </c>
      <c r="M250" t="n">
        <v>461.958282</v>
      </c>
      <c r="N250" t="n">
        <v>461.958282</v>
      </c>
      <c r="O250" t="n">
        <v>304.533157</v>
      </c>
      <c r="P250" t="n">
        <v>108.42706</v>
      </c>
      <c r="Q250" t="n">
        <v>461.958282</v>
      </c>
      <c r="R250" t="n">
        <v>461.958282</v>
      </c>
      <c r="S250" t="n">
        <v>304.533157</v>
      </c>
      <c r="T250" t="n">
        <v>304.533157</v>
      </c>
      <c r="U250" t="n">
        <v>108.42706</v>
      </c>
      <c r="V250" t="n">
        <v>108.42706</v>
      </c>
      <c r="W250" t="n">
        <v>306.991308</v>
      </c>
      <c r="X250" t="n">
        <v>468.161038</v>
      </c>
    </row>
    <row r="251">
      <c r="A251" t="inlineStr">
        <is>
          <t>Gadiculus thori</t>
        </is>
      </c>
      <c r="B251" t="n">
        <v>3.51</v>
      </c>
      <c r="C251" t="n">
        <v>323.593657</v>
      </c>
      <c r="D251" t="inlineStr">
        <is>
          <t>Small pelagics</t>
        </is>
      </c>
      <c r="E251" t="n">
        <v>327.790917</v>
      </c>
      <c r="F251" t="n">
        <v>148.024912</v>
      </c>
      <c r="G251" t="n">
        <v>44.163101</v>
      </c>
      <c r="H251" t="n">
        <v>58.893278</v>
      </c>
      <c r="I251" t="n">
        <v>29.57747</v>
      </c>
      <c r="J251" t="n">
        <v>29.708263</v>
      </c>
      <c r="K251" t="n">
        <v>26.143271</v>
      </c>
      <c r="L251" t="n">
        <v>37.444032</v>
      </c>
      <c r="M251" t="n">
        <v>37.444032</v>
      </c>
      <c r="N251" t="n">
        <v>37.444032</v>
      </c>
      <c r="O251" t="n">
        <v>26.825837</v>
      </c>
      <c r="P251" t="n">
        <v>12.629082</v>
      </c>
      <c r="Q251" t="n">
        <v>37.444032</v>
      </c>
      <c r="R251" t="n">
        <v>37.444032</v>
      </c>
      <c r="S251" t="n">
        <v>26.825837</v>
      </c>
      <c r="T251" t="n">
        <v>26.825837</v>
      </c>
      <c r="U251" t="n">
        <v>12.629082</v>
      </c>
      <c r="V251" t="n">
        <v>12.629082</v>
      </c>
      <c r="W251" t="n">
        <v>26.643813</v>
      </c>
      <c r="X251" t="n">
        <v>39.607714</v>
      </c>
    </row>
    <row r="252">
      <c r="A252" t="inlineStr">
        <is>
          <t>Octopus vulgaris</t>
        </is>
      </c>
      <c r="B252" t="n">
        <v>3.6</v>
      </c>
      <c r="C252" t="n">
        <v>398.107171</v>
      </c>
      <c r="D252" t="inlineStr">
        <is>
          <t>Squid &amp; Octopus</t>
        </is>
      </c>
      <c r="E252" t="n">
        <v>327.790917</v>
      </c>
      <c r="F252" t="n">
        <v>160.967585</v>
      </c>
      <c r="G252" t="n">
        <v>47.060072</v>
      </c>
      <c r="H252" t="n">
        <v>88.258037</v>
      </c>
      <c r="I252" t="n">
        <v>77.00034599999999</v>
      </c>
      <c r="J252" t="n">
        <v>77.34926</v>
      </c>
      <c r="K252" t="n">
        <v>73.481797</v>
      </c>
      <c r="L252" t="n">
        <v>94.097724</v>
      </c>
      <c r="M252" t="n">
        <v>94.097724</v>
      </c>
      <c r="N252" t="n">
        <v>94.097724</v>
      </c>
      <c r="O252" t="n">
        <v>70.413555</v>
      </c>
      <c r="P252" t="n">
        <v>31.50612</v>
      </c>
      <c r="Q252" t="n">
        <v>94.097724</v>
      </c>
      <c r="R252" t="n">
        <v>94.097724</v>
      </c>
      <c r="S252" t="n">
        <v>70.413555</v>
      </c>
      <c r="T252" t="n">
        <v>70.413555</v>
      </c>
      <c r="U252" t="n">
        <v>31.50612</v>
      </c>
      <c r="V252" t="n">
        <v>31.50612</v>
      </c>
      <c r="W252" t="n">
        <v>71.270959</v>
      </c>
      <c r="X252" t="n">
        <v>97.60397</v>
      </c>
    </row>
    <row r="253">
      <c r="A253" t="inlineStr">
        <is>
          <t>Isurus oxyrinchus</t>
        </is>
      </c>
      <c r="B253" t="n">
        <v>4.5</v>
      </c>
      <c r="C253" t="n">
        <v>3162.27766</v>
      </c>
      <c r="D253" t="inlineStr">
        <is>
          <t>Sharks &amp; rays</t>
        </is>
      </c>
      <c r="E253" t="n">
        <v>327.790917</v>
      </c>
      <c r="F253" t="n">
        <v>522.28227</v>
      </c>
      <c r="G253" t="n">
        <v>114.842938</v>
      </c>
      <c r="H253" t="n">
        <v>326.928715</v>
      </c>
      <c r="I253" t="n">
        <v>732.255138</v>
      </c>
      <c r="J253" t="n">
        <v>761.48662</v>
      </c>
      <c r="K253" t="n">
        <v>327.439247</v>
      </c>
      <c r="L253" t="n">
        <v>1275.246638</v>
      </c>
      <c r="M253" t="n">
        <v>1275.246638</v>
      </c>
      <c r="N253" t="n">
        <v>1275.246638</v>
      </c>
      <c r="O253" t="n">
        <v>317.659957</v>
      </c>
      <c r="P253" t="n">
        <v>115.247551</v>
      </c>
      <c r="Q253" t="n">
        <v>1275.246638</v>
      </c>
      <c r="R253" t="n">
        <v>1275.246638</v>
      </c>
      <c r="S253" t="n">
        <v>317.659957</v>
      </c>
      <c r="T253" t="n">
        <v>317.659957</v>
      </c>
      <c r="U253" t="n">
        <v>115.247551</v>
      </c>
      <c r="V253" t="n">
        <v>115.247551</v>
      </c>
      <c r="W253" t="n">
        <v>327.701462</v>
      </c>
      <c r="X253" t="n">
        <v>1310.378519</v>
      </c>
    </row>
    <row r="254">
      <c r="A254" t="inlineStr">
        <is>
          <t>Ctenolabrus rupestris</t>
        </is>
      </c>
      <c r="B254" t="n">
        <v>3.58</v>
      </c>
      <c r="C254" t="n">
        <v>380.189396</v>
      </c>
      <c r="D254" t="inlineStr">
        <is>
          <t>Large Dem. fish</t>
        </is>
      </c>
      <c r="E254" t="n">
        <v>327.790917</v>
      </c>
      <c r="F254" t="n">
        <v>665.972772</v>
      </c>
      <c r="G254" t="n">
        <v>138.073221</v>
      </c>
      <c r="H254" t="n">
        <v>328.210407</v>
      </c>
      <c r="I254" t="n">
        <v>321.185641</v>
      </c>
      <c r="J254" t="n">
        <v>337.306601</v>
      </c>
      <c r="K254" t="n">
        <v>317.068205</v>
      </c>
      <c r="L254" t="n">
        <v>461.958282</v>
      </c>
      <c r="M254" t="n">
        <v>461.958282</v>
      </c>
      <c r="N254" t="n">
        <v>461.958282</v>
      </c>
      <c r="O254" t="n">
        <v>304.533157</v>
      </c>
      <c r="P254" t="n">
        <v>108.42706</v>
      </c>
      <c r="Q254" t="n">
        <v>461.958282</v>
      </c>
      <c r="R254" t="n">
        <v>461.958282</v>
      </c>
      <c r="S254" t="n">
        <v>304.533157</v>
      </c>
      <c r="T254" t="n">
        <v>304.533157</v>
      </c>
      <c r="U254" t="n">
        <v>108.42706</v>
      </c>
      <c r="V254" t="n">
        <v>108.42706</v>
      </c>
      <c r="W254" t="n">
        <v>306.991308</v>
      </c>
      <c r="X254" t="n">
        <v>468.161038</v>
      </c>
    </row>
    <row r="255">
      <c r="A255" t="inlineStr">
        <is>
          <t>Atherinidae</t>
        </is>
      </c>
      <c r="B255" t="n">
        <v>3.2</v>
      </c>
      <c r="C255" t="n">
        <v>158.489319</v>
      </c>
      <c r="D255" t="inlineStr">
        <is>
          <t>Small pelagics</t>
        </is>
      </c>
      <c r="E255" t="n">
        <v>327.790917</v>
      </c>
      <c r="F255" t="n">
        <v>148.024912</v>
      </c>
      <c r="G255" t="n">
        <v>44.163101</v>
      </c>
      <c r="H255" t="n">
        <v>58.893278</v>
      </c>
      <c r="I255" t="n">
        <v>29.57747</v>
      </c>
      <c r="J255" t="n">
        <v>29.708263</v>
      </c>
      <c r="K255" t="n">
        <v>26.143271</v>
      </c>
      <c r="L255" t="n">
        <v>37.444032</v>
      </c>
      <c r="M255" t="n">
        <v>37.444032</v>
      </c>
      <c r="N255" t="n">
        <v>37.444032</v>
      </c>
      <c r="O255" t="n">
        <v>26.825837</v>
      </c>
      <c r="P255" t="n">
        <v>12.629082</v>
      </c>
      <c r="Q255" t="n">
        <v>37.444032</v>
      </c>
      <c r="R255" t="n">
        <v>37.444032</v>
      </c>
      <c r="S255" t="n">
        <v>26.825837</v>
      </c>
      <c r="T255" t="n">
        <v>26.825837</v>
      </c>
      <c r="U255" t="n">
        <v>12.629082</v>
      </c>
      <c r="V255" t="n">
        <v>12.629082</v>
      </c>
      <c r="W255" t="n">
        <v>26.643813</v>
      </c>
      <c r="X255" t="n">
        <v>39.607714</v>
      </c>
    </row>
    <row r="256">
      <c r="A256" t="inlineStr">
        <is>
          <t>Microchirus</t>
        </is>
      </c>
      <c r="D256" t="inlineStr">
        <is>
          <t>Flatfishes</t>
        </is>
      </c>
      <c r="E256" t="n">
        <v>327.790917</v>
      </c>
      <c r="F256" t="n">
        <v>222.264878</v>
      </c>
      <c r="G256" t="n">
        <v>60.099306</v>
      </c>
      <c r="H256" t="n">
        <v>123.58001</v>
      </c>
      <c r="I256" t="n">
        <v>98.981683</v>
      </c>
      <c r="J256" t="n">
        <v>101.310188</v>
      </c>
      <c r="K256" t="n">
        <v>92.19227100000001</v>
      </c>
      <c r="L256" t="n">
        <v>114.167454</v>
      </c>
      <c r="M256" t="n">
        <v>114.167454</v>
      </c>
      <c r="N256" t="n">
        <v>114.167454</v>
      </c>
      <c r="O256" t="n">
        <v>82.349557</v>
      </c>
      <c r="P256" t="n">
        <v>38.756383</v>
      </c>
      <c r="Q256" t="n">
        <v>114.167454</v>
      </c>
      <c r="R256" t="n">
        <v>114.167454</v>
      </c>
      <c r="S256" t="n">
        <v>82.349557</v>
      </c>
      <c r="T256" t="n">
        <v>82.349557</v>
      </c>
      <c r="U256" t="n">
        <v>38.756383</v>
      </c>
      <c r="V256" t="n">
        <v>38.756383</v>
      </c>
      <c r="W256" t="n">
        <v>82.655303</v>
      </c>
      <c r="X256" t="n">
        <v>113.898256</v>
      </c>
    </row>
    <row r="257">
      <c r="A257" t="inlineStr">
        <is>
          <t>Trachipterus</t>
        </is>
      </c>
      <c r="B257" t="n">
        <v>4.5</v>
      </c>
      <c r="C257" t="n">
        <v>3162.27766</v>
      </c>
      <c r="D257" t="inlineStr">
        <is>
          <t>Unresolved</t>
        </is>
      </c>
    </row>
    <row r="258">
      <c r="A258" t="inlineStr">
        <is>
          <t>Todarodes sagittatus</t>
        </is>
      </c>
      <c r="B258" t="n">
        <v>4.01</v>
      </c>
      <c r="C258" t="n">
        <v>1023.292992</v>
      </c>
      <c r="D258" t="inlineStr">
        <is>
          <t>Squid &amp; Octopus</t>
        </is>
      </c>
      <c r="E258" t="n">
        <v>327.790917</v>
      </c>
      <c r="F258" t="n">
        <v>160.967585</v>
      </c>
      <c r="G258" t="n">
        <v>47.060072</v>
      </c>
      <c r="H258" t="n">
        <v>88.258037</v>
      </c>
      <c r="I258" t="n">
        <v>77.00034599999999</v>
      </c>
      <c r="J258" t="n">
        <v>77.34926</v>
      </c>
      <c r="K258" t="n">
        <v>73.481797</v>
      </c>
      <c r="L258" t="n">
        <v>94.097724</v>
      </c>
      <c r="M258" t="n">
        <v>94.097724</v>
      </c>
      <c r="N258" t="n">
        <v>94.097724</v>
      </c>
      <c r="O258" t="n">
        <v>70.413555</v>
      </c>
      <c r="P258" t="n">
        <v>31.50612</v>
      </c>
      <c r="Q258" t="n">
        <v>94.097724</v>
      </c>
      <c r="R258" t="n">
        <v>94.097724</v>
      </c>
      <c r="S258" t="n">
        <v>70.413555</v>
      </c>
      <c r="T258" t="n">
        <v>70.413555</v>
      </c>
      <c r="U258" t="n">
        <v>31.50612</v>
      </c>
      <c r="V258" t="n">
        <v>31.50612</v>
      </c>
      <c r="W258" t="n">
        <v>71.270959</v>
      </c>
      <c r="X258" t="n">
        <v>97.60397</v>
      </c>
    </row>
    <row r="259">
      <c r="A259" t="inlineStr">
        <is>
          <t>Hydrolagus</t>
        </is>
      </c>
      <c r="B259" t="n">
        <v>3.51</v>
      </c>
      <c r="C259" t="n">
        <v>323.593657</v>
      </c>
      <c r="D259" t="inlineStr">
        <is>
          <t>Unresolved</t>
        </is>
      </c>
    </row>
    <row r="260">
      <c r="A260" t="inlineStr">
        <is>
          <t>Glycymeris glycymeris</t>
        </is>
      </c>
      <c r="B260" t="n">
        <v>2</v>
      </c>
      <c r="C260" t="n">
        <v>10</v>
      </c>
      <c r="D260" t="inlineStr">
        <is>
          <t>Infauna</t>
        </is>
      </c>
      <c r="E260" t="n">
        <v>327.790917</v>
      </c>
      <c r="F260" t="n">
        <v>10</v>
      </c>
      <c r="G260" t="n">
        <v>5.727631</v>
      </c>
      <c r="H260" t="n">
        <v>5.721903</v>
      </c>
      <c r="I260" t="n">
        <v>4.44</v>
      </c>
      <c r="J260" t="n">
        <v>4.44</v>
      </c>
      <c r="K260" t="n">
        <v>3.996</v>
      </c>
      <c r="L260" t="n">
        <v>3.864936</v>
      </c>
      <c r="M260" t="n">
        <v>3.864936</v>
      </c>
      <c r="N260" t="n">
        <v>3.864936</v>
      </c>
      <c r="O260" t="n">
        <v>4.247203</v>
      </c>
      <c r="P260" t="n">
        <v>3.679841</v>
      </c>
      <c r="Q260" t="n">
        <v>3.864936</v>
      </c>
      <c r="R260" t="n">
        <v>3.864936</v>
      </c>
      <c r="S260" t="n">
        <v>4.247203</v>
      </c>
      <c r="T260" t="n">
        <v>4.247203</v>
      </c>
      <c r="U260" t="n">
        <v>3.679841</v>
      </c>
      <c r="V260" t="n">
        <v>3.679841</v>
      </c>
      <c r="W260" t="n">
        <v>4.187569</v>
      </c>
      <c r="X260" t="n">
        <v>3.928919</v>
      </c>
    </row>
    <row r="261">
      <c r="A261" t="inlineStr">
        <is>
          <t>Thunnus albacares</t>
        </is>
      </c>
      <c r="D261" t="inlineStr">
        <is>
          <t>Unresolved</t>
        </is>
      </c>
    </row>
    <row r="262">
      <c r="A262" t="inlineStr">
        <is>
          <t>Cyprinus carpio</t>
        </is>
      </c>
      <c r="D262" t="inlineStr">
        <is>
          <t>Unresolved</t>
        </is>
      </c>
    </row>
    <row r="263">
      <c r="A263" t="inlineStr">
        <is>
          <t>Peristediidae</t>
        </is>
      </c>
      <c r="D263" t="inlineStr">
        <is>
          <t>Large Dem. fish</t>
        </is>
      </c>
      <c r="E263" t="n">
        <v>327.790917</v>
      </c>
      <c r="F263" t="n">
        <v>665.972772</v>
      </c>
      <c r="G263" t="n">
        <v>138.073221</v>
      </c>
      <c r="H263" t="n">
        <v>328.210407</v>
      </c>
      <c r="I263" t="n">
        <v>321.185641</v>
      </c>
      <c r="J263" t="n">
        <v>337.306601</v>
      </c>
      <c r="K263" t="n">
        <v>317.068205</v>
      </c>
      <c r="L263" t="n">
        <v>461.958282</v>
      </c>
      <c r="M263" t="n">
        <v>461.958282</v>
      </c>
      <c r="N263" t="n">
        <v>461.958282</v>
      </c>
      <c r="O263" t="n">
        <v>304.533157</v>
      </c>
      <c r="P263" t="n">
        <v>108.42706</v>
      </c>
      <c r="Q263" t="n">
        <v>461.958282</v>
      </c>
      <c r="R263" t="n">
        <v>461.958282</v>
      </c>
      <c r="S263" t="n">
        <v>304.533157</v>
      </c>
      <c r="T263" t="n">
        <v>304.533157</v>
      </c>
      <c r="U263" t="n">
        <v>108.42706</v>
      </c>
      <c r="V263" t="n">
        <v>108.42706</v>
      </c>
      <c r="W263" t="n">
        <v>306.991308</v>
      </c>
      <c r="X263" t="n">
        <v>468.161038</v>
      </c>
    </row>
    <row r="264">
      <c r="A264" t="inlineStr">
        <is>
          <t>Mercenaria mercenaria</t>
        </is>
      </c>
      <c r="B264" t="n">
        <v>2</v>
      </c>
      <c r="C264" t="n">
        <v>10</v>
      </c>
      <c r="D264" t="inlineStr">
        <is>
          <t>Infauna</t>
        </is>
      </c>
      <c r="E264" t="n">
        <v>327.790917</v>
      </c>
      <c r="F264" t="n">
        <v>10</v>
      </c>
      <c r="G264" t="n">
        <v>5.727631</v>
      </c>
      <c r="H264" t="n">
        <v>5.721903</v>
      </c>
      <c r="I264" t="n">
        <v>4.44</v>
      </c>
      <c r="J264" t="n">
        <v>4.44</v>
      </c>
      <c r="K264" t="n">
        <v>3.996</v>
      </c>
      <c r="L264" t="n">
        <v>3.864936</v>
      </c>
      <c r="M264" t="n">
        <v>3.864936</v>
      </c>
      <c r="N264" t="n">
        <v>3.864936</v>
      </c>
      <c r="O264" t="n">
        <v>4.247203</v>
      </c>
      <c r="P264" t="n">
        <v>3.679841</v>
      </c>
      <c r="Q264" t="n">
        <v>3.864936</v>
      </c>
      <c r="R264" t="n">
        <v>3.864936</v>
      </c>
      <c r="S264" t="n">
        <v>4.247203</v>
      </c>
      <c r="T264" t="n">
        <v>4.247203</v>
      </c>
      <c r="U264" t="n">
        <v>3.679841</v>
      </c>
      <c r="V264" t="n">
        <v>3.679841</v>
      </c>
      <c r="W264" t="n">
        <v>4.187569</v>
      </c>
      <c r="X264" t="n">
        <v>3.928919</v>
      </c>
    </row>
    <row r="265">
      <c r="A265" t="inlineStr">
        <is>
          <t>Scorpaena</t>
        </is>
      </c>
      <c r="B265" t="n">
        <v>3.87</v>
      </c>
      <c r="C265" t="n">
        <v>741.310241</v>
      </c>
      <c r="D265" t="inlineStr">
        <is>
          <t>Large Dem. fish</t>
        </is>
      </c>
      <c r="E265" t="n">
        <v>327.790917</v>
      </c>
      <c r="F265" t="n">
        <v>665.972772</v>
      </c>
      <c r="G265" t="n">
        <v>138.073221</v>
      </c>
      <c r="H265" t="n">
        <v>328.210407</v>
      </c>
      <c r="I265" t="n">
        <v>321.185641</v>
      </c>
      <c r="J265" t="n">
        <v>337.306601</v>
      </c>
      <c r="K265" t="n">
        <v>317.068205</v>
      </c>
      <c r="L265" t="n">
        <v>461.958282</v>
      </c>
      <c r="M265" t="n">
        <v>461.958282</v>
      </c>
      <c r="N265" t="n">
        <v>461.958282</v>
      </c>
      <c r="O265" t="n">
        <v>304.533157</v>
      </c>
      <c r="P265" t="n">
        <v>108.42706</v>
      </c>
      <c r="Q265" t="n">
        <v>461.958282</v>
      </c>
      <c r="R265" t="n">
        <v>461.958282</v>
      </c>
      <c r="S265" t="n">
        <v>304.533157</v>
      </c>
      <c r="T265" t="n">
        <v>304.533157</v>
      </c>
      <c r="U265" t="n">
        <v>108.42706</v>
      </c>
      <c r="V265" t="n">
        <v>108.42706</v>
      </c>
      <c r="W265" t="n">
        <v>306.991308</v>
      </c>
      <c r="X265" t="n">
        <v>468.161038</v>
      </c>
    </row>
    <row r="266">
      <c r="A266" t="inlineStr">
        <is>
          <t>Anomura</t>
        </is>
      </c>
      <c r="B266" t="n">
        <v>3.1</v>
      </c>
      <c r="C266" t="n">
        <v>125.892541</v>
      </c>
      <c r="D266" t="inlineStr">
        <is>
          <t>Crustacea</t>
        </is>
      </c>
      <c r="E266" t="n">
        <v>327.790917</v>
      </c>
      <c r="F266" t="n">
        <v>79.403785</v>
      </c>
      <c r="G266" t="n">
        <v>27.544327</v>
      </c>
      <c r="H266" t="n">
        <v>45.837748</v>
      </c>
      <c r="I266" t="n">
        <v>38.918317</v>
      </c>
      <c r="J266" t="n">
        <v>38.964516</v>
      </c>
      <c r="K266" t="n">
        <v>31.561258</v>
      </c>
      <c r="L266" t="n">
        <v>47.671907</v>
      </c>
      <c r="M266" t="n">
        <v>47.671907</v>
      </c>
      <c r="N266" t="n">
        <v>47.671907</v>
      </c>
      <c r="O266" t="n">
        <v>34.575524</v>
      </c>
      <c r="P266" t="n">
        <v>19.020842</v>
      </c>
      <c r="Q266" t="n">
        <v>47.671907</v>
      </c>
      <c r="R266" t="n">
        <v>47.671907</v>
      </c>
      <c r="S266" t="n">
        <v>34.575524</v>
      </c>
      <c r="T266" t="n">
        <v>34.575524</v>
      </c>
      <c r="U266" t="n">
        <v>19.020842</v>
      </c>
      <c r="V266" t="n">
        <v>19.020842</v>
      </c>
      <c r="W266" t="n">
        <v>34.954015</v>
      </c>
      <c r="X266" t="n">
        <v>47.765312</v>
      </c>
    </row>
    <row r="267">
      <c r="A267" t="inlineStr">
        <is>
          <t>Lithodidae</t>
        </is>
      </c>
      <c r="D267" t="inlineStr">
        <is>
          <t>Crustacea</t>
        </is>
      </c>
      <c r="E267" t="n">
        <v>327.790917</v>
      </c>
      <c r="F267" t="n">
        <v>79.403785</v>
      </c>
      <c r="G267" t="n">
        <v>27.544327</v>
      </c>
      <c r="H267" t="n">
        <v>45.837748</v>
      </c>
      <c r="I267" t="n">
        <v>38.918317</v>
      </c>
      <c r="J267" t="n">
        <v>38.964516</v>
      </c>
      <c r="K267" t="n">
        <v>31.561258</v>
      </c>
      <c r="L267" t="n">
        <v>47.671907</v>
      </c>
      <c r="M267" t="n">
        <v>47.671907</v>
      </c>
      <c r="N267" t="n">
        <v>47.671907</v>
      </c>
      <c r="O267" t="n">
        <v>34.575524</v>
      </c>
      <c r="P267" t="n">
        <v>19.020842</v>
      </c>
      <c r="Q267" t="n">
        <v>47.671907</v>
      </c>
      <c r="R267" t="n">
        <v>47.671907</v>
      </c>
      <c r="S267" t="n">
        <v>34.575524</v>
      </c>
      <c r="T267" t="n">
        <v>34.575524</v>
      </c>
      <c r="U267" t="n">
        <v>19.020842</v>
      </c>
      <c r="V267" t="n">
        <v>19.020842</v>
      </c>
      <c r="W267" t="n">
        <v>34.954015</v>
      </c>
      <c r="X267" t="n">
        <v>47.765312</v>
      </c>
    </row>
    <row r="268">
      <c r="A268" t="inlineStr">
        <is>
          <t>Dalatias licha</t>
        </is>
      </c>
      <c r="D268" t="inlineStr">
        <is>
          <t>Sharks &amp; rays</t>
        </is>
      </c>
      <c r="E268" t="n">
        <v>327.790917</v>
      </c>
      <c r="F268" t="n">
        <v>522.28227</v>
      </c>
      <c r="G268" t="n">
        <v>114.842938</v>
      </c>
      <c r="H268" t="n">
        <v>326.928715</v>
      </c>
      <c r="I268" t="n">
        <v>732.255138</v>
      </c>
      <c r="J268" t="n">
        <v>761.48662</v>
      </c>
      <c r="K268" t="n">
        <v>327.439247</v>
      </c>
      <c r="L268" t="n">
        <v>1275.246638</v>
      </c>
      <c r="M268" t="n">
        <v>1275.246638</v>
      </c>
      <c r="N268" t="n">
        <v>1275.246638</v>
      </c>
      <c r="O268" t="n">
        <v>317.659957</v>
      </c>
      <c r="P268" t="n">
        <v>115.247551</v>
      </c>
      <c r="Q268" t="n">
        <v>1275.246638</v>
      </c>
      <c r="R268" t="n">
        <v>1275.246638</v>
      </c>
      <c r="S268" t="n">
        <v>317.659957</v>
      </c>
      <c r="T268" t="n">
        <v>317.659957</v>
      </c>
      <c r="U268" t="n">
        <v>115.247551</v>
      </c>
      <c r="V268" t="n">
        <v>115.247551</v>
      </c>
      <c r="W268" t="n">
        <v>327.701462</v>
      </c>
      <c r="X268" t="n">
        <v>1310.378519</v>
      </c>
    </row>
    <row r="269">
      <c r="A269" t="inlineStr">
        <is>
          <t>Microchirus variegatus</t>
        </is>
      </c>
      <c r="B269" t="n">
        <v>3.28</v>
      </c>
      <c r="C269" t="n">
        <v>190.546072</v>
      </c>
      <c r="D269" t="inlineStr">
        <is>
          <t>Flatfishes</t>
        </is>
      </c>
      <c r="E269" t="n">
        <v>327.790917</v>
      </c>
      <c r="F269" t="n">
        <v>222.264878</v>
      </c>
      <c r="G269" t="n">
        <v>60.099306</v>
      </c>
      <c r="H269" t="n">
        <v>123.58001</v>
      </c>
      <c r="I269" t="n">
        <v>98.981683</v>
      </c>
      <c r="J269" t="n">
        <v>101.310188</v>
      </c>
      <c r="K269" t="n">
        <v>92.19227100000001</v>
      </c>
      <c r="L269" t="n">
        <v>114.167454</v>
      </c>
      <c r="M269" t="n">
        <v>114.167454</v>
      </c>
      <c r="N269" t="n">
        <v>114.167454</v>
      </c>
      <c r="O269" t="n">
        <v>82.349557</v>
      </c>
      <c r="P269" t="n">
        <v>38.756383</v>
      </c>
      <c r="Q269" t="n">
        <v>114.167454</v>
      </c>
      <c r="R269" t="n">
        <v>114.167454</v>
      </c>
      <c r="S269" t="n">
        <v>82.349557</v>
      </c>
      <c r="T269" t="n">
        <v>82.349557</v>
      </c>
      <c r="U269" t="n">
        <v>38.756383</v>
      </c>
      <c r="V269" t="n">
        <v>38.756383</v>
      </c>
      <c r="W269" t="n">
        <v>82.655303</v>
      </c>
      <c r="X269" t="n">
        <v>113.898256</v>
      </c>
    </row>
    <row r="270">
      <c r="A270" t="inlineStr">
        <is>
          <t>Amblyraja hyperborea</t>
        </is>
      </c>
      <c r="B270" t="n">
        <v>4.31</v>
      </c>
      <c r="C270" t="n">
        <v>2041.737945</v>
      </c>
      <c r="D270" t="inlineStr">
        <is>
          <t>Sharks &amp; rays</t>
        </is>
      </c>
      <c r="E270" t="n">
        <v>327.790917</v>
      </c>
      <c r="F270" t="n">
        <v>522.28227</v>
      </c>
      <c r="G270" t="n">
        <v>114.842938</v>
      </c>
      <c r="H270" t="n">
        <v>326.928715</v>
      </c>
      <c r="I270" t="n">
        <v>732.255138</v>
      </c>
      <c r="J270" t="n">
        <v>761.48662</v>
      </c>
      <c r="K270" t="n">
        <v>327.439247</v>
      </c>
      <c r="L270" t="n">
        <v>1275.246638</v>
      </c>
      <c r="M270" t="n">
        <v>1275.246638</v>
      </c>
      <c r="N270" t="n">
        <v>1275.246638</v>
      </c>
      <c r="O270" t="n">
        <v>317.659957</v>
      </c>
      <c r="P270" t="n">
        <v>115.247551</v>
      </c>
      <c r="Q270" t="n">
        <v>1275.246638</v>
      </c>
      <c r="R270" t="n">
        <v>1275.246638</v>
      </c>
      <c r="S270" t="n">
        <v>317.659957</v>
      </c>
      <c r="T270" t="n">
        <v>317.659957</v>
      </c>
      <c r="U270" t="n">
        <v>115.247551</v>
      </c>
      <c r="V270" t="n">
        <v>115.247551</v>
      </c>
      <c r="W270" t="n">
        <v>327.701462</v>
      </c>
      <c r="X270" t="n">
        <v>1310.378519</v>
      </c>
    </row>
    <row r="271">
      <c r="A271" t="inlineStr">
        <is>
          <t>Centrophorus squamosus</t>
        </is>
      </c>
      <c r="D271" t="inlineStr">
        <is>
          <t>Sharks &amp; rays</t>
        </is>
      </c>
      <c r="E271" t="n">
        <v>327.790917</v>
      </c>
      <c r="F271" t="n">
        <v>522.28227</v>
      </c>
      <c r="G271" t="n">
        <v>114.842938</v>
      </c>
      <c r="H271" t="n">
        <v>326.928715</v>
      </c>
      <c r="I271" t="n">
        <v>732.255138</v>
      </c>
      <c r="J271" t="n">
        <v>761.48662</v>
      </c>
      <c r="K271" t="n">
        <v>327.439247</v>
      </c>
      <c r="L271" t="n">
        <v>1275.246638</v>
      </c>
      <c r="M271" t="n">
        <v>1275.246638</v>
      </c>
      <c r="N271" t="n">
        <v>1275.246638</v>
      </c>
      <c r="O271" t="n">
        <v>317.659957</v>
      </c>
      <c r="P271" t="n">
        <v>115.247551</v>
      </c>
      <c r="Q271" t="n">
        <v>1275.246638</v>
      </c>
      <c r="R271" t="n">
        <v>1275.246638</v>
      </c>
      <c r="S271" t="n">
        <v>317.659957</v>
      </c>
      <c r="T271" t="n">
        <v>317.659957</v>
      </c>
      <c r="U271" t="n">
        <v>115.247551</v>
      </c>
      <c r="V271" t="n">
        <v>115.247551</v>
      </c>
      <c r="W271" t="n">
        <v>327.701462</v>
      </c>
      <c r="X271" t="n">
        <v>1310.378519</v>
      </c>
    </row>
    <row r="272">
      <c r="A272" t="inlineStr">
        <is>
          <t>Etmopterus spinax</t>
        </is>
      </c>
      <c r="B272" t="n">
        <v>4.14</v>
      </c>
      <c r="C272" t="n">
        <v>1380.384265</v>
      </c>
      <c r="D272" t="inlineStr">
        <is>
          <t>Sharks &amp; rays</t>
        </is>
      </c>
      <c r="E272" t="n">
        <v>327.790917</v>
      </c>
      <c r="F272" t="n">
        <v>522.28227</v>
      </c>
      <c r="G272" t="n">
        <v>114.842938</v>
      </c>
      <c r="H272" t="n">
        <v>326.928715</v>
      </c>
      <c r="I272" t="n">
        <v>732.255138</v>
      </c>
      <c r="J272" t="n">
        <v>761.48662</v>
      </c>
      <c r="K272" t="n">
        <v>327.439247</v>
      </c>
      <c r="L272" t="n">
        <v>1275.246638</v>
      </c>
      <c r="M272" t="n">
        <v>1275.246638</v>
      </c>
      <c r="N272" t="n">
        <v>1275.246638</v>
      </c>
      <c r="O272" t="n">
        <v>317.659957</v>
      </c>
      <c r="P272" t="n">
        <v>115.247551</v>
      </c>
      <c r="Q272" t="n">
        <v>1275.246638</v>
      </c>
      <c r="R272" t="n">
        <v>1275.246638</v>
      </c>
      <c r="S272" t="n">
        <v>317.659957</v>
      </c>
      <c r="T272" t="n">
        <v>317.659957</v>
      </c>
      <c r="U272" t="n">
        <v>115.247551</v>
      </c>
      <c r="V272" t="n">
        <v>115.247551</v>
      </c>
      <c r="W272" t="n">
        <v>327.701462</v>
      </c>
      <c r="X272" t="n">
        <v>1310.378519</v>
      </c>
    </row>
    <row r="273">
      <c r="A273" t="inlineStr">
        <is>
          <t>Lepidopus caudatus</t>
        </is>
      </c>
      <c r="B273" t="n">
        <v>3.82</v>
      </c>
      <c r="C273" t="n">
        <v>660.693448</v>
      </c>
      <c r="D273" t="inlineStr">
        <is>
          <t>Unresolved</t>
        </is>
      </c>
    </row>
    <row r="274">
      <c r="A274" t="inlineStr">
        <is>
          <t>Decapoda</t>
        </is>
      </c>
      <c r="B274" t="n">
        <v>3.43</v>
      </c>
      <c r="C274" t="n">
        <v>269.15348</v>
      </c>
      <c r="D274" t="inlineStr">
        <is>
          <t>Crustacea</t>
        </is>
      </c>
      <c r="E274" t="n">
        <v>327.790917</v>
      </c>
      <c r="F274" t="n">
        <v>79.403785</v>
      </c>
      <c r="G274" t="n">
        <v>27.544327</v>
      </c>
      <c r="H274" t="n">
        <v>45.837748</v>
      </c>
      <c r="I274" t="n">
        <v>38.918317</v>
      </c>
      <c r="J274" t="n">
        <v>38.964516</v>
      </c>
      <c r="K274" t="n">
        <v>31.561258</v>
      </c>
      <c r="L274" t="n">
        <v>47.671907</v>
      </c>
      <c r="M274" t="n">
        <v>47.671907</v>
      </c>
      <c r="N274" t="n">
        <v>47.671907</v>
      </c>
      <c r="O274" t="n">
        <v>34.575524</v>
      </c>
      <c r="P274" t="n">
        <v>19.020842</v>
      </c>
      <c r="Q274" t="n">
        <v>47.671907</v>
      </c>
      <c r="R274" t="n">
        <v>47.671907</v>
      </c>
      <c r="S274" t="n">
        <v>34.575524</v>
      </c>
      <c r="T274" t="n">
        <v>34.575524</v>
      </c>
      <c r="U274" t="n">
        <v>19.020842</v>
      </c>
      <c r="V274" t="n">
        <v>19.020842</v>
      </c>
      <c r="W274" t="n">
        <v>34.954015</v>
      </c>
      <c r="X274" t="n">
        <v>47.765312</v>
      </c>
    </row>
    <row r="275">
      <c r="A275" t="inlineStr">
        <is>
          <t>Polyprion americanus</t>
        </is>
      </c>
      <c r="B275" t="n">
        <v>4.14</v>
      </c>
      <c r="C275" t="n">
        <v>1380.384265</v>
      </c>
      <c r="D275" t="inlineStr">
        <is>
          <t>Large Dem. fish</t>
        </is>
      </c>
      <c r="E275" t="n">
        <v>327.790917</v>
      </c>
      <c r="F275" t="n">
        <v>665.972772</v>
      </c>
      <c r="G275" t="n">
        <v>138.073221</v>
      </c>
      <c r="H275" t="n">
        <v>328.210407</v>
      </c>
      <c r="I275" t="n">
        <v>321.185641</v>
      </c>
      <c r="J275" t="n">
        <v>337.306601</v>
      </c>
      <c r="K275" t="n">
        <v>317.068205</v>
      </c>
      <c r="L275" t="n">
        <v>461.958282</v>
      </c>
      <c r="M275" t="n">
        <v>461.958282</v>
      </c>
      <c r="N275" t="n">
        <v>461.958282</v>
      </c>
      <c r="O275" t="n">
        <v>304.533157</v>
      </c>
      <c r="P275" t="n">
        <v>108.42706</v>
      </c>
      <c r="Q275" t="n">
        <v>461.958282</v>
      </c>
      <c r="R275" t="n">
        <v>461.958282</v>
      </c>
      <c r="S275" t="n">
        <v>304.533157</v>
      </c>
      <c r="T275" t="n">
        <v>304.533157</v>
      </c>
      <c r="U275" t="n">
        <v>108.42706</v>
      </c>
      <c r="V275" t="n">
        <v>108.42706</v>
      </c>
      <c r="W275" t="n">
        <v>306.991308</v>
      </c>
      <c r="X275" t="n">
        <v>468.161038</v>
      </c>
    </row>
    <row r="276">
      <c r="A276" t="inlineStr">
        <is>
          <t>Maurolicus muelleri</t>
        </is>
      </c>
      <c r="D276" t="inlineStr">
        <is>
          <t>Small pelagics</t>
        </is>
      </c>
      <c r="E276" t="n">
        <v>327.790917</v>
      </c>
      <c r="F276" t="n">
        <v>148.024912</v>
      </c>
      <c r="G276" t="n">
        <v>44.163101</v>
      </c>
      <c r="H276" t="n">
        <v>58.893278</v>
      </c>
      <c r="I276" t="n">
        <v>29.57747</v>
      </c>
      <c r="J276" t="n">
        <v>29.708263</v>
      </c>
      <c r="K276" t="n">
        <v>26.143271</v>
      </c>
      <c r="L276" t="n">
        <v>37.444032</v>
      </c>
      <c r="M276" t="n">
        <v>37.444032</v>
      </c>
      <c r="N276" t="n">
        <v>37.444032</v>
      </c>
      <c r="O276" t="n">
        <v>26.825837</v>
      </c>
      <c r="P276" t="n">
        <v>12.629082</v>
      </c>
      <c r="Q276" t="n">
        <v>37.444032</v>
      </c>
      <c r="R276" t="n">
        <v>37.444032</v>
      </c>
      <c r="S276" t="n">
        <v>26.825837</v>
      </c>
      <c r="T276" t="n">
        <v>26.825837</v>
      </c>
      <c r="U276" t="n">
        <v>12.629082</v>
      </c>
      <c r="V276" t="n">
        <v>12.629082</v>
      </c>
      <c r="W276" t="n">
        <v>26.643813</v>
      </c>
      <c r="X276" t="n">
        <v>39.607714</v>
      </c>
    </row>
    <row r="277">
      <c r="A277" t="inlineStr">
        <is>
          <t>Palinurus</t>
        </is>
      </c>
      <c r="B277" t="n">
        <v>2.7</v>
      </c>
      <c r="C277" t="n">
        <v>50.118723</v>
      </c>
      <c r="D277" t="inlineStr">
        <is>
          <t>Crustacea</t>
        </is>
      </c>
      <c r="E277" t="n">
        <v>327.790917</v>
      </c>
      <c r="F277" t="n">
        <v>79.403785</v>
      </c>
      <c r="G277" t="n">
        <v>27.544327</v>
      </c>
      <c r="H277" t="n">
        <v>45.837748</v>
      </c>
      <c r="I277" t="n">
        <v>38.918317</v>
      </c>
      <c r="J277" t="n">
        <v>38.964516</v>
      </c>
      <c r="K277" t="n">
        <v>31.561258</v>
      </c>
      <c r="L277" t="n">
        <v>47.671907</v>
      </c>
      <c r="M277" t="n">
        <v>47.671907</v>
      </c>
      <c r="N277" t="n">
        <v>47.671907</v>
      </c>
      <c r="O277" t="n">
        <v>34.575524</v>
      </c>
      <c r="P277" t="n">
        <v>19.020842</v>
      </c>
      <c r="Q277" t="n">
        <v>47.671907</v>
      </c>
      <c r="R277" t="n">
        <v>47.671907</v>
      </c>
      <c r="S277" t="n">
        <v>34.575524</v>
      </c>
      <c r="T277" t="n">
        <v>34.575524</v>
      </c>
      <c r="U277" t="n">
        <v>19.020842</v>
      </c>
      <c r="V277" t="n">
        <v>19.020842</v>
      </c>
      <c r="W277" t="n">
        <v>34.954015</v>
      </c>
      <c r="X277" t="n">
        <v>47.765312</v>
      </c>
    </row>
    <row r="278">
      <c r="A278" t="inlineStr">
        <is>
          <t>Mytilus</t>
        </is>
      </c>
      <c r="B278" t="n">
        <v>2.03</v>
      </c>
      <c r="C278" t="n">
        <v>10.715193</v>
      </c>
      <c r="D278" t="inlineStr">
        <is>
          <t>Epifauna</t>
        </is>
      </c>
      <c r="E278" t="n">
        <v>327.790917</v>
      </c>
      <c r="F278" t="n">
        <v>28.994229</v>
      </c>
      <c r="G278" t="n">
        <v>12.834993</v>
      </c>
      <c r="H278" t="n">
        <v>17.954978</v>
      </c>
      <c r="I278" t="n">
        <v>11.374014</v>
      </c>
      <c r="J278" t="n">
        <v>11.374014</v>
      </c>
      <c r="K278" t="n">
        <v>10.009132</v>
      </c>
      <c r="L278" t="n">
        <v>10.950321</v>
      </c>
      <c r="M278" t="n">
        <v>10.950321</v>
      </c>
      <c r="N278" t="n">
        <v>10.950321</v>
      </c>
      <c r="O278" t="n">
        <v>10.041084</v>
      </c>
      <c r="P278" t="n">
        <v>6.846302</v>
      </c>
      <c r="Q278" t="n">
        <v>10.950321</v>
      </c>
      <c r="R278" t="n">
        <v>10.950321</v>
      </c>
      <c r="S278" t="n">
        <v>10.041084</v>
      </c>
      <c r="T278" t="n">
        <v>10.041084</v>
      </c>
      <c r="U278" t="n">
        <v>6.846302</v>
      </c>
      <c r="V278" t="n">
        <v>6.846302</v>
      </c>
      <c r="W278" t="n">
        <v>9.947857000000001</v>
      </c>
      <c r="X278" t="n">
        <v>10.794705</v>
      </c>
    </row>
    <row r="279">
      <c r="A279" t="inlineStr">
        <is>
          <t>Atherina presbyter</t>
        </is>
      </c>
      <c r="D279" t="inlineStr">
        <is>
          <t>Small pelagics</t>
        </is>
      </c>
      <c r="E279" t="n">
        <v>327.790917</v>
      </c>
      <c r="F279" t="n">
        <v>148.024912</v>
      </c>
      <c r="G279" t="n">
        <v>44.163101</v>
      </c>
      <c r="H279" t="n">
        <v>58.893278</v>
      </c>
      <c r="I279" t="n">
        <v>29.57747</v>
      </c>
      <c r="J279" t="n">
        <v>29.708263</v>
      </c>
      <c r="K279" t="n">
        <v>26.143271</v>
      </c>
      <c r="L279" t="n">
        <v>37.444032</v>
      </c>
      <c r="M279" t="n">
        <v>37.444032</v>
      </c>
      <c r="N279" t="n">
        <v>37.444032</v>
      </c>
      <c r="O279" t="n">
        <v>26.825837</v>
      </c>
      <c r="P279" t="n">
        <v>12.629082</v>
      </c>
      <c r="Q279" t="n">
        <v>37.444032</v>
      </c>
      <c r="R279" t="n">
        <v>37.444032</v>
      </c>
      <c r="S279" t="n">
        <v>26.825837</v>
      </c>
      <c r="T279" t="n">
        <v>26.825837</v>
      </c>
      <c r="U279" t="n">
        <v>12.629082</v>
      </c>
      <c r="V279" t="n">
        <v>12.629082</v>
      </c>
      <c r="W279" t="n">
        <v>26.643813</v>
      </c>
      <c r="X279" t="n">
        <v>39.607714</v>
      </c>
    </row>
    <row r="280">
      <c r="A280" t="inlineStr">
        <is>
          <t>Rajella lintea</t>
        </is>
      </c>
      <c r="B280" t="n">
        <v>3.62</v>
      </c>
      <c r="C280" t="n">
        <v>416.869383</v>
      </c>
      <c r="D280" t="inlineStr">
        <is>
          <t>Sharks &amp; rays</t>
        </is>
      </c>
      <c r="E280" t="n">
        <v>327.790917</v>
      </c>
      <c r="F280" t="n">
        <v>522.28227</v>
      </c>
      <c r="G280" t="n">
        <v>114.842938</v>
      </c>
      <c r="H280" t="n">
        <v>326.928715</v>
      </c>
      <c r="I280" t="n">
        <v>732.255138</v>
      </c>
      <c r="J280" t="n">
        <v>761.48662</v>
      </c>
      <c r="K280" t="n">
        <v>327.439247</v>
      </c>
      <c r="L280" t="n">
        <v>1275.246638</v>
      </c>
      <c r="M280" t="n">
        <v>1275.246638</v>
      </c>
      <c r="N280" t="n">
        <v>1275.246638</v>
      </c>
      <c r="O280" t="n">
        <v>317.659957</v>
      </c>
      <c r="P280" t="n">
        <v>115.247551</v>
      </c>
      <c r="Q280" t="n">
        <v>1275.246638</v>
      </c>
      <c r="R280" t="n">
        <v>1275.246638</v>
      </c>
      <c r="S280" t="n">
        <v>317.659957</v>
      </c>
      <c r="T280" t="n">
        <v>317.659957</v>
      </c>
      <c r="U280" t="n">
        <v>115.247551</v>
      </c>
      <c r="V280" t="n">
        <v>115.247551</v>
      </c>
      <c r="W280" t="n">
        <v>327.701462</v>
      </c>
      <c r="X280" t="n">
        <v>1310.378519</v>
      </c>
    </row>
    <row r="281">
      <c r="A281" t="inlineStr">
        <is>
          <t>Tinca tinca</t>
        </is>
      </c>
      <c r="D281" t="inlineStr">
        <is>
          <t>Unresolved</t>
        </is>
      </c>
    </row>
    <row r="282">
      <c r="A282" t="inlineStr">
        <is>
          <t>Moridae</t>
        </is>
      </c>
      <c r="D282" t="inlineStr">
        <is>
          <t>Unresolved</t>
        </is>
      </c>
    </row>
    <row r="283">
      <c r="A283" t="inlineStr">
        <is>
          <t>Mytilidae</t>
        </is>
      </c>
      <c r="D283" t="inlineStr">
        <is>
          <t>Epifauna</t>
        </is>
      </c>
      <c r="E283" t="n">
        <v>327.790917</v>
      </c>
      <c r="F283" t="n">
        <v>28.994229</v>
      </c>
      <c r="G283" t="n">
        <v>12.834993</v>
      </c>
      <c r="H283" t="n">
        <v>17.954978</v>
      </c>
      <c r="I283" t="n">
        <v>11.374014</v>
      </c>
      <c r="J283" t="n">
        <v>11.374014</v>
      </c>
      <c r="K283" t="n">
        <v>10.009132</v>
      </c>
      <c r="L283" t="n">
        <v>10.950321</v>
      </c>
      <c r="M283" t="n">
        <v>10.950321</v>
      </c>
      <c r="N283" t="n">
        <v>10.950321</v>
      </c>
      <c r="O283" t="n">
        <v>10.041084</v>
      </c>
      <c r="P283" t="n">
        <v>6.846302</v>
      </c>
      <c r="Q283" t="n">
        <v>10.950321</v>
      </c>
      <c r="R283" t="n">
        <v>10.950321</v>
      </c>
      <c r="S283" t="n">
        <v>10.041084</v>
      </c>
      <c r="T283" t="n">
        <v>10.041084</v>
      </c>
      <c r="U283" t="n">
        <v>6.846302</v>
      </c>
      <c r="V283" t="n">
        <v>6.846302</v>
      </c>
      <c r="W283" t="n">
        <v>9.947857000000001</v>
      </c>
      <c r="X283" t="n">
        <v>10.794705</v>
      </c>
    </row>
    <row r="284">
      <c r="A284" t="inlineStr">
        <is>
          <t>Palaemonidae</t>
        </is>
      </c>
      <c r="D284" t="inlineStr">
        <is>
          <t>Crustacea</t>
        </is>
      </c>
      <c r="E284" t="n">
        <v>327.790917</v>
      </c>
      <c r="F284" t="n">
        <v>79.403785</v>
      </c>
      <c r="G284" t="n">
        <v>27.544327</v>
      </c>
      <c r="H284" t="n">
        <v>45.837748</v>
      </c>
      <c r="I284" t="n">
        <v>38.918317</v>
      </c>
      <c r="J284" t="n">
        <v>38.964516</v>
      </c>
      <c r="K284" t="n">
        <v>31.561258</v>
      </c>
      <c r="L284" t="n">
        <v>47.671907</v>
      </c>
      <c r="M284" t="n">
        <v>47.671907</v>
      </c>
      <c r="N284" t="n">
        <v>47.671907</v>
      </c>
      <c r="O284" t="n">
        <v>34.575524</v>
      </c>
      <c r="P284" t="n">
        <v>19.020842</v>
      </c>
      <c r="Q284" t="n">
        <v>47.671907</v>
      </c>
      <c r="R284" t="n">
        <v>47.671907</v>
      </c>
      <c r="S284" t="n">
        <v>34.575524</v>
      </c>
      <c r="T284" t="n">
        <v>34.575524</v>
      </c>
      <c r="U284" t="n">
        <v>19.020842</v>
      </c>
      <c r="V284" t="n">
        <v>19.020842</v>
      </c>
      <c r="W284" t="n">
        <v>34.954015</v>
      </c>
      <c r="X284" t="n">
        <v>47.765312</v>
      </c>
    </row>
    <row r="285">
      <c r="A285" t="inlineStr">
        <is>
          <t>Echinoidea</t>
        </is>
      </c>
      <c r="B285" t="n">
        <v>2.51</v>
      </c>
      <c r="C285" t="n">
        <v>32.359366</v>
      </c>
      <c r="D285" t="inlineStr">
        <is>
          <t>Epifauna</t>
        </is>
      </c>
      <c r="E285" t="n">
        <v>327.790917</v>
      </c>
      <c r="F285" t="n">
        <v>28.994229</v>
      </c>
      <c r="G285" t="n">
        <v>12.834993</v>
      </c>
      <c r="H285" t="n">
        <v>17.954978</v>
      </c>
      <c r="I285" t="n">
        <v>11.374014</v>
      </c>
      <c r="J285" t="n">
        <v>11.374014</v>
      </c>
      <c r="K285" t="n">
        <v>10.009132</v>
      </c>
      <c r="L285" t="n">
        <v>10.950321</v>
      </c>
      <c r="M285" t="n">
        <v>10.950321</v>
      </c>
      <c r="N285" t="n">
        <v>10.950321</v>
      </c>
      <c r="O285" t="n">
        <v>10.041084</v>
      </c>
      <c r="P285" t="n">
        <v>6.846302</v>
      </c>
      <c r="Q285" t="n">
        <v>10.950321</v>
      </c>
      <c r="R285" t="n">
        <v>10.950321</v>
      </c>
      <c r="S285" t="n">
        <v>10.041084</v>
      </c>
      <c r="T285" t="n">
        <v>10.041084</v>
      </c>
      <c r="U285" t="n">
        <v>6.846302</v>
      </c>
      <c r="V285" t="n">
        <v>6.846302</v>
      </c>
      <c r="W285" t="n">
        <v>9.947857000000001</v>
      </c>
      <c r="X285" t="n">
        <v>10.794705</v>
      </c>
    </row>
    <row r="286">
      <c r="A286" t="inlineStr">
        <is>
          <t>Lota lota</t>
        </is>
      </c>
      <c r="B286" t="n">
        <v>3.84</v>
      </c>
      <c r="C286" t="n">
        <v>691.830971</v>
      </c>
      <c r="D286" t="inlineStr">
        <is>
          <t>Unresolved</t>
        </is>
      </c>
    </row>
    <row r="287">
      <c r="A287" t="inlineStr">
        <is>
          <t>Diplodus</t>
        </is>
      </c>
      <c r="B287" t="n">
        <v>2.97</v>
      </c>
      <c r="C287" t="n">
        <v>93.32543</v>
      </c>
      <c r="D287" t="inlineStr">
        <is>
          <t>Large Dem. fish</t>
        </is>
      </c>
      <c r="E287" t="n">
        <v>327.790917</v>
      </c>
      <c r="F287" t="n">
        <v>665.972772</v>
      </c>
      <c r="G287" t="n">
        <v>138.073221</v>
      </c>
      <c r="H287" t="n">
        <v>328.210407</v>
      </c>
      <c r="I287" t="n">
        <v>321.185641</v>
      </c>
      <c r="J287" t="n">
        <v>337.306601</v>
      </c>
      <c r="K287" t="n">
        <v>317.068205</v>
      </c>
      <c r="L287" t="n">
        <v>461.958282</v>
      </c>
      <c r="M287" t="n">
        <v>461.958282</v>
      </c>
      <c r="N287" t="n">
        <v>461.958282</v>
      </c>
      <c r="O287" t="n">
        <v>304.533157</v>
      </c>
      <c r="P287" t="n">
        <v>108.42706</v>
      </c>
      <c r="Q287" t="n">
        <v>461.958282</v>
      </c>
      <c r="R287" t="n">
        <v>461.958282</v>
      </c>
      <c r="S287" t="n">
        <v>304.533157</v>
      </c>
      <c r="T287" t="n">
        <v>304.533157</v>
      </c>
      <c r="U287" t="n">
        <v>108.42706</v>
      </c>
      <c r="V287" t="n">
        <v>108.42706</v>
      </c>
      <c r="W287" t="n">
        <v>306.991308</v>
      </c>
      <c r="X287" t="n">
        <v>468.161038</v>
      </c>
    </row>
    <row r="288">
      <c r="A288" t="inlineStr">
        <is>
          <t>Trigla lyra</t>
        </is>
      </c>
      <c r="B288" t="n">
        <v>3.65</v>
      </c>
      <c r="C288" t="n">
        <v>446.683592</v>
      </c>
      <c r="D288" t="inlineStr">
        <is>
          <t>Large Dem. fish</t>
        </is>
      </c>
      <c r="E288" t="n">
        <v>327.790917</v>
      </c>
      <c r="F288" t="n">
        <v>665.972772</v>
      </c>
      <c r="G288" t="n">
        <v>138.073221</v>
      </c>
      <c r="H288" t="n">
        <v>328.210407</v>
      </c>
      <c r="I288" t="n">
        <v>321.185641</v>
      </c>
      <c r="J288" t="n">
        <v>337.306601</v>
      </c>
      <c r="K288" t="n">
        <v>317.068205</v>
      </c>
      <c r="L288" t="n">
        <v>461.958282</v>
      </c>
      <c r="M288" t="n">
        <v>461.958282</v>
      </c>
      <c r="N288" t="n">
        <v>461.958282</v>
      </c>
      <c r="O288" t="n">
        <v>304.533157</v>
      </c>
      <c r="P288" t="n">
        <v>108.42706</v>
      </c>
      <c r="Q288" t="n">
        <v>461.958282</v>
      </c>
      <c r="R288" t="n">
        <v>461.958282</v>
      </c>
      <c r="S288" t="n">
        <v>304.533157</v>
      </c>
      <c r="T288" t="n">
        <v>304.533157</v>
      </c>
      <c r="U288" t="n">
        <v>108.42706</v>
      </c>
      <c r="V288" t="n">
        <v>108.42706</v>
      </c>
      <c r="W288" t="n">
        <v>306.991308</v>
      </c>
      <c r="X288" t="n">
        <v>468.161038</v>
      </c>
    </row>
    <row r="289">
      <c r="A289" t="inlineStr">
        <is>
          <t>Xiphias gladius</t>
        </is>
      </c>
      <c r="D289" t="inlineStr">
        <is>
          <t>Unresolved</t>
        </is>
      </c>
    </row>
    <row r="290">
      <c r="A290" t="inlineStr">
        <is>
          <t>Scardinius erythrophthalmus</t>
        </is>
      </c>
      <c r="B290" t="n">
        <v>2.89</v>
      </c>
      <c r="C290" t="n">
        <v>77.624712</v>
      </c>
      <c r="D290" t="inlineStr">
        <is>
          <t>Unresolved</t>
        </is>
      </c>
    </row>
    <row r="291">
      <c r="A291" t="inlineStr">
        <is>
          <t>Loligo forbesii</t>
        </is>
      </c>
      <c r="D291" t="inlineStr">
        <is>
          <t>Squid &amp; Octopus</t>
        </is>
      </c>
      <c r="E291" t="n">
        <v>327.790917</v>
      </c>
      <c r="F291" t="n">
        <v>160.967585</v>
      </c>
      <c r="G291" t="n">
        <v>47.060072</v>
      </c>
      <c r="H291" t="n">
        <v>88.258037</v>
      </c>
      <c r="I291" t="n">
        <v>77.00034599999999</v>
      </c>
      <c r="J291" t="n">
        <v>77.34926</v>
      </c>
      <c r="K291" t="n">
        <v>73.481797</v>
      </c>
      <c r="L291" t="n">
        <v>94.097724</v>
      </c>
      <c r="M291" t="n">
        <v>94.097724</v>
      </c>
      <c r="N291" t="n">
        <v>94.097724</v>
      </c>
      <c r="O291" t="n">
        <v>70.413555</v>
      </c>
      <c r="P291" t="n">
        <v>31.50612</v>
      </c>
      <c r="Q291" t="n">
        <v>94.097724</v>
      </c>
      <c r="R291" t="n">
        <v>94.097724</v>
      </c>
      <c r="S291" t="n">
        <v>70.413555</v>
      </c>
      <c r="T291" t="n">
        <v>70.413555</v>
      </c>
      <c r="U291" t="n">
        <v>31.50612</v>
      </c>
      <c r="V291" t="n">
        <v>31.50612</v>
      </c>
      <c r="W291" t="n">
        <v>71.270959</v>
      </c>
      <c r="X291" t="n">
        <v>97.60397</v>
      </c>
    </row>
    <row r="292">
      <c r="A292" t="inlineStr">
        <is>
          <t>Trachinidae</t>
        </is>
      </c>
      <c r="B292" t="n">
        <v>3.95</v>
      </c>
      <c r="C292" t="n">
        <v>891.250938</v>
      </c>
      <c r="D292" t="inlineStr">
        <is>
          <t>Large Dem. fish</t>
        </is>
      </c>
      <c r="E292" t="n">
        <v>327.790917</v>
      </c>
      <c r="F292" t="n">
        <v>665.972772</v>
      </c>
      <c r="G292" t="n">
        <v>138.073221</v>
      </c>
      <c r="H292" t="n">
        <v>328.210407</v>
      </c>
      <c r="I292" t="n">
        <v>321.185641</v>
      </c>
      <c r="J292" t="n">
        <v>337.306601</v>
      </c>
      <c r="K292" t="n">
        <v>317.068205</v>
      </c>
      <c r="L292" t="n">
        <v>461.958282</v>
      </c>
      <c r="M292" t="n">
        <v>461.958282</v>
      </c>
      <c r="N292" t="n">
        <v>461.958282</v>
      </c>
      <c r="O292" t="n">
        <v>304.533157</v>
      </c>
      <c r="P292" t="n">
        <v>108.42706</v>
      </c>
      <c r="Q292" t="n">
        <v>461.958282</v>
      </c>
      <c r="R292" t="n">
        <v>461.958282</v>
      </c>
      <c r="S292" t="n">
        <v>304.533157</v>
      </c>
      <c r="T292" t="n">
        <v>304.533157</v>
      </c>
      <c r="U292" t="n">
        <v>108.42706</v>
      </c>
      <c r="V292" t="n">
        <v>108.42706</v>
      </c>
      <c r="W292" t="n">
        <v>306.991308</v>
      </c>
      <c r="X292" t="n">
        <v>468.161038</v>
      </c>
    </row>
    <row r="293">
      <c r="A293" t="inlineStr">
        <is>
          <t>Ruditapes decussatus</t>
        </is>
      </c>
      <c r="B293" t="n">
        <v>2</v>
      </c>
      <c r="C293" t="n">
        <v>10</v>
      </c>
      <c r="D293" t="inlineStr">
        <is>
          <t>Infauna</t>
        </is>
      </c>
      <c r="E293" t="n">
        <v>327.790917</v>
      </c>
      <c r="F293" t="n">
        <v>10</v>
      </c>
      <c r="G293" t="n">
        <v>5.727631</v>
      </c>
      <c r="H293" t="n">
        <v>5.721903</v>
      </c>
      <c r="I293" t="n">
        <v>4.44</v>
      </c>
      <c r="J293" t="n">
        <v>4.44</v>
      </c>
      <c r="K293" t="n">
        <v>3.996</v>
      </c>
      <c r="L293" t="n">
        <v>3.864936</v>
      </c>
      <c r="M293" t="n">
        <v>3.864936</v>
      </c>
      <c r="N293" t="n">
        <v>3.864936</v>
      </c>
      <c r="O293" t="n">
        <v>4.247203</v>
      </c>
      <c r="P293" t="n">
        <v>3.679841</v>
      </c>
      <c r="Q293" t="n">
        <v>3.864936</v>
      </c>
      <c r="R293" t="n">
        <v>3.864936</v>
      </c>
      <c r="S293" t="n">
        <v>4.247203</v>
      </c>
      <c r="T293" t="n">
        <v>4.247203</v>
      </c>
      <c r="U293" t="n">
        <v>3.679841</v>
      </c>
      <c r="V293" t="n">
        <v>3.679841</v>
      </c>
      <c r="W293" t="n">
        <v>4.187569</v>
      </c>
      <c r="X293" t="n">
        <v>3.928919</v>
      </c>
    </row>
    <row r="294">
      <c r="A294" t="inlineStr">
        <is>
          <t>Alosa alosa</t>
        </is>
      </c>
      <c r="B294" t="n">
        <v>2.95</v>
      </c>
      <c r="C294" t="n">
        <v>89.125094</v>
      </c>
      <c r="D294" t="inlineStr">
        <is>
          <t>Large Pelagics</t>
        </is>
      </c>
      <c r="E294" t="n">
        <v>327.790917</v>
      </c>
      <c r="F294" t="n">
        <v>409.325031</v>
      </c>
      <c r="G294" t="n">
        <v>95.473426</v>
      </c>
      <c r="H294" t="n">
        <v>171.971164</v>
      </c>
      <c r="I294" t="n">
        <v>151.710468</v>
      </c>
      <c r="J294" t="n">
        <v>166.941311</v>
      </c>
      <c r="K294" t="n">
        <v>150.24718</v>
      </c>
      <c r="L294" t="n">
        <v>208.675232</v>
      </c>
      <c r="M294" t="n">
        <v>208.675232</v>
      </c>
      <c r="N294" t="n">
        <v>208.675232</v>
      </c>
      <c r="O294" t="n">
        <v>139.225251</v>
      </c>
      <c r="P294" t="n">
        <v>55.587338</v>
      </c>
      <c r="Q294" t="n">
        <v>208.675232</v>
      </c>
      <c r="R294" t="n">
        <v>208.675232</v>
      </c>
      <c r="S294" t="n">
        <v>139.225251</v>
      </c>
      <c r="T294" t="n">
        <v>139.225251</v>
      </c>
      <c r="U294" t="n">
        <v>55.587338</v>
      </c>
      <c r="V294" t="n">
        <v>55.587338</v>
      </c>
      <c r="W294" t="n">
        <v>138.889014</v>
      </c>
      <c r="X294" t="n">
        <v>209.882396</v>
      </c>
    </row>
    <row r="295">
      <c r="A295" t="inlineStr">
        <is>
          <t>Ruditapes</t>
        </is>
      </c>
      <c r="B295" t="n">
        <v>2</v>
      </c>
      <c r="C295" t="n">
        <v>10</v>
      </c>
      <c r="D295" t="inlineStr">
        <is>
          <t>Infauna</t>
        </is>
      </c>
      <c r="E295" t="n">
        <v>327.790917</v>
      </c>
      <c r="F295" t="n">
        <v>10</v>
      </c>
      <c r="G295" t="n">
        <v>5.727631</v>
      </c>
      <c r="H295" t="n">
        <v>5.721903</v>
      </c>
      <c r="I295" t="n">
        <v>4.44</v>
      </c>
      <c r="J295" t="n">
        <v>4.44</v>
      </c>
      <c r="K295" t="n">
        <v>3.996</v>
      </c>
      <c r="L295" t="n">
        <v>3.864936</v>
      </c>
      <c r="M295" t="n">
        <v>3.864936</v>
      </c>
      <c r="N295" t="n">
        <v>3.864936</v>
      </c>
      <c r="O295" t="n">
        <v>4.247203</v>
      </c>
      <c r="P295" t="n">
        <v>3.679841</v>
      </c>
      <c r="Q295" t="n">
        <v>3.864936</v>
      </c>
      <c r="R295" t="n">
        <v>3.864936</v>
      </c>
      <c r="S295" t="n">
        <v>4.247203</v>
      </c>
      <c r="T295" t="n">
        <v>4.247203</v>
      </c>
      <c r="U295" t="n">
        <v>3.679841</v>
      </c>
      <c r="V295" t="n">
        <v>3.679841</v>
      </c>
      <c r="W295" t="n">
        <v>4.187569</v>
      </c>
      <c r="X295" t="n">
        <v>3.928919</v>
      </c>
    </row>
    <row r="296">
      <c r="A296" t="inlineStr">
        <is>
          <t>Sparus aurata</t>
        </is>
      </c>
      <c r="B296" t="n">
        <v>3.7</v>
      </c>
      <c r="C296" t="n">
        <v>501.187234</v>
      </c>
      <c r="D296" t="inlineStr">
        <is>
          <t>Large Dem. fish</t>
        </is>
      </c>
      <c r="E296" t="n">
        <v>327.790917</v>
      </c>
      <c r="F296" t="n">
        <v>665.972772</v>
      </c>
      <c r="G296" t="n">
        <v>138.073221</v>
      </c>
      <c r="H296" t="n">
        <v>328.210407</v>
      </c>
      <c r="I296" t="n">
        <v>321.185641</v>
      </c>
      <c r="J296" t="n">
        <v>337.306601</v>
      </c>
      <c r="K296" t="n">
        <v>317.068205</v>
      </c>
      <c r="L296" t="n">
        <v>461.958282</v>
      </c>
      <c r="M296" t="n">
        <v>461.958282</v>
      </c>
      <c r="N296" t="n">
        <v>461.958282</v>
      </c>
      <c r="O296" t="n">
        <v>304.533157</v>
      </c>
      <c r="P296" t="n">
        <v>108.42706</v>
      </c>
      <c r="Q296" t="n">
        <v>461.958282</v>
      </c>
      <c r="R296" t="n">
        <v>461.958282</v>
      </c>
      <c r="S296" t="n">
        <v>304.533157</v>
      </c>
      <c r="T296" t="n">
        <v>304.533157</v>
      </c>
      <c r="U296" t="n">
        <v>108.42706</v>
      </c>
      <c r="V296" t="n">
        <v>108.42706</v>
      </c>
      <c r="W296" t="n">
        <v>306.991308</v>
      </c>
      <c r="X296" t="n">
        <v>468.161038</v>
      </c>
    </row>
    <row r="297">
      <c r="A297" t="inlineStr">
        <is>
          <t>Carassius carassius</t>
        </is>
      </c>
      <c r="D297" t="inlineStr">
        <is>
          <t>Unresolved</t>
        </is>
      </c>
    </row>
    <row r="298">
      <c r="A298" t="inlineStr">
        <is>
          <t>Lepidorhombus boscii</t>
        </is>
      </c>
      <c r="B298" t="n">
        <v>3.74</v>
      </c>
      <c r="C298" t="n">
        <v>549.540874</v>
      </c>
      <c r="D298" t="inlineStr">
        <is>
          <t>Flatfishes</t>
        </is>
      </c>
      <c r="E298" t="n">
        <v>327.790917</v>
      </c>
      <c r="F298" t="n">
        <v>222.264878</v>
      </c>
      <c r="G298" t="n">
        <v>60.099306</v>
      </c>
      <c r="H298" t="n">
        <v>123.58001</v>
      </c>
      <c r="I298" t="n">
        <v>98.981683</v>
      </c>
      <c r="J298" t="n">
        <v>101.310188</v>
      </c>
      <c r="K298" t="n">
        <v>92.19227100000001</v>
      </c>
      <c r="L298" t="n">
        <v>114.167454</v>
      </c>
      <c r="M298" t="n">
        <v>114.167454</v>
      </c>
      <c r="N298" t="n">
        <v>114.167454</v>
      </c>
      <c r="O298" t="n">
        <v>82.349557</v>
      </c>
      <c r="P298" t="n">
        <v>38.756383</v>
      </c>
      <c r="Q298" t="n">
        <v>114.167454</v>
      </c>
      <c r="R298" t="n">
        <v>114.167454</v>
      </c>
      <c r="S298" t="n">
        <v>82.349557</v>
      </c>
      <c r="T298" t="n">
        <v>82.349557</v>
      </c>
      <c r="U298" t="n">
        <v>38.756383</v>
      </c>
      <c r="V298" t="n">
        <v>38.756383</v>
      </c>
      <c r="W298" t="n">
        <v>82.655303</v>
      </c>
      <c r="X298" t="n">
        <v>113.898256</v>
      </c>
    </row>
    <row r="299">
      <c r="A299" t="inlineStr">
        <is>
          <t>Balistes capriscus</t>
        </is>
      </c>
      <c r="D299" t="inlineStr">
        <is>
          <t>Large Dem. fish</t>
        </is>
      </c>
      <c r="E299" t="n">
        <v>327.790917</v>
      </c>
      <c r="F299" t="n">
        <v>665.972772</v>
      </c>
      <c r="G299" t="n">
        <v>138.073221</v>
      </c>
      <c r="H299" t="n">
        <v>328.210407</v>
      </c>
      <c r="I299" t="n">
        <v>321.185641</v>
      </c>
      <c r="J299" t="n">
        <v>337.306601</v>
      </c>
      <c r="K299" t="n">
        <v>317.068205</v>
      </c>
      <c r="L299" t="n">
        <v>461.958282</v>
      </c>
      <c r="M299" t="n">
        <v>461.958282</v>
      </c>
      <c r="N299" t="n">
        <v>461.958282</v>
      </c>
      <c r="O299" t="n">
        <v>304.533157</v>
      </c>
      <c r="P299" t="n">
        <v>108.42706</v>
      </c>
      <c r="Q299" t="n">
        <v>461.958282</v>
      </c>
      <c r="R299" t="n">
        <v>461.958282</v>
      </c>
      <c r="S299" t="n">
        <v>304.533157</v>
      </c>
      <c r="T299" t="n">
        <v>304.533157</v>
      </c>
      <c r="U299" t="n">
        <v>108.42706</v>
      </c>
      <c r="V299" t="n">
        <v>108.42706</v>
      </c>
      <c r="W299" t="n">
        <v>306.991308</v>
      </c>
      <c r="X299" t="n">
        <v>468.161038</v>
      </c>
    </row>
    <row r="300">
      <c r="A300" t="inlineStr">
        <is>
          <t>Anarhichas denticulatus</t>
        </is>
      </c>
      <c r="B300" t="n">
        <v>3.75</v>
      </c>
      <c r="C300" t="n">
        <v>562.341325</v>
      </c>
      <c r="D300" t="inlineStr">
        <is>
          <t>Large Dem. fish</t>
        </is>
      </c>
      <c r="E300" t="n">
        <v>327.790917</v>
      </c>
      <c r="F300" t="n">
        <v>665.972772</v>
      </c>
      <c r="G300" t="n">
        <v>138.073221</v>
      </c>
      <c r="H300" t="n">
        <v>328.210407</v>
      </c>
      <c r="I300" t="n">
        <v>321.185641</v>
      </c>
      <c r="J300" t="n">
        <v>337.306601</v>
      </c>
      <c r="K300" t="n">
        <v>317.068205</v>
      </c>
      <c r="L300" t="n">
        <v>461.958282</v>
      </c>
      <c r="M300" t="n">
        <v>461.958282</v>
      </c>
      <c r="N300" t="n">
        <v>461.958282</v>
      </c>
      <c r="O300" t="n">
        <v>304.533157</v>
      </c>
      <c r="P300" t="n">
        <v>108.42706</v>
      </c>
      <c r="Q300" t="n">
        <v>461.958282</v>
      </c>
      <c r="R300" t="n">
        <v>461.958282</v>
      </c>
      <c r="S300" t="n">
        <v>304.533157</v>
      </c>
      <c r="T300" t="n">
        <v>304.533157</v>
      </c>
      <c r="U300" t="n">
        <v>108.42706</v>
      </c>
      <c r="V300" t="n">
        <v>108.42706</v>
      </c>
      <c r="W300" t="n">
        <v>306.991308</v>
      </c>
      <c r="X300" t="n">
        <v>468.161038</v>
      </c>
    </row>
    <row r="301">
      <c r="A301" t="inlineStr">
        <is>
          <t>Dasyatis pastinaca</t>
        </is>
      </c>
      <c r="B301" t="n">
        <v>4.05</v>
      </c>
      <c r="C301" t="n">
        <v>1122.018454</v>
      </c>
      <c r="D301" t="inlineStr">
        <is>
          <t>Sharks &amp; rays</t>
        </is>
      </c>
      <c r="E301" t="n">
        <v>327.790917</v>
      </c>
      <c r="F301" t="n">
        <v>522.28227</v>
      </c>
      <c r="G301" t="n">
        <v>114.842938</v>
      </c>
      <c r="H301" t="n">
        <v>326.928715</v>
      </c>
      <c r="I301" t="n">
        <v>732.255138</v>
      </c>
      <c r="J301" t="n">
        <v>761.48662</v>
      </c>
      <c r="K301" t="n">
        <v>327.439247</v>
      </c>
      <c r="L301" t="n">
        <v>1275.246638</v>
      </c>
      <c r="M301" t="n">
        <v>1275.246638</v>
      </c>
      <c r="N301" t="n">
        <v>1275.246638</v>
      </c>
      <c r="O301" t="n">
        <v>317.659957</v>
      </c>
      <c r="P301" t="n">
        <v>115.247551</v>
      </c>
      <c r="Q301" t="n">
        <v>1275.246638</v>
      </c>
      <c r="R301" t="n">
        <v>1275.246638</v>
      </c>
      <c r="S301" t="n">
        <v>317.659957</v>
      </c>
      <c r="T301" t="n">
        <v>317.659957</v>
      </c>
      <c r="U301" t="n">
        <v>115.247551</v>
      </c>
      <c r="V301" t="n">
        <v>115.247551</v>
      </c>
      <c r="W301" t="n">
        <v>327.701462</v>
      </c>
      <c r="X301" t="n">
        <v>1310.378519</v>
      </c>
    </row>
    <row r="302">
      <c r="A302" t="inlineStr">
        <is>
          <t>Eledone</t>
        </is>
      </c>
      <c r="B302" t="n">
        <v>3.67</v>
      </c>
      <c r="C302" t="n">
        <v>467.735141</v>
      </c>
      <c r="D302" t="inlineStr">
        <is>
          <t>Squid &amp; Octopus</t>
        </is>
      </c>
      <c r="E302" t="n">
        <v>327.790917</v>
      </c>
      <c r="F302" t="n">
        <v>160.967585</v>
      </c>
      <c r="G302" t="n">
        <v>47.060072</v>
      </c>
      <c r="H302" t="n">
        <v>88.258037</v>
      </c>
      <c r="I302" t="n">
        <v>77.00034599999999</v>
      </c>
      <c r="J302" t="n">
        <v>77.34926</v>
      </c>
      <c r="K302" t="n">
        <v>73.481797</v>
      </c>
      <c r="L302" t="n">
        <v>94.097724</v>
      </c>
      <c r="M302" t="n">
        <v>94.097724</v>
      </c>
      <c r="N302" t="n">
        <v>94.097724</v>
      </c>
      <c r="O302" t="n">
        <v>70.413555</v>
      </c>
      <c r="P302" t="n">
        <v>31.50612</v>
      </c>
      <c r="Q302" t="n">
        <v>94.097724</v>
      </c>
      <c r="R302" t="n">
        <v>94.097724</v>
      </c>
      <c r="S302" t="n">
        <v>70.413555</v>
      </c>
      <c r="T302" t="n">
        <v>70.413555</v>
      </c>
      <c r="U302" t="n">
        <v>31.50612</v>
      </c>
      <c r="V302" t="n">
        <v>31.50612</v>
      </c>
      <c r="W302" t="n">
        <v>71.270959</v>
      </c>
      <c r="X302" t="n">
        <v>97.60397</v>
      </c>
    </row>
    <row r="303">
      <c r="A303" t="inlineStr">
        <is>
          <t>Alopias</t>
        </is>
      </c>
      <c r="D303" t="inlineStr">
        <is>
          <t>Sharks &amp; rays</t>
        </is>
      </c>
      <c r="E303" t="n">
        <v>327.790917</v>
      </c>
      <c r="F303" t="n">
        <v>522.28227</v>
      </c>
      <c r="G303" t="n">
        <v>114.842938</v>
      </c>
      <c r="H303" t="n">
        <v>326.928715</v>
      </c>
      <c r="I303" t="n">
        <v>732.255138</v>
      </c>
      <c r="J303" t="n">
        <v>761.48662</v>
      </c>
      <c r="K303" t="n">
        <v>327.439247</v>
      </c>
      <c r="L303" t="n">
        <v>1275.246638</v>
      </c>
      <c r="M303" t="n">
        <v>1275.246638</v>
      </c>
      <c r="N303" t="n">
        <v>1275.246638</v>
      </c>
      <c r="O303" t="n">
        <v>317.659957</v>
      </c>
      <c r="P303" t="n">
        <v>115.247551</v>
      </c>
      <c r="Q303" t="n">
        <v>1275.246638</v>
      </c>
      <c r="R303" t="n">
        <v>1275.246638</v>
      </c>
      <c r="S303" t="n">
        <v>317.659957</v>
      </c>
      <c r="T303" t="n">
        <v>317.659957</v>
      </c>
      <c r="U303" t="n">
        <v>115.247551</v>
      </c>
      <c r="V303" t="n">
        <v>115.247551</v>
      </c>
      <c r="W303" t="n">
        <v>327.701462</v>
      </c>
      <c r="X303" t="n">
        <v>1310.378519</v>
      </c>
    </row>
    <row r="304">
      <c r="A304" t="inlineStr">
        <is>
          <t>Mugil cephalus</t>
        </is>
      </c>
      <c r="B304" t="n">
        <v>2.14</v>
      </c>
      <c r="C304" t="n">
        <v>13.803843</v>
      </c>
      <c r="D304" t="inlineStr">
        <is>
          <t>Large Dem. fish</t>
        </is>
      </c>
      <c r="E304" t="n">
        <v>327.790917</v>
      </c>
      <c r="F304" t="n">
        <v>665.972772</v>
      </c>
      <c r="G304" t="n">
        <v>138.073221</v>
      </c>
      <c r="H304" t="n">
        <v>328.210407</v>
      </c>
      <c r="I304" t="n">
        <v>321.185641</v>
      </c>
      <c r="J304" t="n">
        <v>337.306601</v>
      </c>
      <c r="K304" t="n">
        <v>317.068205</v>
      </c>
      <c r="L304" t="n">
        <v>461.958282</v>
      </c>
      <c r="M304" t="n">
        <v>461.958282</v>
      </c>
      <c r="N304" t="n">
        <v>461.958282</v>
      </c>
      <c r="O304" t="n">
        <v>304.533157</v>
      </c>
      <c r="P304" t="n">
        <v>108.42706</v>
      </c>
      <c r="Q304" t="n">
        <v>461.958282</v>
      </c>
      <c r="R304" t="n">
        <v>461.958282</v>
      </c>
      <c r="S304" t="n">
        <v>304.533157</v>
      </c>
      <c r="T304" t="n">
        <v>304.533157</v>
      </c>
      <c r="U304" t="n">
        <v>108.42706</v>
      </c>
      <c r="V304" t="n">
        <v>108.42706</v>
      </c>
      <c r="W304" t="n">
        <v>306.991308</v>
      </c>
      <c r="X304" t="n">
        <v>468.161038</v>
      </c>
    </row>
    <row r="305">
      <c r="A305" t="inlineStr">
        <is>
          <t>Scomberesox saurus</t>
        </is>
      </c>
      <c r="B305" t="n">
        <v>3.91</v>
      </c>
      <c r="C305" t="n">
        <v>812.830516</v>
      </c>
      <c r="D305" t="inlineStr">
        <is>
          <t>Large Pelagics</t>
        </is>
      </c>
      <c r="E305" t="n">
        <v>327.790917</v>
      </c>
      <c r="F305" t="n">
        <v>409.325031</v>
      </c>
      <c r="G305" t="n">
        <v>95.473426</v>
      </c>
      <c r="H305" t="n">
        <v>171.971164</v>
      </c>
      <c r="I305" t="n">
        <v>151.710468</v>
      </c>
      <c r="J305" t="n">
        <v>166.941311</v>
      </c>
      <c r="K305" t="n">
        <v>150.24718</v>
      </c>
      <c r="L305" t="n">
        <v>208.675232</v>
      </c>
      <c r="M305" t="n">
        <v>208.675232</v>
      </c>
      <c r="N305" t="n">
        <v>208.675232</v>
      </c>
      <c r="O305" t="n">
        <v>139.225251</v>
      </c>
      <c r="P305" t="n">
        <v>55.587338</v>
      </c>
      <c r="Q305" t="n">
        <v>208.675232</v>
      </c>
      <c r="R305" t="n">
        <v>208.675232</v>
      </c>
      <c r="S305" t="n">
        <v>139.225251</v>
      </c>
      <c r="T305" t="n">
        <v>139.225251</v>
      </c>
      <c r="U305" t="n">
        <v>55.587338</v>
      </c>
      <c r="V305" t="n">
        <v>55.587338</v>
      </c>
      <c r="W305" t="n">
        <v>138.889014</v>
      </c>
      <c r="X305" t="n">
        <v>209.882396</v>
      </c>
    </row>
    <row r="306">
      <c r="A306" t="inlineStr">
        <is>
          <t>Mola mola</t>
        </is>
      </c>
      <c r="D306" t="inlineStr">
        <is>
          <t>Unresolved</t>
        </is>
      </c>
    </row>
    <row r="307">
      <c r="A307" t="inlineStr">
        <is>
          <t>Chelidonichthys lastoviza</t>
        </is>
      </c>
      <c r="B307" t="n">
        <v>3.49</v>
      </c>
      <c r="C307" t="n">
        <v>309.029543</v>
      </c>
      <c r="D307" t="inlineStr">
        <is>
          <t>Large Dem. fish</t>
        </is>
      </c>
      <c r="E307" t="n">
        <v>327.790917</v>
      </c>
      <c r="F307" t="n">
        <v>665.972772</v>
      </c>
      <c r="G307" t="n">
        <v>138.073221</v>
      </c>
      <c r="H307" t="n">
        <v>328.210407</v>
      </c>
      <c r="I307" t="n">
        <v>321.185641</v>
      </c>
      <c r="J307" t="n">
        <v>337.306601</v>
      </c>
      <c r="K307" t="n">
        <v>317.068205</v>
      </c>
      <c r="L307" t="n">
        <v>461.958282</v>
      </c>
      <c r="M307" t="n">
        <v>461.958282</v>
      </c>
      <c r="N307" t="n">
        <v>461.958282</v>
      </c>
      <c r="O307" t="n">
        <v>304.533157</v>
      </c>
      <c r="P307" t="n">
        <v>108.42706</v>
      </c>
      <c r="Q307" t="n">
        <v>461.958282</v>
      </c>
      <c r="R307" t="n">
        <v>461.958282</v>
      </c>
      <c r="S307" t="n">
        <v>304.533157</v>
      </c>
      <c r="T307" t="n">
        <v>304.533157</v>
      </c>
      <c r="U307" t="n">
        <v>108.42706</v>
      </c>
      <c r="V307" t="n">
        <v>108.42706</v>
      </c>
      <c r="W307" t="n">
        <v>306.991308</v>
      </c>
      <c r="X307" t="n">
        <v>468.161038</v>
      </c>
    </row>
    <row r="308">
      <c r="A308" t="inlineStr">
        <is>
          <t>Illex coindetii</t>
        </is>
      </c>
      <c r="B308" t="n">
        <v>4.11</v>
      </c>
      <c r="C308" t="n">
        <v>1288.249552</v>
      </c>
      <c r="D308" t="inlineStr">
        <is>
          <t>Squid &amp; Octopus</t>
        </is>
      </c>
      <c r="E308" t="n">
        <v>327.790917</v>
      </c>
      <c r="F308" t="n">
        <v>160.967585</v>
      </c>
      <c r="G308" t="n">
        <v>47.060072</v>
      </c>
      <c r="H308" t="n">
        <v>88.258037</v>
      </c>
      <c r="I308" t="n">
        <v>77.00034599999999</v>
      </c>
      <c r="J308" t="n">
        <v>77.34926</v>
      </c>
      <c r="K308" t="n">
        <v>73.481797</v>
      </c>
      <c r="L308" t="n">
        <v>94.097724</v>
      </c>
      <c r="M308" t="n">
        <v>94.097724</v>
      </c>
      <c r="N308" t="n">
        <v>94.097724</v>
      </c>
      <c r="O308" t="n">
        <v>70.413555</v>
      </c>
      <c r="P308" t="n">
        <v>31.50612</v>
      </c>
      <c r="Q308" t="n">
        <v>94.097724</v>
      </c>
      <c r="R308" t="n">
        <v>94.097724</v>
      </c>
      <c r="S308" t="n">
        <v>70.413555</v>
      </c>
      <c r="T308" t="n">
        <v>70.413555</v>
      </c>
      <c r="U308" t="n">
        <v>31.50612</v>
      </c>
      <c r="V308" t="n">
        <v>31.50612</v>
      </c>
      <c r="W308" t="n">
        <v>71.270959</v>
      </c>
      <c r="X308" t="n">
        <v>97.60397</v>
      </c>
    </row>
    <row r="309">
      <c r="A309" t="inlineStr">
        <is>
          <t>Berycidae</t>
        </is>
      </c>
      <c r="B309" t="n">
        <v>3.99</v>
      </c>
      <c r="C309" t="n">
        <v>977.237221</v>
      </c>
      <c r="D309" t="inlineStr">
        <is>
          <t>Unresolved</t>
        </is>
      </c>
    </row>
    <row r="310">
      <c r="A310" t="inlineStr">
        <is>
          <t>Beryx splendens</t>
        </is>
      </c>
      <c r="B310" t="n">
        <v>4.27</v>
      </c>
      <c r="C310" t="n">
        <v>1862.087137</v>
      </c>
      <c r="D310" t="inlineStr">
        <is>
          <t>Unresolved</t>
        </is>
      </c>
    </row>
    <row r="311">
      <c r="A311" t="inlineStr">
        <is>
          <t>Beryx decadactylus</t>
        </is>
      </c>
      <c r="B311" t="n">
        <v>4.13</v>
      </c>
      <c r="C311" t="n">
        <v>1348.962883</v>
      </c>
      <c r="D311" t="inlineStr">
        <is>
          <t>Unresolved</t>
        </is>
      </c>
    </row>
    <row r="312">
      <c r="A312" t="inlineStr">
        <is>
          <t>Anarhichas minor</t>
        </is>
      </c>
      <c r="B312" t="n">
        <v>3.45</v>
      </c>
      <c r="C312" t="n">
        <v>281.838293</v>
      </c>
      <c r="D312" t="inlineStr">
        <is>
          <t>Large Dem. fish</t>
        </is>
      </c>
      <c r="E312" t="n">
        <v>327.790917</v>
      </c>
      <c r="F312" t="n">
        <v>665.972772</v>
      </c>
      <c r="G312" t="n">
        <v>138.073221</v>
      </c>
      <c r="H312" t="n">
        <v>328.210407</v>
      </c>
      <c r="I312" t="n">
        <v>321.185641</v>
      </c>
      <c r="J312" t="n">
        <v>337.306601</v>
      </c>
      <c r="K312" t="n">
        <v>317.068205</v>
      </c>
      <c r="L312" t="n">
        <v>461.958282</v>
      </c>
      <c r="M312" t="n">
        <v>461.958282</v>
      </c>
      <c r="N312" t="n">
        <v>461.958282</v>
      </c>
      <c r="O312" t="n">
        <v>304.533157</v>
      </c>
      <c r="P312" t="n">
        <v>108.42706</v>
      </c>
      <c r="Q312" t="n">
        <v>461.958282</v>
      </c>
      <c r="R312" t="n">
        <v>461.958282</v>
      </c>
      <c r="S312" t="n">
        <v>304.533157</v>
      </c>
      <c r="T312" t="n">
        <v>304.533157</v>
      </c>
      <c r="U312" t="n">
        <v>108.42706</v>
      </c>
      <c r="V312" t="n">
        <v>108.42706</v>
      </c>
      <c r="W312" t="n">
        <v>306.991308</v>
      </c>
      <c r="X312" t="n">
        <v>468.161038</v>
      </c>
    </row>
    <row r="313">
      <c r="A313" t="inlineStr">
        <is>
          <t>Katsuwonus pelamis</t>
        </is>
      </c>
      <c r="D313" t="inlineStr">
        <is>
          <t>Unresolved</t>
        </is>
      </c>
    </row>
    <row r="314">
      <c r="A314" t="inlineStr">
        <is>
          <t>Argyrosomus regius</t>
        </is>
      </c>
      <c r="B314" t="n">
        <v>4.29</v>
      </c>
      <c r="C314" t="n">
        <v>1949.8446</v>
      </c>
      <c r="D314" t="inlineStr">
        <is>
          <t>Large Dem. fish</t>
        </is>
      </c>
      <c r="E314" t="n">
        <v>327.790917</v>
      </c>
      <c r="F314" t="n">
        <v>665.972772</v>
      </c>
      <c r="G314" t="n">
        <v>138.073221</v>
      </c>
      <c r="H314" t="n">
        <v>328.210407</v>
      </c>
      <c r="I314" t="n">
        <v>321.185641</v>
      </c>
      <c r="J314" t="n">
        <v>337.306601</v>
      </c>
      <c r="K314" t="n">
        <v>317.068205</v>
      </c>
      <c r="L314" t="n">
        <v>461.958282</v>
      </c>
      <c r="M314" t="n">
        <v>461.958282</v>
      </c>
      <c r="N314" t="n">
        <v>461.958282</v>
      </c>
      <c r="O314" t="n">
        <v>304.533157</v>
      </c>
      <c r="P314" t="n">
        <v>108.42706</v>
      </c>
      <c r="Q314" t="n">
        <v>461.958282</v>
      </c>
      <c r="R314" t="n">
        <v>461.958282</v>
      </c>
      <c r="S314" t="n">
        <v>304.533157</v>
      </c>
      <c r="T314" t="n">
        <v>304.533157</v>
      </c>
      <c r="U314" t="n">
        <v>108.42706</v>
      </c>
      <c r="V314" t="n">
        <v>108.42706</v>
      </c>
      <c r="W314" t="n">
        <v>306.991308</v>
      </c>
      <c r="X314" t="n">
        <v>468.161038</v>
      </c>
    </row>
    <row r="315">
      <c r="A315" t="inlineStr">
        <is>
          <t>Etmopterus</t>
        </is>
      </c>
      <c r="D315" t="inlineStr">
        <is>
          <t>Sharks &amp; rays</t>
        </is>
      </c>
      <c r="E315" t="n">
        <v>327.790917</v>
      </c>
      <c r="F315" t="n">
        <v>522.28227</v>
      </c>
      <c r="G315" t="n">
        <v>114.842938</v>
      </c>
      <c r="H315" t="n">
        <v>326.928715</v>
      </c>
      <c r="I315" t="n">
        <v>732.255138</v>
      </c>
      <c r="J315" t="n">
        <v>761.48662</v>
      </c>
      <c r="K315" t="n">
        <v>327.439247</v>
      </c>
      <c r="L315" t="n">
        <v>1275.246638</v>
      </c>
      <c r="M315" t="n">
        <v>1275.246638</v>
      </c>
      <c r="N315" t="n">
        <v>1275.246638</v>
      </c>
      <c r="O315" t="n">
        <v>317.659957</v>
      </c>
      <c r="P315" t="n">
        <v>115.247551</v>
      </c>
      <c r="Q315" t="n">
        <v>1275.246638</v>
      </c>
      <c r="R315" t="n">
        <v>1275.246638</v>
      </c>
      <c r="S315" t="n">
        <v>317.659957</v>
      </c>
      <c r="T315" t="n">
        <v>317.659957</v>
      </c>
      <c r="U315" t="n">
        <v>115.247551</v>
      </c>
      <c r="V315" t="n">
        <v>115.247551</v>
      </c>
      <c r="W315" t="n">
        <v>327.701462</v>
      </c>
      <c r="X315" t="n">
        <v>1310.378519</v>
      </c>
    </row>
    <row r="316">
      <c r="A316" t="inlineStr">
        <is>
          <t>Pagellus erythrinus</t>
        </is>
      </c>
      <c r="B316" t="n">
        <v>3.48</v>
      </c>
      <c r="C316" t="n">
        <v>301.995172</v>
      </c>
      <c r="D316" t="inlineStr">
        <is>
          <t>Large Dem. fish</t>
        </is>
      </c>
      <c r="E316" t="n">
        <v>327.790917</v>
      </c>
      <c r="F316" t="n">
        <v>665.972772</v>
      </c>
      <c r="G316" t="n">
        <v>138.073221</v>
      </c>
      <c r="H316" t="n">
        <v>328.210407</v>
      </c>
      <c r="I316" t="n">
        <v>321.185641</v>
      </c>
      <c r="J316" t="n">
        <v>337.306601</v>
      </c>
      <c r="K316" t="n">
        <v>317.068205</v>
      </c>
      <c r="L316" t="n">
        <v>461.958282</v>
      </c>
      <c r="M316" t="n">
        <v>461.958282</v>
      </c>
      <c r="N316" t="n">
        <v>461.958282</v>
      </c>
      <c r="O316" t="n">
        <v>304.533157</v>
      </c>
      <c r="P316" t="n">
        <v>108.42706</v>
      </c>
      <c r="Q316" t="n">
        <v>461.958282</v>
      </c>
      <c r="R316" t="n">
        <v>461.958282</v>
      </c>
      <c r="S316" t="n">
        <v>304.533157</v>
      </c>
      <c r="T316" t="n">
        <v>304.533157</v>
      </c>
      <c r="U316" t="n">
        <v>108.42706</v>
      </c>
      <c r="V316" t="n">
        <v>108.42706</v>
      </c>
      <c r="W316" t="n">
        <v>306.991308</v>
      </c>
      <c r="X316" t="n">
        <v>468.161038</v>
      </c>
    </row>
    <row r="317">
      <c r="A317" t="inlineStr">
        <is>
          <t>Leuciscus idus</t>
        </is>
      </c>
      <c r="B317" t="n">
        <v>3.79</v>
      </c>
      <c r="C317" t="n">
        <v>616.595002</v>
      </c>
      <c r="D317" t="inlineStr">
        <is>
          <t>Unresolved</t>
        </is>
      </c>
    </row>
    <row r="318">
      <c r="A318" t="inlineStr">
        <is>
          <t>Mimachlamys varia</t>
        </is>
      </c>
      <c r="B318" t="n">
        <v>2.1</v>
      </c>
      <c r="C318" t="n">
        <v>12.589254</v>
      </c>
      <c r="D318" t="inlineStr">
        <is>
          <t>Epifauna</t>
        </is>
      </c>
      <c r="E318" t="n">
        <v>327.790917</v>
      </c>
      <c r="F318" t="n">
        <v>28.994229</v>
      </c>
      <c r="G318" t="n">
        <v>12.834993</v>
      </c>
      <c r="H318" t="n">
        <v>17.954978</v>
      </c>
      <c r="I318" t="n">
        <v>11.374014</v>
      </c>
      <c r="J318" t="n">
        <v>11.374014</v>
      </c>
      <c r="K318" t="n">
        <v>10.009132</v>
      </c>
      <c r="L318" t="n">
        <v>10.950321</v>
      </c>
      <c r="M318" t="n">
        <v>10.950321</v>
      </c>
      <c r="N318" t="n">
        <v>10.950321</v>
      </c>
      <c r="O318" t="n">
        <v>10.041084</v>
      </c>
      <c r="P318" t="n">
        <v>6.846302</v>
      </c>
      <c r="Q318" t="n">
        <v>10.950321</v>
      </c>
      <c r="R318" t="n">
        <v>10.950321</v>
      </c>
      <c r="S318" t="n">
        <v>10.041084</v>
      </c>
      <c r="T318" t="n">
        <v>10.041084</v>
      </c>
      <c r="U318" t="n">
        <v>6.846302</v>
      </c>
      <c r="V318" t="n">
        <v>6.846302</v>
      </c>
      <c r="W318" t="n">
        <v>9.947857000000001</v>
      </c>
      <c r="X318" t="n">
        <v>10.794705</v>
      </c>
    </row>
    <row r="319">
      <c r="A319" t="inlineStr">
        <is>
          <t>Deania calceus</t>
        </is>
      </c>
      <c r="D319" t="inlineStr">
        <is>
          <t>Sharks &amp; rays</t>
        </is>
      </c>
      <c r="E319" t="n">
        <v>327.790917</v>
      </c>
      <c r="F319" t="n">
        <v>522.28227</v>
      </c>
      <c r="G319" t="n">
        <v>114.842938</v>
      </c>
      <c r="H319" t="n">
        <v>326.928715</v>
      </c>
      <c r="I319" t="n">
        <v>732.255138</v>
      </c>
      <c r="J319" t="n">
        <v>761.48662</v>
      </c>
      <c r="K319" t="n">
        <v>327.439247</v>
      </c>
      <c r="L319" t="n">
        <v>1275.246638</v>
      </c>
      <c r="M319" t="n">
        <v>1275.246638</v>
      </c>
      <c r="N319" t="n">
        <v>1275.246638</v>
      </c>
      <c r="O319" t="n">
        <v>317.659957</v>
      </c>
      <c r="P319" t="n">
        <v>115.247551</v>
      </c>
      <c r="Q319" t="n">
        <v>1275.246638</v>
      </c>
      <c r="R319" t="n">
        <v>1275.246638</v>
      </c>
      <c r="S319" t="n">
        <v>317.659957</v>
      </c>
      <c r="T319" t="n">
        <v>317.659957</v>
      </c>
      <c r="U319" t="n">
        <v>115.247551</v>
      </c>
      <c r="V319" t="n">
        <v>115.247551</v>
      </c>
      <c r="W319" t="n">
        <v>327.701462</v>
      </c>
      <c r="X319" t="n">
        <v>1310.378519</v>
      </c>
    </row>
    <row r="320">
      <c r="A320" t="inlineStr">
        <is>
          <t>Auxis rochei</t>
        </is>
      </c>
      <c r="B320" t="n">
        <v>4.13</v>
      </c>
      <c r="C320" t="n">
        <v>1348.962883</v>
      </c>
      <c r="D320" t="inlineStr">
        <is>
          <t>Unresolved</t>
        </is>
      </c>
    </row>
    <row r="321">
      <c r="A321" t="inlineStr">
        <is>
          <t>Trichiuridae</t>
        </is>
      </c>
      <c r="B321" t="n">
        <v>4.15</v>
      </c>
      <c r="C321" t="n">
        <v>1412.537545</v>
      </c>
      <c r="D321" t="inlineStr">
        <is>
          <t>Unresolved</t>
        </is>
      </c>
    </row>
    <row r="322">
      <c r="A322" t="inlineStr">
        <is>
          <t>Veneridae</t>
        </is>
      </c>
      <c r="B322" t="n">
        <v>2</v>
      </c>
      <c r="C322" t="n">
        <v>10</v>
      </c>
      <c r="D322" t="inlineStr">
        <is>
          <t>Infauna</t>
        </is>
      </c>
      <c r="E322" t="n">
        <v>327.790917</v>
      </c>
      <c r="F322" t="n">
        <v>10</v>
      </c>
      <c r="G322" t="n">
        <v>5.727631</v>
      </c>
      <c r="H322" t="n">
        <v>5.721903</v>
      </c>
      <c r="I322" t="n">
        <v>4.44</v>
      </c>
      <c r="J322" t="n">
        <v>4.44</v>
      </c>
      <c r="K322" t="n">
        <v>3.996</v>
      </c>
      <c r="L322" t="n">
        <v>3.864936</v>
      </c>
      <c r="M322" t="n">
        <v>3.864936</v>
      </c>
      <c r="N322" t="n">
        <v>3.864936</v>
      </c>
      <c r="O322" t="n">
        <v>4.247203</v>
      </c>
      <c r="P322" t="n">
        <v>3.679841</v>
      </c>
      <c r="Q322" t="n">
        <v>3.864936</v>
      </c>
      <c r="R322" t="n">
        <v>3.864936</v>
      </c>
      <c r="S322" t="n">
        <v>4.247203</v>
      </c>
      <c r="T322" t="n">
        <v>4.247203</v>
      </c>
      <c r="U322" t="n">
        <v>3.679841</v>
      </c>
      <c r="V322" t="n">
        <v>3.679841</v>
      </c>
      <c r="W322" t="n">
        <v>4.187569</v>
      </c>
      <c r="X322" t="n">
        <v>3.928919</v>
      </c>
    </row>
    <row r="323">
      <c r="A323" t="inlineStr">
        <is>
          <t>Rhinochimaera atlantica</t>
        </is>
      </c>
      <c r="D323" t="inlineStr">
        <is>
          <t>Unresolved</t>
        </is>
      </c>
    </row>
    <row r="324">
      <c r="A324" t="inlineStr">
        <is>
          <t>Centrolophus niger</t>
        </is>
      </c>
      <c r="B324" t="n">
        <v>3.92</v>
      </c>
      <c r="C324" t="n">
        <v>831.763771</v>
      </c>
      <c r="D324" t="inlineStr">
        <is>
          <t>Unresolved</t>
        </is>
      </c>
    </row>
    <row r="325">
      <c r="A325" t="inlineStr">
        <is>
          <t>Alopias vulpinus</t>
        </is>
      </c>
      <c r="B325" t="n">
        <v>4.5</v>
      </c>
      <c r="C325" t="n">
        <v>3162.27766</v>
      </c>
      <c r="D325" t="inlineStr">
        <is>
          <t>Sharks &amp; rays</t>
        </is>
      </c>
      <c r="E325" t="n">
        <v>327.790917</v>
      </c>
      <c r="F325" t="n">
        <v>522.28227</v>
      </c>
      <c r="G325" t="n">
        <v>114.842938</v>
      </c>
      <c r="H325" t="n">
        <v>326.928715</v>
      </c>
      <c r="I325" t="n">
        <v>732.255138</v>
      </c>
      <c r="J325" t="n">
        <v>761.48662</v>
      </c>
      <c r="K325" t="n">
        <v>327.439247</v>
      </c>
      <c r="L325" t="n">
        <v>1275.246638</v>
      </c>
      <c r="M325" t="n">
        <v>1275.246638</v>
      </c>
      <c r="N325" t="n">
        <v>1275.246638</v>
      </c>
      <c r="O325" t="n">
        <v>317.659957</v>
      </c>
      <c r="P325" t="n">
        <v>115.247551</v>
      </c>
      <c r="Q325" t="n">
        <v>1275.246638</v>
      </c>
      <c r="R325" t="n">
        <v>1275.246638</v>
      </c>
      <c r="S325" t="n">
        <v>317.659957</v>
      </c>
      <c r="T325" t="n">
        <v>317.659957</v>
      </c>
      <c r="U325" t="n">
        <v>115.247551</v>
      </c>
      <c r="V325" t="n">
        <v>115.247551</v>
      </c>
      <c r="W325" t="n">
        <v>327.701462</v>
      </c>
      <c r="X325" t="n">
        <v>1310.378519</v>
      </c>
    </row>
    <row r="326">
      <c r="A326" t="inlineStr">
        <is>
          <t>Venerupis corrugata</t>
        </is>
      </c>
      <c r="B326" t="n">
        <v>2.1</v>
      </c>
      <c r="C326" t="n">
        <v>12.589254</v>
      </c>
      <c r="D326" t="inlineStr">
        <is>
          <t>Infauna</t>
        </is>
      </c>
      <c r="E326" t="n">
        <v>327.790917</v>
      </c>
      <c r="F326" t="n">
        <v>10</v>
      </c>
      <c r="G326" t="n">
        <v>5.727631</v>
      </c>
      <c r="H326" t="n">
        <v>5.721903</v>
      </c>
      <c r="I326" t="n">
        <v>4.44</v>
      </c>
      <c r="J326" t="n">
        <v>4.44</v>
      </c>
      <c r="K326" t="n">
        <v>3.996</v>
      </c>
      <c r="L326" t="n">
        <v>3.864936</v>
      </c>
      <c r="M326" t="n">
        <v>3.864936</v>
      </c>
      <c r="N326" t="n">
        <v>3.864936</v>
      </c>
      <c r="O326" t="n">
        <v>4.247203</v>
      </c>
      <c r="P326" t="n">
        <v>3.679841</v>
      </c>
      <c r="Q326" t="n">
        <v>3.864936</v>
      </c>
      <c r="R326" t="n">
        <v>3.864936</v>
      </c>
      <c r="S326" t="n">
        <v>4.247203</v>
      </c>
      <c r="T326" t="n">
        <v>4.247203</v>
      </c>
      <c r="U326" t="n">
        <v>3.679841</v>
      </c>
      <c r="V326" t="n">
        <v>3.679841</v>
      </c>
      <c r="W326" t="n">
        <v>4.187569</v>
      </c>
      <c r="X326" t="n">
        <v>3.928919</v>
      </c>
    </row>
    <row r="327">
      <c r="A327" t="inlineStr">
        <is>
          <t>Dentex</t>
        </is>
      </c>
      <c r="B327" t="n">
        <v>3.96</v>
      </c>
      <c r="C327" t="n">
        <v>912.010839</v>
      </c>
      <c r="D327" t="inlineStr">
        <is>
          <t>Large Dem. fish</t>
        </is>
      </c>
      <c r="E327" t="n">
        <v>327.790917</v>
      </c>
      <c r="F327" t="n">
        <v>665.972772</v>
      </c>
      <c r="G327" t="n">
        <v>138.073221</v>
      </c>
      <c r="H327" t="n">
        <v>328.210407</v>
      </c>
      <c r="I327" t="n">
        <v>321.185641</v>
      </c>
      <c r="J327" t="n">
        <v>337.306601</v>
      </c>
      <c r="K327" t="n">
        <v>317.068205</v>
      </c>
      <c r="L327" t="n">
        <v>461.958282</v>
      </c>
      <c r="M327" t="n">
        <v>461.958282</v>
      </c>
      <c r="N327" t="n">
        <v>461.958282</v>
      </c>
      <c r="O327" t="n">
        <v>304.533157</v>
      </c>
      <c r="P327" t="n">
        <v>108.42706</v>
      </c>
      <c r="Q327" t="n">
        <v>461.958282</v>
      </c>
      <c r="R327" t="n">
        <v>461.958282</v>
      </c>
      <c r="S327" t="n">
        <v>304.533157</v>
      </c>
      <c r="T327" t="n">
        <v>304.533157</v>
      </c>
      <c r="U327" t="n">
        <v>108.42706</v>
      </c>
      <c r="V327" t="n">
        <v>108.42706</v>
      </c>
      <c r="W327" t="n">
        <v>306.991308</v>
      </c>
      <c r="X327" t="n">
        <v>468.161038</v>
      </c>
    </row>
    <row r="328">
      <c r="A328" t="inlineStr">
        <is>
          <t>Arctica islandica</t>
        </is>
      </c>
      <c r="D328" t="inlineStr">
        <is>
          <t>Infauna</t>
        </is>
      </c>
      <c r="E328" t="n">
        <v>327.790917</v>
      </c>
      <c r="F328" t="n">
        <v>10</v>
      </c>
      <c r="G328" t="n">
        <v>5.727631</v>
      </c>
      <c r="H328" t="n">
        <v>5.721903</v>
      </c>
      <c r="I328" t="n">
        <v>4.44</v>
      </c>
      <c r="J328" t="n">
        <v>4.44</v>
      </c>
      <c r="K328" t="n">
        <v>3.996</v>
      </c>
      <c r="L328" t="n">
        <v>3.864936</v>
      </c>
      <c r="M328" t="n">
        <v>3.864936</v>
      </c>
      <c r="N328" t="n">
        <v>3.864936</v>
      </c>
      <c r="O328" t="n">
        <v>4.247203</v>
      </c>
      <c r="P328" t="n">
        <v>3.679841</v>
      </c>
      <c r="Q328" t="n">
        <v>3.864936</v>
      </c>
      <c r="R328" t="n">
        <v>3.864936</v>
      </c>
      <c r="S328" t="n">
        <v>4.247203</v>
      </c>
      <c r="T328" t="n">
        <v>4.247203</v>
      </c>
      <c r="U328" t="n">
        <v>3.679841</v>
      </c>
      <c r="V328" t="n">
        <v>3.679841</v>
      </c>
      <c r="W328" t="n">
        <v>4.187569</v>
      </c>
      <c r="X328" t="n">
        <v>3.928919</v>
      </c>
    </row>
    <row r="329">
      <c r="A329" t="inlineStr">
        <is>
          <t>Molva macrophthalma</t>
        </is>
      </c>
      <c r="B329" t="n">
        <v>4.5</v>
      </c>
      <c r="C329" t="n">
        <v>3162.27766</v>
      </c>
      <c r="D329" t="inlineStr">
        <is>
          <t>Ling</t>
        </is>
      </c>
      <c r="E329" t="n">
        <v>327.790917</v>
      </c>
      <c r="F329" t="n">
        <v>1898.245398</v>
      </c>
      <c r="G329" t="n">
        <v>305.428226</v>
      </c>
      <c r="H329" t="n">
        <v>911.558009</v>
      </c>
      <c r="I329" t="n">
        <v>376.10347</v>
      </c>
      <c r="J329" t="n">
        <v>391.847098</v>
      </c>
      <c r="K329" t="n">
        <v>368.336273</v>
      </c>
      <c r="L329" t="n">
        <v>491.495581</v>
      </c>
      <c r="M329" t="n">
        <v>491.495581</v>
      </c>
      <c r="N329" t="n">
        <v>491.495581</v>
      </c>
      <c r="O329" t="n">
        <v>302.549286</v>
      </c>
      <c r="P329" t="n">
        <v>96.52297900000001</v>
      </c>
      <c r="Q329" t="n">
        <v>491.495581</v>
      </c>
      <c r="R329" t="n">
        <v>491.495581</v>
      </c>
      <c r="S329" t="n">
        <v>302.549286</v>
      </c>
      <c r="T329" t="n">
        <v>302.549286</v>
      </c>
      <c r="U329" t="n">
        <v>96.52297900000001</v>
      </c>
      <c r="V329" t="n">
        <v>96.52297900000001</v>
      </c>
      <c r="W329" t="n">
        <v>307.895008</v>
      </c>
      <c r="X329" t="n">
        <v>544.500349</v>
      </c>
    </row>
    <row r="330">
      <c r="A330" t="inlineStr">
        <is>
          <t>Squatina squatina</t>
        </is>
      </c>
      <c r="B330" t="n">
        <v>4.05</v>
      </c>
      <c r="C330" t="n">
        <v>1122.018454</v>
      </c>
      <c r="D330" t="inlineStr">
        <is>
          <t>Sharks &amp; rays</t>
        </is>
      </c>
      <c r="E330" t="n">
        <v>327.790917</v>
      </c>
      <c r="F330" t="n">
        <v>522.28227</v>
      </c>
      <c r="G330" t="n">
        <v>114.842938</v>
      </c>
      <c r="H330" t="n">
        <v>326.928715</v>
      </c>
      <c r="I330" t="n">
        <v>732.255138</v>
      </c>
      <c r="J330" t="n">
        <v>761.48662</v>
      </c>
      <c r="K330" t="n">
        <v>327.439247</v>
      </c>
      <c r="L330" t="n">
        <v>1275.246638</v>
      </c>
      <c r="M330" t="n">
        <v>1275.246638</v>
      </c>
      <c r="N330" t="n">
        <v>1275.246638</v>
      </c>
      <c r="O330" t="n">
        <v>317.659957</v>
      </c>
      <c r="P330" t="n">
        <v>115.247551</v>
      </c>
      <c r="Q330" t="n">
        <v>1275.246638</v>
      </c>
      <c r="R330" t="n">
        <v>1275.246638</v>
      </c>
      <c r="S330" t="n">
        <v>317.659957</v>
      </c>
      <c r="T330" t="n">
        <v>317.659957</v>
      </c>
      <c r="U330" t="n">
        <v>115.247551</v>
      </c>
      <c r="V330" t="n">
        <v>115.247551</v>
      </c>
      <c r="W330" t="n">
        <v>327.701462</v>
      </c>
      <c r="X330" t="n">
        <v>1310.378519</v>
      </c>
    </row>
    <row r="331">
      <c r="A331" t="inlineStr">
        <is>
          <t>Gaidropsarus</t>
        </is>
      </c>
      <c r="B331" t="n">
        <v>3.4</v>
      </c>
      <c r="C331" t="n">
        <v>251.188643</v>
      </c>
      <c r="D331" t="inlineStr">
        <is>
          <t>Large Dem. fish</t>
        </is>
      </c>
      <c r="E331" t="n">
        <v>327.790917</v>
      </c>
      <c r="F331" t="n">
        <v>665.972772</v>
      </c>
      <c r="G331" t="n">
        <v>138.073221</v>
      </c>
      <c r="H331" t="n">
        <v>328.210407</v>
      </c>
      <c r="I331" t="n">
        <v>321.185641</v>
      </c>
      <c r="J331" t="n">
        <v>337.306601</v>
      </c>
      <c r="K331" t="n">
        <v>317.068205</v>
      </c>
      <c r="L331" t="n">
        <v>461.958282</v>
      </c>
      <c r="M331" t="n">
        <v>461.958282</v>
      </c>
      <c r="N331" t="n">
        <v>461.958282</v>
      </c>
      <c r="O331" t="n">
        <v>304.533157</v>
      </c>
      <c r="P331" t="n">
        <v>108.42706</v>
      </c>
      <c r="Q331" t="n">
        <v>461.958282</v>
      </c>
      <c r="R331" t="n">
        <v>461.958282</v>
      </c>
      <c r="S331" t="n">
        <v>304.533157</v>
      </c>
      <c r="T331" t="n">
        <v>304.533157</v>
      </c>
      <c r="U331" t="n">
        <v>108.42706</v>
      </c>
      <c r="V331" t="n">
        <v>108.42706</v>
      </c>
      <c r="W331" t="n">
        <v>306.991308</v>
      </c>
      <c r="X331" t="n">
        <v>468.161038</v>
      </c>
    </row>
    <row r="332">
      <c r="A332" t="inlineStr">
        <is>
          <t>Liocarcinus depurator</t>
        </is>
      </c>
      <c r="B332" t="n">
        <v>2.6</v>
      </c>
      <c r="C332" t="n">
        <v>39.810717</v>
      </c>
      <c r="D332" t="inlineStr">
        <is>
          <t>Crustacea</t>
        </is>
      </c>
      <c r="E332" t="n">
        <v>327.790917</v>
      </c>
      <c r="F332" t="n">
        <v>79.403785</v>
      </c>
      <c r="G332" t="n">
        <v>27.544327</v>
      </c>
      <c r="H332" t="n">
        <v>45.837748</v>
      </c>
      <c r="I332" t="n">
        <v>38.918317</v>
      </c>
      <c r="J332" t="n">
        <v>38.964516</v>
      </c>
      <c r="K332" t="n">
        <v>31.561258</v>
      </c>
      <c r="L332" t="n">
        <v>47.671907</v>
      </c>
      <c r="M332" t="n">
        <v>47.671907</v>
      </c>
      <c r="N332" t="n">
        <v>47.671907</v>
      </c>
      <c r="O332" t="n">
        <v>34.575524</v>
      </c>
      <c r="P332" t="n">
        <v>19.020842</v>
      </c>
      <c r="Q332" t="n">
        <v>47.671907</v>
      </c>
      <c r="R332" t="n">
        <v>47.671907</v>
      </c>
      <c r="S332" t="n">
        <v>34.575524</v>
      </c>
      <c r="T332" t="n">
        <v>34.575524</v>
      </c>
      <c r="U332" t="n">
        <v>19.020842</v>
      </c>
      <c r="V332" t="n">
        <v>19.020842</v>
      </c>
      <c r="W332" t="n">
        <v>34.954015</v>
      </c>
      <c r="X332" t="n">
        <v>47.765312</v>
      </c>
    </row>
    <row r="333">
      <c r="A333" t="inlineStr">
        <is>
          <t>Hypophthalmichthys nobilis</t>
        </is>
      </c>
      <c r="D333" t="inlineStr">
        <is>
          <t>Unresolved</t>
        </is>
      </c>
    </row>
    <row r="334">
      <c r="A334" t="inlineStr">
        <is>
          <t>Somniosus microcephalus</t>
        </is>
      </c>
      <c r="D334" t="inlineStr">
        <is>
          <t>Sharks &amp; rays</t>
        </is>
      </c>
      <c r="E334" t="n">
        <v>327.790917</v>
      </c>
      <c r="F334" t="n">
        <v>522.28227</v>
      </c>
      <c r="G334" t="n">
        <v>114.842938</v>
      </c>
      <c r="H334" t="n">
        <v>326.928715</v>
      </c>
      <c r="I334" t="n">
        <v>732.255138</v>
      </c>
      <c r="J334" t="n">
        <v>761.48662</v>
      </c>
      <c r="K334" t="n">
        <v>327.439247</v>
      </c>
      <c r="L334" t="n">
        <v>1275.246638</v>
      </c>
      <c r="M334" t="n">
        <v>1275.246638</v>
      </c>
      <c r="N334" t="n">
        <v>1275.246638</v>
      </c>
      <c r="O334" t="n">
        <v>317.659957</v>
      </c>
      <c r="P334" t="n">
        <v>115.247551</v>
      </c>
      <c r="Q334" t="n">
        <v>1275.246638</v>
      </c>
      <c r="R334" t="n">
        <v>1275.246638</v>
      </c>
      <c r="S334" t="n">
        <v>317.659957</v>
      </c>
      <c r="T334" t="n">
        <v>317.659957</v>
      </c>
      <c r="U334" t="n">
        <v>115.247551</v>
      </c>
      <c r="V334" t="n">
        <v>115.247551</v>
      </c>
      <c r="W334" t="n">
        <v>327.701462</v>
      </c>
      <c r="X334" t="n">
        <v>1310.378519</v>
      </c>
    </row>
    <row r="335">
      <c r="A335" t="inlineStr">
        <is>
          <t>Venus verrucosa</t>
        </is>
      </c>
      <c r="B335" t="n">
        <v>2</v>
      </c>
      <c r="C335" t="n">
        <v>10</v>
      </c>
      <c r="D335" t="inlineStr">
        <is>
          <t>Infauna</t>
        </is>
      </c>
      <c r="E335" t="n">
        <v>327.790917</v>
      </c>
      <c r="F335" t="n">
        <v>10</v>
      </c>
      <c r="G335" t="n">
        <v>5.727631</v>
      </c>
      <c r="H335" t="n">
        <v>5.721903</v>
      </c>
      <c r="I335" t="n">
        <v>4.44</v>
      </c>
      <c r="J335" t="n">
        <v>4.44</v>
      </c>
      <c r="K335" t="n">
        <v>3.996</v>
      </c>
      <c r="L335" t="n">
        <v>3.864936</v>
      </c>
      <c r="M335" t="n">
        <v>3.864936</v>
      </c>
      <c r="N335" t="n">
        <v>3.864936</v>
      </c>
      <c r="O335" t="n">
        <v>4.247203</v>
      </c>
      <c r="P335" t="n">
        <v>3.679841</v>
      </c>
      <c r="Q335" t="n">
        <v>3.864936</v>
      </c>
      <c r="R335" t="n">
        <v>3.864936</v>
      </c>
      <c r="S335" t="n">
        <v>4.247203</v>
      </c>
      <c r="T335" t="n">
        <v>4.247203</v>
      </c>
      <c r="U335" t="n">
        <v>3.679841</v>
      </c>
      <c r="V335" t="n">
        <v>3.679841</v>
      </c>
      <c r="W335" t="n">
        <v>4.187569</v>
      </c>
      <c r="X335" t="n">
        <v>3.928919</v>
      </c>
    </row>
    <row r="336">
      <c r="A336" t="inlineStr">
        <is>
          <t>Scorpaena scrofa</t>
        </is>
      </c>
      <c r="B336" t="n">
        <v>4.25</v>
      </c>
      <c r="C336" t="n">
        <v>1778.27941</v>
      </c>
      <c r="D336" t="inlineStr">
        <is>
          <t>Large Dem. fish</t>
        </is>
      </c>
      <c r="E336" t="n">
        <v>327.790917</v>
      </c>
      <c r="F336" t="n">
        <v>665.972772</v>
      </c>
      <c r="G336" t="n">
        <v>138.073221</v>
      </c>
      <c r="H336" t="n">
        <v>328.210407</v>
      </c>
      <c r="I336" t="n">
        <v>321.185641</v>
      </c>
      <c r="J336" t="n">
        <v>337.306601</v>
      </c>
      <c r="K336" t="n">
        <v>317.068205</v>
      </c>
      <c r="L336" t="n">
        <v>461.958282</v>
      </c>
      <c r="M336" t="n">
        <v>461.958282</v>
      </c>
      <c r="N336" t="n">
        <v>461.958282</v>
      </c>
      <c r="O336" t="n">
        <v>304.533157</v>
      </c>
      <c r="P336" t="n">
        <v>108.42706</v>
      </c>
      <c r="Q336" t="n">
        <v>461.958282</v>
      </c>
      <c r="R336" t="n">
        <v>461.958282</v>
      </c>
      <c r="S336" t="n">
        <v>304.533157</v>
      </c>
      <c r="T336" t="n">
        <v>304.533157</v>
      </c>
      <c r="U336" t="n">
        <v>108.42706</v>
      </c>
      <c r="V336" t="n">
        <v>108.42706</v>
      </c>
      <c r="W336" t="n">
        <v>306.991308</v>
      </c>
      <c r="X336" t="n">
        <v>468.161038</v>
      </c>
    </row>
    <row r="337">
      <c r="A337" t="inlineStr">
        <is>
          <t>Ostrea</t>
        </is>
      </c>
      <c r="D337" t="inlineStr">
        <is>
          <t>Epifauna</t>
        </is>
      </c>
      <c r="E337" t="n">
        <v>327.790917</v>
      </c>
      <c r="F337" t="n">
        <v>28.994229</v>
      </c>
      <c r="G337" t="n">
        <v>12.834993</v>
      </c>
      <c r="H337" t="n">
        <v>17.954978</v>
      </c>
      <c r="I337" t="n">
        <v>11.374014</v>
      </c>
      <c r="J337" t="n">
        <v>11.374014</v>
      </c>
      <c r="K337" t="n">
        <v>10.009132</v>
      </c>
      <c r="L337" t="n">
        <v>10.950321</v>
      </c>
      <c r="M337" t="n">
        <v>10.950321</v>
      </c>
      <c r="N337" t="n">
        <v>10.950321</v>
      </c>
      <c r="O337" t="n">
        <v>10.041084</v>
      </c>
      <c r="P337" t="n">
        <v>6.846302</v>
      </c>
      <c r="Q337" t="n">
        <v>10.950321</v>
      </c>
      <c r="R337" t="n">
        <v>10.950321</v>
      </c>
      <c r="S337" t="n">
        <v>10.041084</v>
      </c>
      <c r="T337" t="n">
        <v>10.041084</v>
      </c>
      <c r="U337" t="n">
        <v>6.846302</v>
      </c>
      <c r="V337" t="n">
        <v>6.846302</v>
      </c>
      <c r="W337" t="n">
        <v>9.947857000000001</v>
      </c>
      <c r="X337" t="n">
        <v>10.794705</v>
      </c>
    </row>
    <row r="338">
      <c r="A338" t="inlineStr">
        <is>
          <t>Acanthocardia tuberculata</t>
        </is>
      </c>
      <c r="B338" t="n">
        <v>2.5</v>
      </c>
      <c r="C338" t="n">
        <v>31.622777</v>
      </c>
      <c r="D338" t="inlineStr">
        <is>
          <t>Epifauna</t>
        </is>
      </c>
      <c r="E338" t="n">
        <v>327.790917</v>
      </c>
      <c r="F338" t="n">
        <v>28.994229</v>
      </c>
      <c r="G338" t="n">
        <v>12.834993</v>
      </c>
      <c r="H338" t="n">
        <v>17.954978</v>
      </c>
      <c r="I338" t="n">
        <v>11.374014</v>
      </c>
      <c r="J338" t="n">
        <v>11.374014</v>
      </c>
      <c r="K338" t="n">
        <v>10.009132</v>
      </c>
      <c r="L338" t="n">
        <v>10.950321</v>
      </c>
      <c r="M338" t="n">
        <v>10.950321</v>
      </c>
      <c r="N338" t="n">
        <v>10.950321</v>
      </c>
      <c r="O338" t="n">
        <v>10.041084</v>
      </c>
      <c r="P338" t="n">
        <v>6.846302</v>
      </c>
      <c r="Q338" t="n">
        <v>10.950321</v>
      </c>
      <c r="R338" t="n">
        <v>10.950321</v>
      </c>
      <c r="S338" t="n">
        <v>10.041084</v>
      </c>
      <c r="T338" t="n">
        <v>10.041084</v>
      </c>
      <c r="U338" t="n">
        <v>6.846302</v>
      </c>
      <c r="V338" t="n">
        <v>6.846302</v>
      </c>
      <c r="W338" t="n">
        <v>9.947857000000001</v>
      </c>
      <c r="X338" t="n">
        <v>10.794705</v>
      </c>
    </row>
    <row r="339">
      <c r="A339" t="inlineStr">
        <is>
          <t>Galeus</t>
        </is>
      </c>
      <c r="B339" t="n">
        <v>4.04</v>
      </c>
      <c r="C339" t="n">
        <v>1096.478196</v>
      </c>
      <c r="D339" t="inlineStr">
        <is>
          <t>Sharks &amp; rays</t>
        </is>
      </c>
      <c r="E339" t="n">
        <v>327.790917</v>
      </c>
      <c r="F339" t="n">
        <v>522.28227</v>
      </c>
      <c r="G339" t="n">
        <v>114.842938</v>
      </c>
      <c r="H339" t="n">
        <v>326.928715</v>
      </c>
      <c r="I339" t="n">
        <v>732.255138</v>
      </c>
      <c r="J339" t="n">
        <v>761.48662</v>
      </c>
      <c r="K339" t="n">
        <v>327.439247</v>
      </c>
      <c r="L339" t="n">
        <v>1275.246638</v>
      </c>
      <c r="M339" t="n">
        <v>1275.246638</v>
      </c>
      <c r="N339" t="n">
        <v>1275.246638</v>
      </c>
      <c r="O339" t="n">
        <v>317.659957</v>
      </c>
      <c r="P339" t="n">
        <v>115.247551</v>
      </c>
      <c r="Q339" t="n">
        <v>1275.246638</v>
      </c>
      <c r="R339" t="n">
        <v>1275.246638</v>
      </c>
      <c r="S339" t="n">
        <v>317.659957</v>
      </c>
      <c r="T339" t="n">
        <v>317.659957</v>
      </c>
      <c r="U339" t="n">
        <v>115.247551</v>
      </c>
      <c r="V339" t="n">
        <v>115.247551</v>
      </c>
      <c r="W339" t="n">
        <v>327.701462</v>
      </c>
      <c r="X339" t="n">
        <v>1310.378519</v>
      </c>
    </row>
    <row r="340">
      <c r="A340" t="inlineStr">
        <is>
          <t>Dendrobranchiata</t>
        </is>
      </c>
      <c r="B340" t="n">
        <v>3.24</v>
      </c>
      <c r="C340" t="n">
        <v>173.780083</v>
      </c>
      <c r="D340" t="inlineStr">
        <is>
          <t>Crustacea</t>
        </is>
      </c>
      <c r="E340" t="n">
        <v>327.790917</v>
      </c>
      <c r="F340" t="n">
        <v>79.403785</v>
      </c>
      <c r="G340" t="n">
        <v>27.544327</v>
      </c>
      <c r="H340" t="n">
        <v>45.837748</v>
      </c>
      <c r="I340" t="n">
        <v>38.918317</v>
      </c>
      <c r="J340" t="n">
        <v>38.964516</v>
      </c>
      <c r="K340" t="n">
        <v>31.561258</v>
      </c>
      <c r="L340" t="n">
        <v>47.671907</v>
      </c>
      <c r="M340" t="n">
        <v>47.671907</v>
      </c>
      <c r="N340" t="n">
        <v>47.671907</v>
      </c>
      <c r="O340" t="n">
        <v>34.575524</v>
      </c>
      <c r="P340" t="n">
        <v>19.020842</v>
      </c>
      <c r="Q340" t="n">
        <v>47.671907</v>
      </c>
      <c r="R340" t="n">
        <v>47.671907</v>
      </c>
      <c r="S340" t="n">
        <v>34.575524</v>
      </c>
      <c r="T340" t="n">
        <v>34.575524</v>
      </c>
      <c r="U340" t="n">
        <v>19.020842</v>
      </c>
      <c r="V340" t="n">
        <v>19.020842</v>
      </c>
      <c r="W340" t="n">
        <v>34.954015</v>
      </c>
      <c r="X340" t="n">
        <v>47.765312</v>
      </c>
    </row>
    <row r="341">
      <c r="A341" t="inlineStr">
        <is>
          <t>Nephropidae</t>
        </is>
      </c>
      <c r="D341" t="inlineStr">
        <is>
          <t>Crustacea</t>
        </is>
      </c>
      <c r="E341" t="n">
        <v>327.790917</v>
      </c>
      <c r="F341" t="n">
        <v>79.403785</v>
      </c>
      <c r="G341" t="n">
        <v>27.544327</v>
      </c>
      <c r="H341" t="n">
        <v>45.837748</v>
      </c>
      <c r="I341" t="n">
        <v>38.918317</v>
      </c>
      <c r="J341" t="n">
        <v>38.964516</v>
      </c>
      <c r="K341" t="n">
        <v>31.561258</v>
      </c>
      <c r="L341" t="n">
        <v>47.671907</v>
      </c>
      <c r="M341" t="n">
        <v>47.671907</v>
      </c>
      <c r="N341" t="n">
        <v>47.671907</v>
      </c>
      <c r="O341" t="n">
        <v>34.575524</v>
      </c>
      <c r="P341" t="n">
        <v>19.020842</v>
      </c>
      <c r="Q341" t="n">
        <v>47.671907</v>
      </c>
      <c r="R341" t="n">
        <v>47.671907</v>
      </c>
      <c r="S341" t="n">
        <v>34.575524</v>
      </c>
      <c r="T341" t="n">
        <v>34.575524</v>
      </c>
      <c r="U341" t="n">
        <v>19.020842</v>
      </c>
      <c r="V341" t="n">
        <v>19.020842</v>
      </c>
      <c r="W341" t="n">
        <v>34.954015</v>
      </c>
      <c r="X341" t="n">
        <v>47.765312</v>
      </c>
    </row>
    <row r="342">
      <c r="A342" t="inlineStr">
        <is>
          <t>Auxis</t>
        </is>
      </c>
      <c r="B342" t="n">
        <v>4.24</v>
      </c>
      <c r="C342" t="n">
        <v>1737.800829</v>
      </c>
      <c r="D342" t="inlineStr">
        <is>
          <t>Unresolved</t>
        </is>
      </c>
    </row>
    <row r="343">
      <c r="A343" t="inlineStr">
        <is>
          <t>Salvelinus</t>
        </is>
      </c>
      <c r="D343" t="inlineStr">
        <is>
          <t>Unresolved</t>
        </is>
      </c>
    </row>
    <row r="344">
      <c r="A344" t="inlineStr">
        <is>
          <t>Carcharhinidae</t>
        </is>
      </c>
      <c r="B344" t="n">
        <v>4.24</v>
      </c>
      <c r="C344" t="n">
        <v>1737.800829</v>
      </c>
      <c r="D344" t="inlineStr">
        <is>
          <t>Sharks &amp; rays</t>
        </is>
      </c>
      <c r="E344" t="n">
        <v>327.790917</v>
      </c>
      <c r="F344" t="n">
        <v>522.28227</v>
      </c>
      <c r="G344" t="n">
        <v>114.842938</v>
      </c>
      <c r="H344" t="n">
        <v>326.928715</v>
      </c>
      <c r="I344" t="n">
        <v>732.255138</v>
      </c>
      <c r="J344" t="n">
        <v>761.48662</v>
      </c>
      <c r="K344" t="n">
        <v>327.439247</v>
      </c>
      <c r="L344" t="n">
        <v>1275.246638</v>
      </c>
      <c r="M344" t="n">
        <v>1275.246638</v>
      </c>
      <c r="N344" t="n">
        <v>1275.246638</v>
      </c>
      <c r="O344" t="n">
        <v>317.659957</v>
      </c>
      <c r="P344" t="n">
        <v>115.247551</v>
      </c>
      <c r="Q344" t="n">
        <v>1275.246638</v>
      </c>
      <c r="R344" t="n">
        <v>1275.246638</v>
      </c>
      <c r="S344" t="n">
        <v>317.659957</v>
      </c>
      <c r="T344" t="n">
        <v>317.659957</v>
      </c>
      <c r="U344" t="n">
        <v>115.247551</v>
      </c>
      <c r="V344" t="n">
        <v>115.247551</v>
      </c>
      <c r="W344" t="n">
        <v>327.701462</v>
      </c>
      <c r="X344" t="n">
        <v>1310.378519</v>
      </c>
    </row>
    <row r="345">
      <c r="A345" t="inlineStr">
        <is>
          <t>Lithodes maja</t>
        </is>
      </c>
      <c r="D345" t="inlineStr">
        <is>
          <t>Crustacea</t>
        </is>
      </c>
      <c r="E345" t="n">
        <v>327.790917</v>
      </c>
      <c r="F345" t="n">
        <v>79.403785</v>
      </c>
      <c r="G345" t="n">
        <v>27.544327</v>
      </c>
      <c r="H345" t="n">
        <v>45.837748</v>
      </c>
      <c r="I345" t="n">
        <v>38.918317</v>
      </c>
      <c r="J345" t="n">
        <v>38.964516</v>
      </c>
      <c r="K345" t="n">
        <v>31.561258</v>
      </c>
      <c r="L345" t="n">
        <v>47.671907</v>
      </c>
      <c r="M345" t="n">
        <v>47.671907</v>
      </c>
      <c r="N345" t="n">
        <v>47.671907</v>
      </c>
      <c r="O345" t="n">
        <v>34.575524</v>
      </c>
      <c r="P345" t="n">
        <v>19.020842</v>
      </c>
      <c r="Q345" t="n">
        <v>47.671907</v>
      </c>
      <c r="R345" t="n">
        <v>47.671907</v>
      </c>
      <c r="S345" t="n">
        <v>34.575524</v>
      </c>
      <c r="T345" t="n">
        <v>34.575524</v>
      </c>
      <c r="U345" t="n">
        <v>19.020842</v>
      </c>
      <c r="V345" t="n">
        <v>19.020842</v>
      </c>
      <c r="W345" t="n">
        <v>34.954015</v>
      </c>
      <c r="X345" t="n">
        <v>47.765312</v>
      </c>
    </row>
    <row r="346">
      <c r="A346" t="inlineStr">
        <is>
          <t>Mactridae</t>
        </is>
      </c>
      <c r="D346" t="inlineStr">
        <is>
          <t>Infauna</t>
        </is>
      </c>
      <c r="E346" t="n">
        <v>327.790917</v>
      </c>
      <c r="F346" t="n">
        <v>10</v>
      </c>
      <c r="G346" t="n">
        <v>5.727631</v>
      </c>
      <c r="H346" t="n">
        <v>5.721903</v>
      </c>
      <c r="I346" t="n">
        <v>4.44</v>
      </c>
      <c r="J346" t="n">
        <v>4.44</v>
      </c>
      <c r="K346" t="n">
        <v>3.996</v>
      </c>
      <c r="L346" t="n">
        <v>3.864936</v>
      </c>
      <c r="M346" t="n">
        <v>3.864936</v>
      </c>
      <c r="N346" t="n">
        <v>3.864936</v>
      </c>
      <c r="O346" t="n">
        <v>4.247203</v>
      </c>
      <c r="P346" t="n">
        <v>3.679841</v>
      </c>
      <c r="Q346" t="n">
        <v>3.864936</v>
      </c>
      <c r="R346" t="n">
        <v>3.864936</v>
      </c>
      <c r="S346" t="n">
        <v>4.247203</v>
      </c>
      <c r="T346" t="n">
        <v>4.247203</v>
      </c>
      <c r="U346" t="n">
        <v>3.679841</v>
      </c>
      <c r="V346" t="n">
        <v>3.679841</v>
      </c>
      <c r="W346" t="n">
        <v>4.187569</v>
      </c>
      <c r="X346" t="n">
        <v>3.928919</v>
      </c>
    </row>
    <row r="347">
      <c r="A347" t="inlineStr">
        <is>
          <t>Scomber</t>
        </is>
      </c>
      <c r="B347" t="n">
        <v>3.65</v>
      </c>
      <c r="C347" t="n">
        <v>446.683592</v>
      </c>
      <c r="D347" t="inlineStr">
        <is>
          <t>Large Pelagics</t>
        </is>
      </c>
      <c r="E347" t="n">
        <v>327.790917</v>
      </c>
      <c r="F347" t="n">
        <v>409.325031</v>
      </c>
      <c r="G347" t="n">
        <v>95.473426</v>
      </c>
      <c r="H347" t="n">
        <v>171.971164</v>
      </c>
      <c r="I347" t="n">
        <v>151.710468</v>
      </c>
      <c r="J347" t="n">
        <v>166.941311</v>
      </c>
      <c r="K347" t="n">
        <v>150.24718</v>
      </c>
      <c r="L347" t="n">
        <v>208.675232</v>
      </c>
      <c r="M347" t="n">
        <v>208.675232</v>
      </c>
      <c r="N347" t="n">
        <v>208.675232</v>
      </c>
      <c r="O347" t="n">
        <v>139.225251</v>
      </c>
      <c r="P347" t="n">
        <v>55.587338</v>
      </c>
      <c r="Q347" t="n">
        <v>208.675232</v>
      </c>
      <c r="R347" t="n">
        <v>208.675232</v>
      </c>
      <c r="S347" t="n">
        <v>139.225251</v>
      </c>
      <c r="T347" t="n">
        <v>139.225251</v>
      </c>
      <c r="U347" t="n">
        <v>55.587338</v>
      </c>
      <c r="V347" t="n">
        <v>55.587338</v>
      </c>
      <c r="W347" t="n">
        <v>138.889014</v>
      </c>
      <c r="X347" t="n">
        <v>209.882396</v>
      </c>
    </row>
    <row r="348">
      <c r="A348" t="inlineStr">
        <is>
          <t>Polititapes rhomboides</t>
        </is>
      </c>
      <c r="B348" t="n">
        <v>2</v>
      </c>
      <c r="C348" t="n">
        <v>10</v>
      </c>
      <c r="D348" t="inlineStr">
        <is>
          <t>Infauna</t>
        </is>
      </c>
      <c r="E348" t="n">
        <v>327.790917</v>
      </c>
      <c r="F348" t="n">
        <v>10</v>
      </c>
      <c r="G348" t="n">
        <v>5.727631</v>
      </c>
      <c r="H348" t="n">
        <v>5.721903</v>
      </c>
      <c r="I348" t="n">
        <v>4.44</v>
      </c>
      <c r="J348" t="n">
        <v>4.44</v>
      </c>
      <c r="K348" t="n">
        <v>3.996</v>
      </c>
      <c r="L348" t="n">
        <v>3.864936</v>
      </c>
      <c r="M348" t="n">
        <v>3.864936</v>
      </c>
      <c r="N348" t="n">
        <v>3.864936</v>
      </c>
      <c r="O348" t="n">
        <v>4.247203</v>
      </c>
      <c r="P348" t="n">
        <v>3.679841</v>
      </c>
      <c r="Q348" t="n">
        <v>3.864936</v>
      </c>
      <c r="R348" t="n">
        <v>3.864936</v>
      </c>
      <c r="S348" t="n">
        <v>4.247203</v>
      </c>
      <c r="T348" t="n">
        <v>4.247203</v>
      </c>
      <c r="U348" t="n">
        <v>3.679841</v>
      </c>
      <c r="V348" t="n">
        <v>3.679841</v>
      </c>
      <c r="W348" t="n">
        <v>4.187569</v>
      </c>
      <c r="X348" t="n">
        <v>3.928919</v>
      </c>
    </row>
    <row r="349">
      <c r="A349" t="inlineStr">
        <is>
          <t>Acipenser sturio</t>
        </is>
      </c>
      <c r="B349" t="n">
        <v>3.51</v>
      </c>
      <c r="C349" t="n">
        <v>323.593657</v>
      </c>
      <c r="D349" t="inlineStr">
        <is>
          <t>Unresolved</t>
        </is>
      </c>
    </row>
    <row r="350">
      <c r="A350" t="inlineStr">
        <is>
          <t>Sebastes viviparus</t>
        </is>
      </c>
      <c r="D350" t="inlineStr">
        <is>
          <t>Large Dem. fish</t>
        </is>
      </c>
      <c r="E350" t="n">
        <v>327.790917</v>
      </c>
      <c r="F350" t="n">
        <v>665.972772</v>
      </c>
      <c r="G350" t="n">
        <v>138.073221</v>
      </c>
      <c r="H350" t="n">
        <v>328.210407</v>
      </c>
      <c r="I350" t="n">
        <v>321.185641</v>
      </c>
      <c r="J350" t="n">
        <v>337.306601</v>
      </c>
      <c r="K350" t="n">
        <v>317.068205</v>
      </c>
      <c r="L350" t="n">
        <v>461.958282</v>
      </c>
      <c r="M350" t="n">
        <v>461.958282</v>
      </c>
      <c r="N350" t="n">
        <v>461.958282</v>
      </c>
      <c r="O350" t="n">
        <v>304.533157</v>
      </c>
      <c r="P350" t="n">
        <v>108.42706</v>
      </c>
      <c r="Q350" t="n">
        <v>461.958282</v>
      </c>
      <c r="R350" t="n">
        <v>461.958282</v>
      </c>
      <c r="S350" t="n">
        <v>304.533157</v>
      </c>
      <c r="T350" t="n">
        <v>304.533157</v>
      </c>
      <c r="U350" t="n">
        <v>108.42706</v>
      </c>
      <c r="V350" t="n">
        <v>108.42706</v>
      </c>
      <c r="W350" t="n">
        <v>306.991308</v>
      </c>
      <c r="X350" t="n">
        <v>468.161038</v>
      </c>
    </row>
    <row r="351">
      <c r="A351" t="inlineStr">
        <is>
          <t>Scomberesocidae</t>
        </is>
      </c>
      <c r="B351" t="n">
        <v>4.01</v>
      </c>
      <c r="C351" t="n">
        <v>1023.292992</v>
      </c>
      <c r="D351" t="inlineStr">
        <is>
          <t>Large Pelagics</t>
        </is>
      </c>
      <c r="E351" t="n">
        <v>327.790917</v>
      </c>
      <c r="F351" t="n">
        <v>409.325031</v>
      </c>
      <c r="G351" t="n">
        <v>95.473426</v>
      </c>
      <c r="H351" t="n">
        <v>171.971164</v>
      </c>
      <c r="I351" t="n">
        <v>151.710468</v>
      </c>
      <c r="J351" t="n">
        <v>166.941311</v>
      </c>
      <c r="K351" t="n">
        <v>150.24718</v>
      </c>
      <c r="L351" t="n">
        <v>208.675232</v>
      </c>
      <c r="M351" t="n">
        <v>208.675232</v>
      </c>
      <c r="N351" t="n">
        <v>208.675232</v>
      </c>
      <c r="O351" t="n">
        <v>139.225251</v>
      </c>
      <c r="P351" t="n">
        <v>55.587338</v>
      </c>
      <c r="Q351" t="n">
        <v>208.675232</v>
      </c>
      <c r="R351" t="n">
        <v>208.675232</v>
      </c>
      <c r="S351" t="n">
        <v>139.225251</v>
      </c>
      <c r="T351" t="n">
        <v>139.225251</v>
      </c>
      <c r="U351" t="n">
        <v>55.587338</v>
      </c>
      <c r="V351" t="n">
        <v>55.587338</v>
      </c>
      <c r="W351" t="n">
        <v>138.889014</v>
      </c>
      <c r="X351" t="n">
        <v>209.882396</v>
      </c>
    </row>
    <row r="352">
      <c r="A352" t="inlineStr">
        <is>
          <t>Ensis ensis</t>
        </is>
      </c>
      <c r="B352" t="n">
        <v>2</v>
      </c>
      <c r="C352" t="n">
        <v>10</v>
      </c>
      <c r="D352" t="inlineStr">
        <is>
          <t>Infauna</t>
        </is>
      </c>
      <c r="E352" t="n">
        <v>327.790917</v>
      </c>
      <c r="F352" t="n">
        <v>10</v>
      </c>
      <c r="G352" t="n">
        <v>5.727631</v>
      </c>
      <c r="H352" t="n">
        <v>5.721903</v>
      </c>
      <c r="I352" t="n">
        <v>4.44</v>
      </c>
      <c r="J352" t="n">
        <v>4.44</v>
      </c>
      <c r="K352" t="n">
        <v>3.996</v>
      </c>
      <c r="L352" t="n">
        <v>3.864936</v>
      </c>
      <c r="M352" t="n">
        <v>3.864936</v>
      </c>
      <c r="N352" t="n">
        <v>3.864936</v>
      </c>
      <c r="O352" t="n">
        <v>4.247203</v>
      </c>
      <c r="P352" t="n">
        <v>3.679841</v>
      </c>
      <c r="Q352" t="n">
        <v>3.864936</v>
      </c>
      <c r="R352" t="n">
        <v>3.864936</v>
      </c>
      <c r="S352" t="n">
        <v>4.247203</v>
      </c>
      <c r="T352" t="n">
        <v>4.247203</v>
      </c>
      <c r="U352" t="n">
        <v>3.679841</v>
      </c>
      <c r="V352" t="n">
        <v>3.679841</v>
      </c>
      <c r="W352" t="n">
        <v>4.187569</v>
      </c>
      <c r="X352" t="n">
        <v>3.928919</v>
      </c>
    </row>
    <row r="353">
      <c r="A353" t="inlineStr">
        <is>
          <t>Donax</t>
        </is>
      </c>
      <c r="B353" t="n">
        <v>2</v>
      </c>
      <c r="C353" t="n">
        <v>10</v>
      </c>
      <c r="D353" t="inlineStr">
        <is>
          <t>Infauna</t>
        </is>
      </c>
      <c r="E353" t="n">
        <v>327.790917</v>
      </c>
      <c r="F353" t="n">
        <v>10</v>
      </c>
      <c r="G353" t="n">
        <v>5.727631</v>
      </c>
      <c r="H353" t="n">
        <v>5.721903</v>
      </c>
      <c r="I353" t="n">
        <v>4.44</v>
      </c>
      <c r="J353" t="n">
        <v>4.44</v>
      </c>
      <c r="K353" t="n">
        <v>3.996</v>
      </c>
      <c r="L353" t="n">
        <v>3.864936</v>
      </c>
      <c r="M353" t="n">
        <v>3.864936</v>
      </c>
      <c r="N353" t="n">
        <v>3.864936</v>
      </c>
      <c r="O353" t="n">
        <v>4.247203</v>
      </c>
      <c r="P353" t="n">
        <v>3.679841</v>
      </c>
      <c r="Q353" t="n">
        <v>3.864936</v>
      </c>
      <c r="R353" t="n">
        <v>3.864936</v>
      </c>
      <c r="S353" t="n">
        <v>4.247203</v>
      </c>
      <c r="T353" t="n">
        <v>4.247203</v>
      </c>
      <c r="U353" t="n">
        <v>3.679841</v>
      </c>
      <c r="V353" t="n">
        <v>3.679841</v>
      </c>
      <c r="W353" t="n">
        <v>4.187569</v>
      </c>
      <c r="X353" t="n">
        <v>3.928919</v>
      </c>
    </row>
    <row r="354">
      <c r="A354" t="inlineStr">
        <is>
          <t>Palinurus elephas</t>
        </is>
      </c>
      <c r="B354" t="n">
        <v>3.34</v>
      </c>
      <c r="C354" t="n">
        <v>218.776162</v>
      </c>
      <c r="D354" t="inlineStr">
        <is>
          <t>Crustacea</t>
        </is>
      </c>
      <c r="E354" t="n">
        <v>327.790917</v>
      </c>
      <c r="F354" t="n">
        <v>79.403785</v>
      </c>
      <c r="G354" t="n">
        <v>27.544327</v>
      </c>
      <c r="H354" t="n">
        <v>45.837748</v>
      </c>
      <c r="I354" t="n">
        <v>38.918317</v>
      </c>
      <c r="J354" t="n">
        <v>38.964516</v>
      </c>
      <c r="K354" t="n">
        <v>31.561258</v>
      </c>
      <c r="L354" t="n">
        <v>47.671907</v>
      </c>
      <c r="M354" t="n">
        <v>47.671907</v>
      </c>
      <c r="N354" t="n">
        <v>47.671907</v>
      </c>
      <c r="O354" t="n">
        <v>34.575524</v>
      </c>
      <c r="P354" t="n">
        <v>19.020842</v>
      </c>
      <c r="Q354" t="n">
        <v>47.671907</v>
      </c>
      <c r="R354" t="n">
        <v>47.671907</v>
      </c>
      <c r="S354" t="n">
        <v>34.575524</v>
      </c>
      <c r="T354" t="n">
        <v>34.575524</v>
      </c>
      <c r="U354" t="n">
        <v>19.020842</v>
      </c>
      <c r="V354" t="n">
        <v>19.020842</v>
      </c>
      <c r="W354" t="n">
        <v>34.954015</v>
      </c>
      <c r="X354" t="n">
        <v>47.765312</v>
      </c>
    </row>
    <row r="355">
      <c r="A355" t="inlineStr">
        <is>
          <t>Callista chione</t>
        </is>
      </c>
      <c r="B355" t="n">
        <v>2</v>
      </c>
      <c r="C355" t="n">
        <v>10</v>
      </c>
      <c r="D355" t="inlineStr">
        <is>
          <t>Infauna</t>
        </is>
      </c>
      <c r="E355" t="n">
        <v>327.790917</v>
      </c>
      <c r="F355" t="n">
        <v>10</v>
      </c>
      <c r="G355" t="n">
        <v>5.727631</v>
      </c>
      <c r="H355" t="n">
        <v>5.721903</v>
      </c>
      <c r="I355" t="n">
        <v>4.44</v>
      </c>
      <c r="J355" t="n">
        <v>4.44</v>
      </c>
      <c r="K355" t="n">
        <v>3.996</v>
      </c>
      <c r="L355" t="n">
        <v>3.864936</v>
      </c>
      <c r="M355" t="n">
        <v>3.864936</v>
      </c>
      <c r="N355" t="n">
        <v>3.864936</v>
      </c>
      <c r="O355" t="n">
        <v>4.247203</v>
      </c>
      <c r="P355" t="n">
        <v>3.679841</v>
      </c>
      <c r="Q355" t="n">
        <v>3.864936</v>
      </c>
      <c r="R355" t="n">
        <v>3.864936</v>
      </c>
      <c r="S355" t="n">
        <v>4.247203</v>
      </c>
      <c r="T355" t="n">
        <v>4.247203</v>
      </c>
      <c r="U355" t="n">
        <v>3.679841</v>
      </c>
      <c r="V355" t="n">
        <v>3.679841</v>
      </c>
      <c r="W355" t="n">
        <v>4.187569</v>
      </c>
      <c r="X355" t="n">
        <v>3.928919</v>
      </c>
    </row>
    <row r="356">
      <c r="A356" t="inlineStr">
        <is>
          <t>Ommastrephidae</t>
        </is>
      </c>
      <c r="B356" t="n">
        <v>4.09</v>
      </c>
      <c r="C356" t="n">
        <v>1230.268771</v>
      </c>
      <c r="D356" t="inlineStr">
        <is>
          <t>Squid &amp; Octopus</t>
        </is>
      </c>
      <c r="E356" t="n">
        <v>327.790917</v>
      </c>
      <c r="F356" t="n">
        <v>160.967585</v>
      </c>
      <c r="G356" t="n">
        <v>47.060072</v>
      </c>
      <c r="H356" t="n">
        <v>88.258037</v>
      </c>
      <c r="I356" t="n">
        <v>77.00034599999999</v>
      </c>
      <c r="J356" t="n">
        <v>77.34926</v>
      </c>
      <c r="K356" t="n">
        <v>73.481797</v>
      </c>
      <c r="L356" t="n">
        <v>94.097724</v>
      </c>
      <c r="M356" t="n">
        <v>94.097724</v>
      </c>
      <c r="N356" t="n">
        <v>94.097724</v>
      </c>
      <c r="O356" t="n">
        <v>70.413555</v>
      </c>
      <c r="P356" t="n">
        <v>31.50612</v>
      </c>
      <c r="Q356" t="n">
        <v>94.097724</v>
      </c>
      <c r="R356" t="n">
        <v>94.097724</v>
      </c>
      <c r="S356" t="n">
        <v>70.413555</v>
      </c>
      <c r="T356" t="n">
        <v>70.413555</v>
      </c>
      <c r="U356" t="n">
        <v>31.50612</v>
      </c>
      <c r="V356" t="n">
        <v>31.50612</v>
      </c>
      <c r="W356" t="n">
        <v>71.270959</v>
      </c>
      <c r="X356" t="n">
        <v>97.60397</v>
      </c>
    </row>
    <row r="357">
      <c r="A357" t="inlineStr">
        <is>
          <t>Palaemon longirostris</t>
        </is>
      </c>
      <c r="B357" t="n">
        <v>2.6</v>
      </c>
      <c r="C357" t="n">
        <v>39.810717</v>
      </c>
      <c r="D357" t="inlineStr">
        <is>
          <t>Crustacea</t>
        </is>
      </c>
      <c r="E357" t="n">
        <v>327.790917</v>
      </c>
      <c r="F357" t="n">
        <v>79.403785</v>
      </c>
      <c r="G357" t="n">
        <v>27.544327</v>
      </c>
      <c r="H357" t="n">
        <v>45.837748</v>
      </c>
      <c r="I357" t="n">
        <v>38.918317</v>
      </c>
      <c r="J357" t="n">
        <v>38.964516</v>
      </c>
      <c r="K357" t="n">
        <v>31.561258</v>
      </c>
      <c r="L357" t="n">
        <v>47.671907</v>
      </c>
      <c r="M357" t="n">
        <v>47.671907</v>
      </c>
      <c r="N357" t="n">
        <v>47.671907</v>
      </c>
      <c r="O357" t="n">
        <v>34.575524</v>
      </c>
      <c r="P357" t="n">
        <v>19.020842</v>
      </c>
      <c r="Q357" t="n">
        <v>47.671907</v>
      </c>
      <c r="R357" t="n">
        <v>47.671907</v>
      </c>
      <c r="S357" t="n">
        <v>34.575524</v>
      </c>
      <c r="T357" t="n">
        <v>34.575524</v>
      </c>
      <c r="U357" t="n">
        <v>19.020842</v>
      </c>
      <c r="V357" t="n">
        <v>19.020842</v>
      </c>
      <c r="W357" t="n">
        <v>34.954015</v>
      </c>
      <c r="X357" t="n">
        <v>47.765312</v>
      </c>
    </row>
    <row r="358">
      <c r="A358" t="inlineStr">
        <is>
          <t>Phycis</t>
        </is>
      </c>
      <c r="B358" t="n">
        <v>3.99</v>
      </c>
      <c r="C358" t="n">
        <v>977.237221</v>
      </c>
      <c r="D358" t="inlineStr">
        <is>
          <t>Large Dem. fish</t>
        </is>
      </c>
      <c r="E358" t="n">
        <v>327.790917</v>
      </c>
      <c r="F358" t="n">
        <v>665.972772</v>
      </c>
      <c r="G358" t="n">
        <v>138.073221</v>
      </c>
      <c r="H358" t="n">
        <v>328.210407</v>
      </c>
      <c r="I358" t="n">
        <v>321.185641</v>
      </c>
      <c r="J358" t="n">
        <v>337.306601</v>
      </c>
      <c r="K358" t="n">
        <v>317.068205</v>
      </c>
      <c r="L358" t="n">
        <v>461.958282</v>
      </c>
      <c r="M358" t="n">
        <v>461.958282</v>
      </c>
      <c r="N358" t="n">
        <v>461.958282</v>
      </c>
      <c r="O358" t="n">
        <v>304.533157</v>
      </c>
      <c r="P358" t="n">
        <v>108.42706</v>
      </c>
      <c r="Q358" t="n">
        <v>461.958282</v>
      </c>
      <c r="R358" t="n">
        <v>461.958282</v>
      </c>
      <c r="S358" t="n">
        <v>304.533157</v>
      </c>
      <c r="T358" t="n">
        <v>304.533157</v>
      </c>
      <c r="U358" t="n">
        <v>108.42706</v>
      </c>
      <c r="V358" t="n">
        <v>108.42706</v>
      </c>
      <c r="W358" t="n">
        <v>306.991308</v>
      </c>
      <c r="X358" t="n">
        <v>468.161038</v>
      </c>
    </row>
    <row r="359">
      <c r="A359" t="inlineStr">
        <is>
          <t>Palinuridae</t>
        </is>
      </c>
      <c r="B359" t="n">
        <v>3.14</v>
      </c>
      <c r="C359" t="n">
        <v>138.038426</v>
      </c>
      <c r="D359" t="inlineStr">
        <is>
          <t>Crustacea</t>
        </is>
      </c>
      <c r="E359" t="n">
        <v>327.790917</v>
      </c>
      <c r="F359" t="n">
        <v>79.403785</v>
      </c>
      <c r="G359" t="n">
        <v>27.544327</v>
      </c>
      <c r="H359" t="n">
        <v>45.837748</v>
      </c>
      <c r="I359" t="n">
        <v>38.918317</v>
      </c>
      <c r="J359" t="n">
        <v>38.964516</v>
      </c>
      <c r="K359" t="n">
        <v>31.561258</v>
      </c>
      <c r="L359" t="n">
        <v>47.671907</v>
      </c>
      <c r="M359" t="n">
        <v>47.671907</v>
      </c>
      <c r="N359" t="n">
        <v>47.671907</v>
      </c>
      <c r="O359" t="n">
        <v>34.575524</v>
      </c>
      <c r="P359" t="n">
        <v>19.020842</v>
      </c>
      <c r="Q359" t="n">
        <v>47.671907</v>
      </c>
      <c r="R359" t="n">
        <v>47.671907</v>
      </c>
      <c r="S359" t="n">
        <v>34.575524</v>
      </c>
      <c r="T359" t="n">
        <v>34.575524</v>
      </c>
      <c r="U359" t="n">
        <v>19.020842</v>
      </c>
      <c r="V359" t="n">
        <v>19.020842</v>
      </c>
      <c r="W359" t="n">
        <v>34.954015</v>
      </c>
      <c r="X359" t="n">
        <v>47.765312</v>
      </c>
    </row>
    <row r="360">
      <c r="A360" t="inlineStr">
        <is>
          <t>Chelon auratus</t>
        </is>
      </c>
      <c r="B360" t="n">
        <v>2.8</v>
      </c>
      <c r="C360" t="n">
        <v>63.095734</v>
      </c>
      <c r="D360" t="inlineStr">
        <is>
          <t>Large Pelagics</t>
        </is>
      </c>
      <c r="E360" t="n">
        <v>327.790917</v>
      </c>
      <c r="F360" t="n">
        <v>409.325031</v>
      </c>
      <c r="G360" t="n">
        <v>95.473426</v>
      </c>
      <c r="H360" t="n">
        <v>171.971164</v>
      </c>
      <c r="I360" t="n">
        <v>151.710468</v>
      </c>
      <c r="J360" t="n">
        <v>166.941311</v>
      </c>
      <c r="K360" t="n">
        <v>150.24718</v>
      </c>
      <c r="L360" t="n">
        <v>208.675232</v>
      </c>
      <c r="M360" t="n">
        <v>208.675232</v>
      </c>
      <c r="N360" t="n">
        <v>208.675232</v>
      </c>
      <c r="O360" t="n">
        <v>139.225251</v>
      </c>
      <c r="P360" t="n">
        <v>55.587338</v>
      </c>
      <c r="Q360" t="n">
        <v>208.675232</v>
      </c>
      <c r="R360" t="n">
        <v>208.675232</v>
      </c>
      <c r="S360" t="n">
        <v>139.225251</v>
      </c>
      <c r="T360" t="n">
        <v>139.225251</v>
      </c>
      <c r="U360" t="n">
        <v>55.587338</v>
      </c>
      <c r="V360" t="n">
        <v>55.587338</v>
      </c>
      <c r="W360" t="n">
        <v>138.889014</v>
      </c>
      <c r="X360" t="n">
        <v>209.882396</v>
      </c>
    </row>
    <row r="361">
      <c r="A361" t="inlineStr">
        <is>
          <t>Trachichthyidae</t>
        </is>
      </c>
      <c r="B361" t="n">
        <v>3.72</v>
      </c>
      <c r="C361" t="n">
        <v>524.80746</v>
      </c>
      <c r="D361" t="inlineStr">
        <is>
          <t>Unresolved</t>
        </is>
      </c>
    </row>
    <row r="362">
      <c r="A362" t="inlineStr">
        <is>
          <t>Paracentrotus lividus</t>
        </is>
      </c>
      <c r="D362" t="inlineStr">
        <is>
          <t>Epifauna</t>
        </is>
      </c>
      <c r="E362" t="n">
        <v>327.790917</v>
      </c>
      <c r="F362" t="n">
        <v>28.994229</v>
      </c>
      <c r="G362" t="n">
        <v>12.834993</v>
      </c>
      <c r="H362" t="n">
        <v>17.954978</v>
      </c>
      <c r="I362" t="n">
        <v>11.374014</v>
      </c>
      <c r="J362" t="n">
        <v>11.374014</v>
      </c>
      <c r="K362" t="n">
        <v>10.009132</v>
      </c>
      <c r="L362" t="n">
        <v>10.950321</v>
      </c>
      <c r="M362" t="n">
        <v>10.950321</v>
      </c>
      <c r="N362" t="n">
        <v>10.950321</v>
      </c>
      <c r="O362" t="n">
        <v>10.041084</v>
      </c>
      <c r="P362" t="n">
        <v>6.846302</v>
      </c>
      <c r="Q362" t="n">
        <v>10.950321</v>
      </c>
      <c r="R362" t="n">
        <v>10.950321</v>
      </c>
      <c r="S362" t="n">
        <v>10.041084</v>
      </c>
      <c r="T362" t="n">
        <v>10.041084</v>
      </c>
      <c r="U362" t="n">
        <v>6.846302</v>
      </c>
      <c r="V362" t="n">
        <v>6.846302</v>
      </c>
      <c r="W362" t="n">
        <v>9.947857000000001</v>
      </c>
      <c r="X362" t="n">
        <v>10.794705</v>
      </c>
    </row>
    <row r="363">
      <c r="A363" t="inlineStr">
        <is>
          <t>Istiophorus albicans</t>
        </is>
      </c>
      <c r="D363" t="inlineStr">
        <is>
          <t>Unresolved</t>
        </is>
      </c>
    </row>
    <row r="364">
      <c r="A364" t="inlineStr">
        <is>
          <t>Dicentrarchus punctatus</t>
        </is>
      </c>
      <c r="B364" t="n">
        <v>3.94</v>
      </c>
      <c r="C364" t="n">
        <v>870.96359</v>
      </c>
      <c r="D364" t="inlineStr">
        <is>
          <t>Large Pelagics</t>
        </is>
      </c>
      <c r="E364" t="n">
        <v>327.790917</v>
      </c>
      <c r="F364" t="n">
        <v>409.325031</v>
      </c>
      <c r="G364" t="n">
        <v>95.473426</v>
      </c>
      <c r="H364" t="n">
        <v>171.971164</v>
      </c>
      <c r="I364" t="n">
        <v>151.710468</v>
      </c>
      <c r="J364" t="n">
        <v>166.941311</v>
      </c>
      <c r="K364" t="n">
        <v>150.24718</v>
      </c>
      <c r="L364" t="n">
        <v>208.675232</v>
      </c>
      <c r="M364" t="n">
        <v>208.675232</v>
      </c>
      <c r="N364" t="n">
        <v>208.675232</v>
      </c>
      <c r="O364" t="n">
        <v>139.225251</v>
      </c>
      <c r="P364" t="n">
        <v>55.587338</v>
      </c>
      <c r="Q364" t="n">
        <v>208.675232</v>
      </c>
      <c r="R364" t="n">
        <v>208.675232</v>
      </c>
      <c r="S364" t="n">
        <v>139.225251</v>
      </c>
      <c r="T364" t="n">
        <v>139.225251</v>
      </c>
      <c r="U364" t="n">
        <v>55.587338</v>
      </c>
      <c r="V364" t="n">
        <v>55.587338</v>
      </c>
      <c r="W364" t="n">
        <v>138.889014</v>
      </c>
      <c r="X364" t="n">
        <v>209.882396</v>
      </c>
    </row>
    <row r="365">
      <c r="A365" t="inlineStr">
        <is>
          <t>Bramidae</t>
        </is>
      </c>
      <c r="B365" t="n">
        <v>4.14</v>
      </c>
      <c r="C365" t="n">
        <v>1380.384265</v>
      </c>
      <c r="D365" t="inlineStr">
        <is>
          <t>Unresolved</t>
        </is>
      </c>
    </row>
    <row r="366">
      <c r="A366" t="inlineStr">
        <is>
          <t>Spisula ovalis</t>
        </is>
      </c>
      <c r="B366" t="n">
        <v>2</v>
      </c>
      <c r="C366" t="n">
        <v>10</v>
      </c>
      <c r="D366" t="inlineStr">
        <is>
          <t>Infauna</t>
        </is>
      </c>
      <c r="E366" t="n">
        <v>327.790917</v>
      </c>
      <c r="F366" t="n">
        <v>10</v>
      </c>
      <c r="G366" t="n">
        <v>5.727631</v>
      </c>
      <c r="H366" t="n">
        <v>5.721903</v>
      </c>
      <c r="I366" t="n">
        <v>4.44</v>
      </c>
      <c r="J366" t="n">
        <v>4.44</v>
      </c>
      <c r="K366" t="n">
        <v>3.996</v>
      </c>
      <c r="L366" t="n">
        <v>3.864936</v>
      </c>
      <c r="M366" t="n">
        <v>3.864936</v>
      </c>
      <c r="N366" t="n">
        <v>3.864936</v>
      </c>
      <c r="O366" t="n">
        <v>4.247203</v>
      </c>
      <c r="P366" t="n">
        <v>3.679841</v>
      </c>
      <c r="Q366" t="n">
        <v>3.864936</v>
      </c>
      <c r="R366" t="n">
        <v>3.864936</v>
      </c>
      <c r="S366" t="n">
        <v>4.247203</v>
      </c>
      <c r="T366" t="n">
        <v>4.247203</v>
      </c>
      <c r="U366" t="n">
        <v>3.679841</v>
      </c>
      <c r="V366" t="n">
        <v>3.679841</v>
      </c>
      <c r="W366" t="n">
        <v>4.187569</v>
      </c>
      <c r="X366" t="n">
        <v>3.928919</v>
      </c>
    </row>
    <row r="367">
      <c r="A367" t="inlineStr">
        <is>
          <t>Chlamys islandica</t>
        </is>
      </c>
      <c r="D367" t="inlineStr">
        <is>
          <t>Epifauna</t>
        </is>
      </c>
      <c r="E367" t="n">
        <v>327.790917</v>
      </c>
      <c r="F367" t="n">
        <v>28.994229</v>
      </c>
      <c r="G367" t="n">
        <v>12.834993</v>
      </c>
      <c r="H367" t="n">
        <v>17.954978</v>
      </c>
      <c r="I367" t="n">
        <v>11.374014</v>
      </c>
      <c r="J367" t="n">
        <v>11.374014</v>
      </c>
      <c r="K367" t="n">
        <v>10.009132</v>
      </c>
      <c r="L367" t="n">
        <v>10.950321</v>
      </c>
      <c r="M367" t="n">
        <v>10.950321</v>
      </c>
      <c r="N367" t="n">
        <v>10.950321</v>
      </c>
      <c r="O367" t="n">
        <v>10.041084</v>
      </c>
      <c r="P367" t="n">
        <v>6.846302</v>
      </c>
      <c r="Q367" t="n">
        <v>10.950321</v>
      </c>
      <c r="R367" t="n">
        <v>10.950321</v>
      </c>
      <c r="S367" t="n">
        <v>10.041084</v>
      </c>
      <c r="T367" t="n">
        <v>10.041084</v>
      </c>
      <c r="U367" t="n">
        <v>6.846302</v>
      </c>
      <c r="V367" t="n">
        <v>6.846302</v>
      </c>
      <c r="W367" t="n">
        <v>9.947857000000001</v>
      </c>
      <c r="X367" t="n">
        <v>10.794705</v>
      </c>
    </row>
    <row r="368">
      <c r="A368" t="inlineStr">
        <is>
          <t>Ammodytes tobianus</t>
        </is>
      </c>
      <c r="B368" t="n">
        <v>3.08</v>
      </c>
      <c r="C368" t="n">
        <v>120.226443</v>
      </c>
      <c r="D368" t="inlineStr">
        <is>
          <t>Small pelagics</t>
        </is>
      </c>
      <c r="E368" t="n">
        <v>327.790917</v>
      </c>
      <c r="F368" t="n">
        <v>148.024912</v>
      </c>
      <c r="G368" t="n">
        <v>44.163101</v>
      </c>
      <c r="H368" t="n">
        <v>58.893278</v>
      </c>
      <c r="I368" t="n">
        <v>29.57747</v>
      </c>
      <c r="J368" t="n">
        <v>29.708263</v>
      </c>
      <c r="K368" t="n">
        <v>26.143271</v>
      </c>
      <c r="L368" t="n">
        <v>37.444032</v>
      </c>
      <c r="M368" t="n">
        <v>37.444032</v>
      </c>
      <c r="N368" t="n">
        <v>37.444032</v>
      </c>
      <c r="O368" t="n">
        <v>26.825837</v>
      </c>
      <c r="P368" t="n">
        <v>12.629082</v>
      </c>
      <c r="Q368" t="n">
        <v>37.444032</v>
      </c>
      <c r="R368" t="n">
        <v>37.444032</v>
      </c>
      <c r="S368" t="n">
        <v>26.825837</v>
      </c>
      <c r="T368" t="n">
        <v>26.825837</v>
      </c>
      <c r="U368" t="n">
        <v>12.629082</v>
      </c>
      <c r="V368" t="n">
        <v>12.629082</v>
      </c>
      <c r="W368" t="n">
        <v>26.643813</v>
      </c>
      <c r="X368" t="n">
        <v>39.607714</v>
      </c>
    </row>
    <row r="369">
      <c r="A369" t="inlineStr">
        <is>
          <t>Centroscyllium fabricii</t>
        </is>
      </c>
      <c r="D369" t="inlineStr">
        <is>
          <t>Sharks &amp; rays</t>
        </is>
      </c>
      <c r="E369" t="n">
        <v>327.790917</v>
      </c>
      <c r="F369" t="n">
        <v>522.28227</v>
      </c>
      <c r="G369" t="n">
        <v>114.842938</v>
      </c>
      <c r="H369" t="n">
        <v>326.928715</v>
      </c>
      <c r="I369" t="n">
        <v>732.255138</v>
      </c>
      <c r="J369" t="n">
        <v>761.48662</v>
      </c>
      <c r="K369" t="n">
        <v>327.439247</v>
      </c>
      <c r="L369" t="n">
        <v>1275.246638</v>
      </c>
      <c r="M369" t="n">
        <v>1275.246638</v>
      </c>
      <c r="N369" t="n">
        <v>1275.246638</v>
      </c>
      <c r="O369" t="n">
        <v>317.659957</v>
      </c>
      <c r="P369" t="n">
        <v>115.247551</v>
      </c>
      <c r="Q369" t="n">
        <v>1275.246638</v>
      </c>
      <c r="R369" t="n">
        <v>1275.246638</v>
      </c>
      <c r="S369" t="n">
        <v>317.659957</v>
      </c>
      <c r="T369" t="n">
        <v>317.659957</v>
      </c>
      <c r="U369" t="n">
        <v>115.247551</v>
      </c>
      <c r="V369" t="n">
        <v>115.247551</v>
      </c>
      <c r="W369" t="n">
        <v>327.701462</v>
      </c>
      <c r="X369" t="n">
        <v>1310.378519</v>
      </c>
    </row>
    <row r="370">
      <c r="A370" t="inlineStr">
        <is>
          <t>Myliobatis aquila</t>
        </is>
      </c>
      <c r="D370" t="inlineStr">
        <is>
          <t>Sharks &amp; rays</t>
        </is>
      </c>
      <c r="E370" t="n">
        <v>327.790917</v>
      </c>
      <c r="F370" t="n">
        <v>522.28227</v>
      </c>
      <c r="G370" t="n">
        <v>114.842938</v>
      </c>
      <c r="H370" t="n">
        <v>326.928715</v>
      </c>
      <c r="I370" t="n">
        <v>732.255138</v>
      </c>
      <c r="J370" t="n">
        <v>761.48662</v>
      </c>
      <c r="K370" t="n">
        <v>327.439247</v>
      </c>
      <c r="L370" t="n">
        <v>1275.246638</v>
      </c>
      <c r="M370" t="n">
        <v>1275.246638</v>
      </c>
      <c r="N370" t="n">
        <v>1275.246638</v>
      </c>
      <c r="O370" t="n">
        <v>317.659957</v>
      </c>
      <c r="P370" t="n">
        <v>115.247551</v>
      </c>
      <c r="Q370" t="n">
        <v>1275.246638</v>
      </c>
      <c r="R370" t="n">
        <v>1275.246638</v>
      </c>
      <c r="S370" t="n">
        <v>317.659957</v>
      </c>
      <c r="T370" t="n">
        <v>317.659957</v>
      </c>
      <c r="U370" t="n">
        <v>115.247551</v>
      </c>
      <c r="V370" t="n">
        <v>115.247551</v>
      </c>
      <c r="W370" t="n">
        <v>327.701462</v>
      </c>
      <c r="X370" t="n">
        <v>1310.378519</v>
      </c>
    </row>
    <row r="371">
      <c r="A371" t="inlineStr">
        <is>
          <t>Galeus melastomus</t>
        </is>
      </c>
      <c r="B371" t="n">
        <v>4.17</v>
      </c>
      <c r="C371" t="n">
        <v>1479.108388</v>
      </c>
      <c r="D371" t="inlineStr">
        <is>
          <t>Sharks &amp; rays</t>
        </is>
      </c>
      <c r="E371" t="n">
        <v>327.790917</v>
      </c>
      <c r="F371" t="n">
        <v>522.28227</v>
      </c>
      <c r="G371" t="n">
        <v>114.842938</v>
      </c>
      <c r="H371" t="n">
        <v>326.928715</v>
      </c>
      <c r="I371" t="n">
        <v>732.255138</v>
      </c>
      <c r="J371" t="n">
        <v>761.48662</v>
      </c>
      <c r="K371" t="n">
        <v>327.439247</v>
      </c>
      <c r="L371" t="n">
        <v>1275.246638</v>
      </c>
      <c r="M371" t="n">
        <v>1275.246638</v>
      </c>
      <c r="N371" t="n">
        <v>1275.246638</v>
      </c>
      <c r="O371" t="n">
        <v>317.659957</v>
      </c>
      <c r="P371" t="n">
        <v>115.247551</v>
      </c>
      <c r="Q371" t="n">
        <v>1275.246638</v>
      </c>
      <c r="R371" t="n">
        <v>1275.246638</v>
      </c>
      <c r="S371" t="n">
        <v>317.659957</v>
      </c>
      <c r="T371" t="n">
        <v>317.659957</v>
      </c>
      <c r="U371" t="n">
        <v>115.247551</v>
      </c>
      <c r="V371" t="n">
        <v>115.247551</v>
      </c>
      <c r="W371" t="n">
        <v>327.701462</v>
      </c>
      <c r="X371" t="n">
        <v>1310.378519</v>
      </c>
    </row>
    <row r="372">
      <c r="A372" t="inlineStr">
        <is>
          <t>Pagellus</t>
        </is>
      </c>
      <c r="B372" t="n">
        <v>3.44</v>
      </c>
      <c r="C372" t="n">
        <v>275.42287</v>
      </c>
      <c r="D372" t="inlineStr">
        <is>
          <t>Large Dem. fish</t>
        </is>
      </c>
      <c r="E372" t="n">
        <v>327.790917</v>
      </c>
      <c r="F372" t="n">
        <v>665.972772</v>
      </c>
      <c r="G372" t="n">
        <v>138.073221</v>
      </c>
      <c r="H372" t="n">
        <v>328.210407</v>
      </c>
      <c r="I372" t="n">
        <v>321.185641</v>
      </c>
      <c r="J372" t="n">
        <v>337.306601</v>
      </c>
      <c r="K372" t="n">
        <v>317.068205</v>
      </c>
      <c r="L372" t="n">
        <v>461.958282</v>
      </c>
      <c r="M372" t="n">
        <v>461.958282</v>
      </c>
      <c r="N372" t="n">
        <v>461.958282</v>
      </c>
      <c r="O372" t="n">
        <v>304.533157</v>
      </c>
      <c r="P372" t="n">
        <v>108.42706</v>
      </c>
      <c r="Q372" t="n">
        <v>461.958282</v>
      </c>
      <c r="R372" t="n">
        <v>461.958282</v>
      </c>
      <c r="S372" t="n">
        <v>304.533157</v>
      </c>
      <c r="T372" t="n">
        <v>304.533157</v>
      </c>
      <c r="U372" t="n">
        <v>108.42706</v>
      </c>
      <c r="V372" t="n">
        <v>108.42706</v>
      </c>
      <c r="W372" t="n">
        <v>306.991308</v>
      </c>
      <c r="X372" t="n">
        <v>468.161038</v>
      </c>
    </row>
    <row r="373">
      <c r="A373" t="inlineStr">
        <is>
          <t>Hexanchus griseus</t>
        </is>
      </c>
      <c r="D373" t="inlineStr">
        <is>
          <t>Sharks &amp; rays</t>
        </is>
      </c>
      <c r="E373" t="n">
        <v>327.790917</v>
      </c>
      <c r="F373" t="n">
        <v>522.28227</v>
      </c>
      <c r="G373" t="n">
        <v>114.842938</v>
      </c>
      <c r="H373" t="n">
        <v>326.928715</v>
      </c>
      <c r="I373" t="n">
        <v>732.255138</v>
      </c>
      <c r="J373" t="n">
        <v>761.48662</v>
      </c>
      <c r="K373" t="n">
        <v>327.439247</v>
      </c>
      <c r="L373" t="n">
        <v>1275.246638</v>
      </c>
      <c r="M373" t="n">
        <v>1275.246638</v>
      </c>
      <c r="N373" t="n">
        <v>1275.246638</v>
      </c>
      <c r="O373" t="n">
        <v>317.659957</v>
      </c>
      <c r="P373" t="n">
        <v>115.247551</v>
      </c>
      <c r="Q373" t="n">
        <v>1275.246638</v>
      </c>
      <c r="R373" t="n">
        <v>1275.246638</v>
      </c>
      <c r="S373" t="n">
        <v>317.659957</v>
      </c>
      <c r="T373" t="n">
        <v>317.659957</v>
      </c>
      <c r="U373" t="n">
        <v>115.247551</v>
      </c>
      <c r="V373" t="n">
        <v>115.247551</v>
      </c>
      <c r="W373" t="n">
        <v>327.701462</v>
      </c>
      <c r="X373" t="n">
        <v>1310.378519</v>
      </c>
    </row>
    <row r="374">
      <c r="A374" t="inlineStr">
        <is>
          <t>Lamnidae</t>
        </is>
      </c>
      <c r="B374" t="n">
        <v>4.5</v>
      </c>
      <c r="C374" t="n">
        <v>3162.27766</v>
      </c>
      <c r="D374" t="inlineStr">
        <is>
          <t>Sharks &amp; rays</t>
        </is>
      </c>
      <c r="E374" t="n">
        <v>327.790917</v>
      </c>
      <c r="F374" t="n">
        <v>522.28227</v>
      </c>
      <c r="G374" t="n">
        <v>114.842938</v>
      </c>
      <c r="H374" t="n">
        <v>326.928715</v>
      </c>
      <c r="I374" t="n">
        <v>732.255138</v>
      </c>
      <c r="J374" t="n">
        <v>761.48662</v>
      </c>
      <c r="K374" t="n">
        <v>327.439247</v>
      </c>
      <c r="L374" t="n">
        <v>1275.246638</v>
      </c>
      <c r="M374" t="n">
        <v>1275.246638</v>
      </c>
      <c r="N374" t="n">
        <v>1275.246638</v>
      </c>
      <c r="O374" t="n">
        <v>317.659957</v>
      </c>
      <c r="P374" t="n">
        <v>115.247551</v>
      </c>
      <c r="Q374" t="n">
        <v>1275.246638</v>
      </c>
      <c r="R374" t="n">
        <v>1275.246638</v>
      </c>
      <c r="S374" t="n">
        <v>317.659957</v>
      </c>
      <c r="T374" t="n">
        <v>317.659957</v>
      </c>
      <c r="U374" t="n">
        <v>115.247551</v>
      </c>
      <c r="V374" t="n">
        <v>115.247551</v>
      </c>
      <c r="W374" t="n">
        <v>327.701462</v>
      </c>
      <c r="X374" t="n">
        <v>1310.378519</v>
      </c>
    </row>
    <row r="375">
      <c r="A375" t="inlineStr">
        <is>
          <t>Sepia</t>
        </is>
      </c>
      <c r="D375" t="inlineStr">
        <is>
          <t>Squid &amp; Octopus</t>
        </is>
      </c>
      <c r="E375" t="n">
        <v>327.790917</v>
      </c>
      <c r="F375" t="n">
        <v>160.967585</v>
      </c>
      <c r="G375" t="n">
        <v>47.060072</v>
      </c>
      <c r="H375" t="n">
        <v>88.258037</v>
      </c>
      <c r="I375" t="n">
        <v>77.00034599999999</v>
      </c>
      <c r="J375" t="n">
        <v>77.34926</v>
      </c>
      <c r="K375" t="n">
        <v>73.481797</v>
      </c>
      <c r="L375" t="n">
        <v>94.097724</v>
      </c>
      <c r="M375" t="n">
        <v>94.097724</v>
      </c>
      <c r="N375" t="n">
        <v>94.097724</v>
      </c>
      <c r="O375" t="n">
        <v>70.413555</v>
      </c>
      <c r="P375" t="n">
        <v>31.50612</v>
      </c>
      <c r="Q375" t="n">
        <v>94.097724</v>
      </c>
      <c r="R375" t="n">
        <v>94.097724</v>
      </c>
      <c r="S375" t="n">
        <v>70.413555</v>
      </c>
      <c r="T375" t="n">
        <v>70.413555</v>
      </c>
      <c r="U375" t="n">
        <v>31.50612</v>
      </c>
      <c r="V375" t="n">
        <v>31.50612</v>
      </c>
      <c r="W375" t="n">
        <v>71.270959</v>
      </c>
      <c r="X375" t="n">
        <v>97.60397</v>
      </c>
    </row>
    <row r="376">
      <c r="A376" t="inlineStr">
        <is>
          <t>Chlamys</t>
        </is>
      </c>
      <c r="B376" t="n">
        <v>2</v>
      </c>
      <c r="C376" t="n">
        <v>10</v>
      </c>
      <c r="D376" t="inlineStr">
        <is>
          <t>Epifauna</t>
        </is>
      </c>
      <c r="E376" t="n">
        <v>327.790917</v>
      </c>
      <c r="F376" t="n">
        <v>28.994229</v>
      </c>
      <c r="G376" t="n">
        <v>12.834993</v>
      </c>
      <c r="H376" t="n">
        <v>17.954978</v>
      </c>
      <c r="I376" t="n">
        <v>11.374014</v>
      </c>
      <c r="J376" t="n">
        <v>11.374014</v>
      </c>
      <c r="K376" t="n">
        <v>10.009132</v>
      </c>
      <c r="L376" t="n">
        <v>10.950321</v>
      </c>
      <c r="M376" t="n">
        <v>10.950321</v>
      </c>
      <c r="N376" t="n">
        <v>10.950321</v>
      </c>
      <c r="O376" t="n">
        <v>10.041084</v>
      </c>
      <c r="P376" t="n">
        <v>6.846302</v>
      </c>
      <c r="Q376" t="n">
        <v>10.950321</v>
      </c>
      <c r="R376" t="n">
        <v>10.950321</v>
      </c>
      <c r="S376" t="n">
        <v>10.041084</v>
      </c>
      <c r="T376" t="n">
        <v>10.041084</v>
      </c>
      <c r="U376" t="n">
        <v>6.846302</v>
      </c>
      <c r="V376" t="n">
        <v>6.846302</v>
      </c>
      <c r="W376" t="n">
        <v>9.947857000000001</v>
      </c>
      <c r="X376" t="n">
        <v>10.794705</v>
      </c>
    </row>
    <row r="377">
      <c r="A377" t="inlineStr">
        <is>
          <t>Torpedo marmorata</t>
        </is>
      </c>
      <c r="B377" t="n">
        <v>4.5</v>
      </c>
      <c r="C377" t="n">
        <v>3162.27766</v>
      </c>
      <c r="D377" t="inlineStr">
        <is>
          <t>Sharks &amp; rays</t>
        </is>
      </c>
      <c r="E377" t="n">
        <v>327.790917</v>
      </c>
      <c r="F377" t="n">
        <v>522.28227</v>
      </c>
      <c r="G377" t="n">
        <v>114.842938</v>
      </c>
      <c r="H377" t="n">
        <v>326.928715</v>
      </c>
      <c r="I377" t="n">
        <v>732.255138</v>
      </c>
      <c r="J377" t="n">
        <v>761.48662</v>
      </c>
      <c r="K377" t="n">
        <v>327.439247</v>
      </c>
      <c r="L377" t="n">
        <v>1275.246638</v>
      </c>
      <c r="M377" t="n">
        <v>1275.246638</v>
      </c>
      <c r="N377" t="n">
        <v>1275.246638</v>
      </c>
      <c r="O377" t="n">
        <v>317.659957</v>
      </c>
      <c r="P377" t="n">
        <v>115.247551</v>
      </c>
      <c r="Q377" t="n">
        <v>1275.246638</v>
      </c>
      <c r="R377" t="n">
        <v>1275.246638</v>
      </c>
      <c r="S377" t="n">
        <v>317.659957</v>
      </c>
      <c r="T377" t="n">
        <v>317.659957</v>
      </c>
      <c r="U377" t="n">
        <v>115.247551</v>
      </c>
      <c r="V377" t="n">
        <v>115.247551</v>
      </c>
      <c r="W377" t="n">
        <v>327.701462</v>
      </c>
      <c r="X377" t="n">
        <v>1310.378519</v>
      </c>
    </row>
    <row r="378">
      <c r="A378" t="inlineStr">
        <is>
          <t>Haliotis tuberculata</t>
        </is>
      </c>
      <c r="D378" t="inlineStr">
        <is>
          <t>Epifauna</t>
        </is>
      </c>
      <c r="E378" t="n">
        <v>327.790917</v>
      </c>
      <c r="F378" t="n">
        <v>28.994229</v>
      </c>
      <c r="G378" t="n">
        <v>12.834993</v>
      </c>
      <c r="H378" t="n">
        <v>17.954978</v>
      </c>
      <c r="I378" t="n">
        <v>11.374014</v>
      </c>
      <c r="J378" t="n">
        <v>11.374014</v>
      </c>
      <c r="K378" t="n">
        <v>10.009132</v>
      </c>
      <c r="L378" t="n">
        <v>10.950321</v>
      </c>
      <c r="M378" t="n">
        <v>10.950321</v>
      </c>
      <c r="N378" t="n">
        <v>10.950321</v>
      </c>
      <c r="O378" t="n">
        <v>10.041084</v>
      </c>
      <c r="P378" t="n">
        <v>6.846302</v>
      </c>
      <c r="Q378" t="n">
        <v>10.950321</v>
      </c>
      <c r="R378" t="n">
        <v>10.950321</v>
      </c>
      <c r="S378" t="n">
        <v>10.041084</v>
      </c>
      <c r="T378" t="n">
        <v>10.041084</v>
      </c>
      <c r="U378" t="n">
        <v>6.846302</v>
      </c>
      <c r="V378" t="n">
        <v>6.846302</v>
      </c>
      <c r="W378" t="n">
        <v>9.947857000000001</v>
      </c>
      <c r="X378" t="n">
        <v>10.794705</v>
      </c>
    </row>
    <row r="379">
      <c r="A379" t="inlineStr">
        <is>
          <t>Ostreidae</t>
        </is>
      </c>
      <c r="B379" t="n">
        <v>2</v>
      </c>
      <c r="C379" t="n">
        <v>10</v>
      </c>
      <c r="D379" t="inlineStr">
        <is>
          <t>Epifauna</t>
        </is>
      </c>
      <c r="E379" t="n">
        <v>327.790917</v>
      </c>
      <c r="F379" t="n">
        <v>28.994229</v>
      </c>
      <c r="G379" t="n">
        <v>12.834993</v>
      </c>
      <c r="H379" t="n">
        <v>17.954978</v>
      </c>
      <c r="I379" t="n">
        <v>11.374014</v>
      </c>
      <c r="J379" t="n">
        <v>11.374014</v>
      </c>
      <c r="K379" t="n">
        <v>10.009132</v>
      </c>
      <c r="L379" t="n">
        <v>10.950321</v>
      </c>
      <c r="M379" t="n">
        <v>10.950321</v>
      </c>
      <c r="N379" t="n">
        <v>10.950321</v>
      </c>
      <c r="O379" t="n">
        <v>10.041084</v>
      </c>
      <c r="P379" t="n">
        <v>6.846302</v>
      </c>
      <c r="Q379" t="n">
        <v>10.950321</v>
      </c>
      <c r="R379" t="n">
        <v>10.950321</v>
      </c>
      <c r="S379" t="n">
        <v>10.041084</v>
      </c>
      <c r="T379" t="n">
        <v>10.041084</v>
      </c>
      <c r="U379" t="n">
        <v>6.846302</v>
      </c>
      <c r="V379" t="n">
        <v>6.846302</v>
      </c>
      <c r="W379" t="n">
        <v>9.947857000000001</v>
      </c>
      <c r="X379" t="n">
        <v>10.794705</v>
      </c>
    </row>
    <row r="380">
      <c r="A380" t="inlineStr">
        <is>
          <t>Murex</t>
        </is>
      </c>
      <c r="B380" t="n">
        <v>2</v>
      </c>
      <c r="C380" t="n">
        <v>10</v>
      </c>
      <c r="D380" t="inlineStr">
        <is>
          <t>Epifauna</t>
        </is>
      </c>
      <c r="E380" t="n">
        <v>327.790917</v>
      </c>
      <c r="F380" t="n">
        <v>28.994229</v>
      </c>
      <c r="G380" t="n">
        <v>12.834993</v>
      </c>
      <c r="H380" t="n">
        <v>17.954978</v>
      </c>
      <c r="I380" t="n">
        <v>11.374014</v>
      </c>
      <c r="J380" t="n">
        <v>11.374014</v>
      </c>
      <c r="K380" t="n">
        <v>10.009132</v>
      </c>
      <c r="L380" t="n">
        <v>10.950321</v>
      </c>
      <c r="M380" t="n">
        <v>10.950321</v>
      </c>
      <c r="N380" t="n">
        <v>10.950321</v>
      </c>
      <c r="O380" t="n">
        <v>10.041084</v>
      </c>
      <c r="P380" t="n">
        <v>6.846302</v>
      </c>
      <c r="Q380" t="n">
        <v>10.950321</v>
      </c>
      <c r="R380" t="n">
        <v>10.950321</v>
      </c>
      <c r="S380" t="n">
        <v>10.041084</v>
      </c>
      <c r="T380" t="n">
        <v>10.041084</v>
      </c>
      <c r="U380" t="n">
        <v>6.846302</v>
      </c>
      <c r="V380" t="n">
        <v>6.846302</v>
      </c>
      <c r="W380" t="n">
        <v>9.947857000000001</v>
      </c>
      <c r="X380" t="n">
        <v>10.794705</v>
      </c>
    </row>
    <row r="381">
      <c r="A381" t="inlineStr">
        <is>
          <t>Modiolus</t>
        </is>
      </c>
      <c r="D381" t="inlineStr">
        <is>
          <t>Epifauna</t>
        </is>
      </c>
      <c r="E381" t="n">
        <v>327.790917</v>
      </c>
      <c r="F381" t="n">
        <v>28.994229</v>
      </c>
      <c r="G381" t="n">
        <v>12.834993</v>
      </c>
      <c r="H381" t="n">
        <v>17.954978</v>
      </c>
      <c r="I381" t="n">
        <v>11.374014</v>
      </c>
      <c r="J381" t="n">
        <v>11.374014</v>
      </c>
      <c r="K381" t="n">
        <v>10.009132</v>
      </c>
      <c r="L381" t="n">
        <v>10.950321</v>
      </c>
      <c r="M381" t="n">
        <v>10.950321</v>
      </c>
      <c r="N381" t="n">
        <v>10.950321</v>
      </c>
      <c r="O381" t="n">
        <v>10.041084</v>
      </c>
      <c r="P381" t="n">
        <v>6.846302</v>
      </c>
      <c r="Q381" t="n">
        <v>10.950321</v>
      </c>
      <c r="R381" t="n">
        <v>10.950321</v>
      </c>
      <c r="S381" t="n">
        <v>10.041084</v>
      </c>
      <c r="T381" t="n">
        <v>10.041084</v>
      </c>
      <c r="U381" t="n">
        <v>6.846302</v>
      </c>
      <c r="V381" t="n">
        <v>6.846302</v>
      </c>
      <c r="W381" t="n">
        <v>9.947857000000001</v>
      </c>
      <c r="X381" t="n">
        <v>10.794705</v>
      </c>
    </row>
    <row r="382">
      <c r="A382" t="inlineStr">
        <is>
          <t>Solen vagina</t>
        </is>
      </c>
      <c r="B382" t="n">
        <v>2</v>
      </c>
      <c r="C382" t="n">
        <v>10</v>
      </c>
      <c r="D382" t="inlineStr">
        <is>
          <t>Infauna</t>
        </is>
      </c>
      <c r="E382" t="n">
        <v>327.790917</v>
      </c>
      <c r="F382" t="n">
        <v>10</v>
      </c>
      <c r="G382" t="n">
        <v>5.727631</v>
      </c>
      <c r="H382" t="n">
        <v>5.721903</v>
      </c>
      <c r="I382" t="n">
        <v>4.44</v>
      </c>
      <c r="J382" t="n">
        <v>4.44</v>
      </c>
      <c r="K382" t="n">
        <v>3.996</v>
      </c>
      <c r="L382" t="n">
        <v>3.864936</v>
      </c>
      <c r="M382" t="n">
        <v>3.864936</v>
      </c>
      <c r="N382" t="n">
        <v>3.864936</v>
      </c>
      <c r="O382" t="n">
        <v>4.247203</v>
      </c>
      <c r="P382" t="n">
        <v>3.679841</v>
      </c>
      <c r="Q382" t="n">
        <v>3.864936</v>
      </c>
      <c r="R382" t="n">
        <v>3.864936</v>
      </c>
      <c r="S382" t="n">
        <v>4.247203</v>
      </c>
      <c r="T382" t="n">
        <v>4.247203</v>
      </c>
      <c r="U382" t="n">
        <v>3.679841</v>
      </c>
      <c r="V382" t="n">
        <v>3.679841</v>
      </c>
      <c r="W382" t="n">
        <v>4.187569</v>
      </c>
      <c r="X382" t="n">
        <v>3.928919</v>
      </c>
    </row>
    <row r="383">
      <c r="A383" t="inlineStr">
        <is>
          <t>Trichiurus</t>
        </is>
      </c>
      <c r="B383" t="n">
        <v>4.42</v>
      </c>
      <c r="C383" t="n">
        <v>2630.267992</v>
      </c>
      <c r="D383" t="inlineStr">
        <is>
          <t>Unresolved</t>
        </is>
      </c>
    </row>
    <row r="384">
      <c r="A384" t="inlineStr">
        <is>
          <t>Petromyzontidae</t>
        </is>
      </c>
      <c r="D384" t="inlineStr">
        <is>
          <t>Unresolved</t>
        </is>
      </c>
    </row>
    <row r="385">
      <c r="A385" t="inlineStr">
        <is>
          <t>Chelon saliens</t>
        </is>
      </c>
      <c r="D385" t="inlineStr">
        <is>
          <t>Large Dem. fish</t>
        </is>
      </c>
      <c r="E385" t="n">
        <v>327.790917</v>
      </c>
      <c r="F385" t="n">
        <v>665.972772</v>
      </c>
      <c r="G385" t="n">
        <v>138.073221</v>
      </c>
      <c r="H385" t="n">
        <v>328.210407</v>
      </c>
      <c r="I385" t="n">
        <v>321.185641</v>
      </c>
      <c r="J385" t="n">
        <v>337.306601</v>
      </c>
      <c r="K385" t="n">
        <v>317.068205</v>
      </c>
      <c r="L385" t="n">
        <v>461.958282</v>
      </c>
      <c r="M385" t="n">
        <v>461.958282</v>
      </c>
      <c r="N385" t="n">
        <v>461.958282</v>
      </c>
      <c r="O385" t="n">
        <v>304.533157</v>
      </c>
      <c r="P385" t="n">
        <v>108.42706</v>
      </c>
      <c r="Q385" t="n">
        <v>461.958282</v>
      </c>
      <c r="R385" t="n">
        <v>461.958282</v>
      </c>
      <c r="S385" t="n">
        <v>304.533157</v>
      </c>
      <c r="T385" t="n">
        <v>304.533157</v>
      </c>
      <c r="U385" t="n">
        <v>108.42706</v>
      </c>
      <c r="V385" t="n">
        <v>108.42706</v>
      </c>
      <c r="W385" t="n">
        <v>306.991308</v>
      </c>
      <c r="X385" t="n">
        <v>468.161038</v>
      </c>
    </row>
    <row r="386">
      <c r="A386" t="inlineStr">
        <is>
          <t>Dasyatidae</t>
        </is>
      </c>
      <c r="D386" t="inlineStr">
        <is>
          <t>Sharks &amp; rays</t>
        </is>
      </c>
      <c r="E386" t="n">
        <v>327.790917</v>
      </c>
      <c r="F386" t="n">
        <v>522.28227</v>
      </c>
      <c r="G386" t="n">
        <v>114.842938</v>
      </c>
      <c r="H386" t="n">
        <v>326.928715</v>
      </c>
      <c r="I386" t="n">
        <v>732.255138</v>
      </c>
      <c r="J386" t="n">
        <v>761.48662</v>
      </c>
      <c r="K386" t="n">
        <v>327.439247</v>
      </c>
      <c r="L386" t="n">
        <v>1275.246638</v>
      </c>
      <c r="M386" t="n">
        <v>1275.246638</v>
      </c>
      <c r="N386" t="n">
        <v>1275.246638</v>
      </c>
      <c r="O386" t="n">
        <v>317.659957</v>
      </c>
      <c r="P386" t="n">
        <v>115.247551</v>
      </c>
      <c r="Q386" t="n">
        <v>1275.246638</v>
      </c>
      <c r="R386" t="n">
        <v>1275.246638</v>
      </c>
      <c r="S386" t="n">
        <v>317.659957</v>
      </c>
      <c r="T386" t="n">
        <v>317.659957</v>
      </c>
      <c r="U386" t="n">
        <v>115.247551</v>
      </c>
      <c r="V386" t="n">
        <v>115.247551</v>
      </c>
      <c r="W386" t="n">
        <v>327.701462</v>
      </c>
      <c r="X386" t="n">
        <v>1310.378519</v>
      </c>
    </row>
    <row r="387">
      <c r="A387" t="inlineStr">
        <is>
          <t>Patella</t>
        </is>
      </c>
      <c r="D387" t="inlineStr">
        <is>
          <t>Epifauna</t>
        </is>
      </c>
      <c r="E387" t="n">
        <v>327.790917</v>
      </c>
      <c r="F387" t="n">
        <v>28.994229</v>
      </c>
      <c r="G387" t="n">
        <v>12.834993</v>
      </c>
      <c r="H387" t="n">
        <v>17.954978</v>
      </c>
      <c r="I387" t="n">
        <v>11.374014</v>
      </c>
      <c r="J387" t="n">
        <v>11.374014</v>
      </c>
      <c r="K387" t="n">
        <v>10.009132</v>
      </c>
      <c r="L387" t="n">
        <v>10.950321</v>
      </c>
      <c r="M387" t="n">
        <v>10.950321</v>
      </c>
      <c r="N387" t="n">
        <v>10.950321</v>
      </c>
      <c r="O387" t="n">
        <v>10.041084</v>
      </c>
      <c r="P387" t="n">
        <v>6.846302</v>
      </c>
      <c r="Q387" t="n">
        <v>10.950321</v>
      </c>
      <c r="R387" t="n">
        <v>10.950321</v>
      </c>
      <c r="S387" t="n">
        <v>10.041084</v>
      </c>
      <c r="T387" t="n">
        <v>10.041084</v>
      </c>
      <c r="U387" t="n">
        <v>6.846302</v>
      </c>
      <c r="V387" t="n">
        <v>6.846302</v>
      </c>
      <c r="W387" t="n">
        <v>9.947857000000001</v>
      </c>
      <c r="X387" t="n">
        <v>10.794705</v>
      </c>
    </row>
    <row r="388">
      <c r="A388" t="inlineStr">
        <is>
          <t>Merluccius</t>
        </is>
      </c>
      <c r="B388" t="n">
        <v>4.27</v>
      </c>
      <c r="C388" t="n">
        <v>1862.087137</v>
      </c>
      <c r="D388" t="inlineStr">
        <is>
          <t>Hake</t>
        </is>
      </c>
      <c r="E388" t="n">
        <v>327.790917</v>
      </c>
      <c r="F388" t="n">
        <v>3460.403727</v>
      </c>
      <c r="G388" t="n">
        <v>481.470476</v>
      </c>
      <c r="H388" t="n">
        <v>916.217923</v>
      </c>
      <c r="I388" t="n">
        <v>505.277782</v>
      </c>
      <c r="J388" t="n">
        <v>553.81095</v>
      </c>
      <c r="K388" t="n">
        <v>509.506074</v>
      </c>
      <c r="L388" t="n">
        <v>696.576775</v>
      </c>
      <c r="M388" t="n">
        <v>696.576775</v>
      </c>
      <c r="N388" t="n">
        <v>696.576775</v>
      </c>
      <c r="O388" t="n">
        <v>427.075473</v>
      </c>
      <c r="P388" t="n">
        <v>136.464814</v>
      </c>
      <c r="Q388" t="n">
        <v>696.576775</v>
      </c>
      <c r="R388" t="n">
        <v>696.576775</v>
      </c>
      <c r="S388" t="n">
        <v>427.075473</v>
      </c>
      <c r="T388" t="n">
        <v>427.075473</v>
      </c>
      <c r="U388" t="n">
        <v>136.464814</v>
      </c>
      <c r="V388" t="n">
        <v>136.464814</v>
      </c>
      <c r="W388" t="n">
        <v>429.835101</v>
      </c>
      <c r="X388" t="n">
        <v>722.871201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T3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6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1" t="inlineStr">
        <is>
          <t>Total PPR by method and year — every taxon summed, tonnes wet weight equivalent of primary production.</t>
        </is>
      </c>
    </row>
    <row r="2">
      <c r="A2" t="inlineStr">
        <is>
          <t>Internal sources: primary producers and detritus; excludes imports. The simple chain rows are unpartitioned references; model rows use this scope.</t>
        </is>
      </c>
    </row>
    <row r="3">
      <c r="A3" t="inlineStr">
        <is>
          <t>Methods are not alternatives to be averaged. They rest on different assumptions and the spread between them is the result.</t>
        </is>
      </c>
    </row>
    <row r="4">
      <c r="A4" t="inlineStr">
        <is>
          <t>The two grey rows aggregate the catch to a group before exponentiating, which understates the total: SPPR is convex in trophic level, so they measure the Jensen effect rather than the PPR.</t>
        </is>
      </c>
    </row>
    <row r="5">
      <c r="A5" s="4" t="inlineStr">
        <is>
          <t>method</t>
        </is>
      </c>
      <c r="B5" s="4" t="inlineStr">
        <is>
          <t>status</t>
        </is>
      </c>
      <c r="C5" s="4" t="n">
        <v>1950</v>
      </c>
      <c r="D5" s="4" t="n">
        <v>1951</v>
      </c>
      <c r="E5" s="4" t="n">
        <v>1952</v>
      </c>
      <c r="F5" s="4" t="n">
        <v>1953</v>
      </c>
      <c r="G5" s="4" t="n">
        <v>1954</v>
      </c>
      <c r="H5" s="4" t="n">
        <v>1955</v>
      </c>
      <c r="I5" s="4" t="n">
        <v>1956</v>
      </c>
      <c r="J5" s="4" t="n">
        <v>1957</v>
      </c>
      <c r="K5" s="4" t="n">
        <v>1958</v>
      </c>
      <c r="L5" s="4" t="n">
        <v>1959</v>
      </c>
      <c r="M5" s="4" t="n">
        <v>1960</v>
      </c>
      <c r="N5" s="4" t="n">
        <v>1961</v>
      </c>
      <c r="O5" s="4" t="n">
        <v>1962</v>
      </c>
      <c r="P5" s="4" t="n">
        <v>1963</v>
      </c>
      <c r="Q5" s="4" t="n">
        <v>1964</v>
      </c>
      <c r="R5" s="4" t="n">
        <v>1965</v>
      </c>
      <c r="S5" s="4" t="n">
        <v>1966</v>
      </c>
      <c r="T5" s="4" t="n">
        <v>1967</v>
      </c>
      <c r="U5" s="4" t="n">
        <v>1968</v>
      </c>
      <c r="V5" s="4" t="n">
        <v>1969</v>
      </c>
      <c r="W5" s="4" t="n">
        <v>1970</v>
      </c>
      <c r="X5" s="4" t="n">
        <v>1971</v>
      </c>
      <c r="Y5" s="4" t="n">
        <v>1972</v>
      </c>
      <c r="Z5" s="4" t="n">
        <v>1973</v>
      </c>
      <c r="AA5" s="4" t="n">
        <v>1974</v>
      </c>
      <c r="AB5" s="4" t="n">
        <v>1975</v>
      </c>
      <c r="AC5" s="4" t="n">
        <v>1976</v>
      </c>
      <c r="AD5" s="4" t="n">
        <v>1977</v>
      </c>
      <c r="AE5" s="4" t="n">
        <v>1978</v>
      </c>
      <c r="AF5" s="4" t="n">
        <v>1979</v>
      </c>
      <c r="AG5" s="4" t="n">
        <v>1980</v>
      </c>
      <c r="AH5" s="4" t="n">
        <v>1981</v>
      </c>
      <c r="AI5" s="4" t="n">
        <v>1982</v>
      </c>
      <c r="AJ5" s="4" t="n">
        <v>1983</v>
      </c>
      <c r="AK5" s="4" t="n">
        <v>1984</v>
      </c>
      <c r="AL5" s="4" t="n">
        <v>1985</v>
      </c>
      <c r="AM5" s="4" t="n">
        <v>1986</v>
      </c>
      <c r="AN5" s="4" t="n">
        <v>1987</v>
      </c>
      <c r="AO5" s="4" t="n">
        <v>1988</v>
      </c>
      <c r="AP5" s="4" t="n">
        <v>1989</v>
      </c>
      <c r="AQ5" s="4" t="n">
        <v>1990</v>
      </c>
      <c r="AR5" s="4" t="n">
        <v>1991</v>
      </c>
      <c r="AS5" s="4" t="n">
        <v>1992</v>
      </c>
      <c r="AT5" s="4" t="n">
        <v>1993</v>
      </c>
      <c r="AU5" s="4" t="n">
        <v>1994</v>
      </c>
      <c r="AV5" s="4" t="n">
        <v>1995</v>
      </c>
      <c r="AW5" s="4" t="n">
        <v>1996</v>
      </c>
      <c r="AX5" s="4" t="n">
        <v>1997</v>
      </c>
      <c r="AY5" s="4" t="n">
        <v>1998</v>
      </c>
      <c r="AZ5" s="4" t="n">
        <v>1999</v>
      </c>
      <c r="BA5" s="4" t="n">
        <v>2000</v>
      </c>
      <c r="BB5" s="4" t="n">
        <v>2001</v>
      </c>
      <c r="BC5" s="4" t="n">
        <v>2002</v>
      </c>
      <c r="BD5" s="4" t="n">
        <v>2003</v>
      </c>
      <c r="BE5" s="4" t="n">
        <v>2004</v>
      </c>
      <c r="BF5" s="4" t="n">
        <v>2005</v>
      </c>
      <c r="BG5" s="4" t="n">
        <v>2006</v>
      </c>
      <c r="BH5" s="4" t="n">
        <v>2007</v>
      </c>
      <c r="BI5" s="4" t="n">
        <v>2008</v>
      </c>
      <c r="BJ5" s="4" t="n">
        <v>2009</v>
      </c>
      <c r="BK5" s="4" t="n">
        <v>2010</v>
      </c>
      <c r="BL5" s="4" t="n">
        <v>2011</v>
      </c>
      <c r="BM5" s="4" t="n">
        <v>2012</v>
      </c>
      <c r="BN5" s="4" t="n">
        <v>2013</v>
      </c>
      <c r="BO5" s="4" t="n">
        <v>2014</v>
      </c>
      <c r="BP5" s="4" t="n">
        <v>2015</v>
      </c>
      <c r="BQ5" s="4" t="n">
        <v>2016</v>
      </c>
      <c r="BR5" s="4" t="n">
        <v>2017</v>
      </c>
      <c r="BS5" s="4" t="n">
        <v>2018</v>
      </c>
      <c r="BT5" s="4" t="n">
        <v>2019</v>
      </c>
    </row>
    <row r="6">
      <c r="A6" s="3" t="inlineStr">
        <is>
          <t>simple trophic chain, per taxon</t>
        </is>
      </c>
      <c r="B6" t="inlineStr">
        <is>
          <t>ok</t>
        </is>
      </c>
      <c r="C6" t="n">
        <v>968833784.474</v>
      </c>
      <c r="D6" t="n">
        <v>1116696883.715</v>
      </c>
      <c r="E6" t="n">
        <v>1105472927.697</v>
      </c>
      <c r="F6" t="n">
        <v>1175682564.867</v>
      </c>
      <c r="G6" t="n">
        <v>1337171481.102</v>
      </c>
      <c r="H6" t="n">
        <v>1239356788.43</v>
      </c>
      <c r="I6" t="n">
        <v>1243872576.112</v>
      </c>
      <c r="J6" t="n">
        <v>1402603315.903</v>
      </c>
      <c r="K6" t="n">
        <v>1323050811.095</v>
      </c>
      <c r="L6" t="n">
        <v>1387472816.399</v>
      </c>
      <c r="M6" t="n">
        <v>1175308544.029</v>
      </c>
      <c r="N6" t="n">
        <v>1364659510.602</v>
      </c>
      <c r="O6" t="n">
        <v>1208669448.564</v>
      </c>
      <c r="P6" t="n">
        <v>1447570890.468</v>
      </c>
      <c r="Q6" t="n">
        <v>1750787912.935</v>
      </c>
      <c r="R6" t="n">
        <v>1969628397.905</v>
      </c>
      <c r="S6" t="n">
        <v>2495641797.909</v>
      </c>
      <c r="T6" t="n">
        <v>2311760622.944</v>
      </c>
      <c r="U6" t="n">
        <v>2575944515.787</v>
      </c>
      <c r="V6" t="n">
        <v>3291841937.37</v>
      </c>
      <c r="W6" t="n">
        <v>3597468628.018</v>
      </c>
      <c r="X6" t="n">
        <v>2806711294.754</v>
      </c>
      <c r="Y6" t="n">
        <v>2734766466.217</v>
      </c>
      <c r="Z6" t="n">
        <v>2726142032.366</v>
      </c>
      <c r="AA6" t="n">
        <v>2970558978.538</v>
      </c>
      <c r="AB6" t="n">
        <v>2687259011.792</v>
      </c>
      <c r="AC6" t="n">
        <v>2907199172.495</v>
      </c>
      <c r="AD6" t="n">
        <v>2208153967.278</v>
      </c>
      <c r="AE6" t="n">
        <v>2148019698.716</v>
      </c>
      <c r="AF6" t="n">
        <v>1967185915.043</v>
      </c>
      <c r="AG6" t="n">
        <v>1937206752.937</v>
      </c>
      <c r="AH6" t="n">
        <v>2044062257.958</v>
      </c>
      <c r="AI6" t="n">
        <v>2191552512.477</v>
      </c>
      <c r="AJ6" t="n">
        <v>2185643563.868</v>
      </c>
      <c r="AK6" t="n">
        <v>2142822328.849</v>
      </c>
      <c r="AL6" t="n">
        <v>2127867273.545</v>
      </c>
      <c r="AM6" t="n">
        <v>1965245799.919</v>
      </c>
      <c r="AN6" t="n">
        <v>1894836401.913</v>
      </c>
      <c r="AO6" t="n">
        <v>1879970708.447</v>
      </c>
      <c r="AP6" t="n">
        <v>1605036516.616</v>
      </c>
      <c r="AQ6" t="n">
        <v>1498812614.626</v>
      </c>
      <c r="AR6" t="n">
        <v>1645368194.952</v>
      </c>
      <c r="AS6" t="n">
        <v>1659566996.466</v>
      </c>
      <c r="AT6" t="n">
        <v>1735271581.964</v>
      </c>
      <c r="AU6" t="n">
        <v>1655334474.358</v>
      </c>
      <c r="AV6" t="n">
        <v>1707434501.767</v>
      </c>
      <c r="AW6" t="n">
        <v>1442811055.468</v>
      </c>
      <c r="AX6" t="n">
        <v>1475314920.57</v>
      </c>
      <c r="AY6" t="n">
        <v>1411866662.291</v>
      </c>
      <c r="AZ6" t="n">
        <v>1460196692.552</v>
      </c>
      <c r="BA6" t="n">
        <v>1399581728.772</v>
      </c>
      <c r="BB6" t="n">
        <v>1288983923.853</v>
      </c>
      <c r="BC6" t="n">
        <v>1411818772.963</v>
      </c>
      <c r="BD6" t="n">
        <v>1279750285.327</v>
      </c>
      <c r="BE6" t="n">
        <v>1242241615.866</v>
      </c>
      <c r="BF6" t="n">
        <v>1129223201.71</v>
      </c>
      <c r="BG6" t="n">
        <v>1077486288.531</v>
      </c>
      <c r="BH6" t="n">
        <v>930946375.712</v>
      </c>
      <c r="BI6" t="n">
        <v>921214742.012</v>
      </c>
      <c r="BJ6" t="n">
        <v>931626037.8</v>
      </c>
      <c r="BK6" t="n">
        <v>864808958.534</v>
      </c>
      <c r="BL6" t="n">
        <v>823500035.188</v>
      </c>
      <c r="BM6" t="n">
        <v>737070173.877</v>
      </c>
      <c r="BN6" t="n">
        <v>857252775.51</v>
      </c>
      <c r="BO6" t="n">
        <v>966580495.768</v>
      </c>
      <c r="BP6" t="n">
        <v>968272325.604</v>
      </c>
      <c r="BQ6" t="n">
        <v>930050625.716</v>
      </c>
      <c r="BR6" t="n">
        <v>1051994981.736</v>
      </c>
      <c r="BS6" t="n">
        <v>1059040774.838</v>
      </c>
      <c r="BT6" t="n">
        <v>1700184792.549</v>
      </c>
    </row>
    <row r="7">
      <c r="A7" s="10" t="inlineStr">
        <is>
          <t>simple, aggregated to SAU functional group</t>
        </is>
      </c>
      <c r="B7" t="inlineStr">
        <is>
          <t>Jensen comparison, not a PPR estimate</t>
        </is>
      </c>
      <c r="C7" t="n">
        <v>889176060.962</v>
      </c>
      <c r="D7" t="n">
        <v>1027759715.068</v>
      </c>
      <c r="E7" t="n">
        <v>1027307442.029</v>
      </c>
      <c r="F7" t="n">
        <v>1090177606.673</v>
      </c>
      <c r="G7" t="n">
        <v>1260579989.509</v>
      </c>
      <c r="H7" t="n">
        <v>1147809137.966</v>
      </c>
      <c r="I7" t="n">
        <v>1146945351.728</v>
      </c>
      <c r="J7" t="n">
        <v>1293843982.479</v>
      </c>
      <c r="K7" t="n">
        <v>1217989045.541</v>
      </c>
      <c r="L7" t="n">
        <v>1249310661.682</v>
      </c>
      <c r="M7" t="n">
        <v>998194182.7180001</v>
      </c>
      <c r="N7" t="n">
        <v>1195122943.126</v>
      </c>
      <c r="O7" t="n">
        <v>975381139.007</v>
      </c>
      <c r="P7" t="n">
        <v>1202824183.844</v>
      </c>
      <c r="Q7" t="n">
        <v>1457510603.351</v>
      </c>
      <c r="R7" t="n">
        <v>1691627943.879</v>
      </c>
      <c r="S7" t="n">
        <v>2159173523.836</v>
      </c>
      <c r="T7" t="n">
        <v>1933029984.136</v>
      </c>
      <c r="U7" t="n">
        <v>2069026599.726</v>
      </c>
      <c r="V7" t="n">
        <v>2812743865.289</v>
      </c>
      <c r="W7" t="n">
        <v>3004597961.348</v>
      </c>
      <c r="X7" t="n">
        <v>2352515264.4</v>
      </c>
      <c r="Y7" t="n">
        <v>2298702192.44</v>
      </c>
      <c r="Z7" t="n">
        <v>2225763779.961</v>
      </c>
      <c r="AA7" t="n">
        <v>2338410968.08</v>
      </c>
      <c r="AB7" t="n">
        <v>2181008243.481</v>
      </c>
      <c r="AC7" t="n">
        <v>2319953267.021</v>
      </c>
      <c r="AD7" t="n">
        <v>1773490482.608</v>
      </c>
      <c r="AE7" t="n">
        <v>1725526047.081</v>
      </c>
      <c r="AF7" t="n">
        <v>1537618383.531</v>
      </c>
      <c r="AG7" t="n">
        <v>1507279013.855</v>
      </c>
      <c r="AH7" t="n">
        <v>1633662786.469</v>
      </c>
      <c r="AI7" t="n">
        <v>1722985228.48</v>
      </c>
      <c r="AJ7" t="n">
        <v>1717662368.753</v>
      </c>
      <c r="AK7" t="n">
        <v>1711641540.627</v>
      </c>
      <c r="AL7" t="n">
        <v>1743468468.486</v>
      </c>
      <c r="AM7" t="n">
        <v>1617830736.303</v>
      </c>
      <c r="AN7" t="n">
        <v>1579061875.337</v>
      </c>
      <c r="AO7" t="n">
        <v>1544244728.309</v>
      </c>
      <c r="AP7" t="n">
        <v>1349086068.012</v>
      </c>
      <c r="AQ7" t="n">
        <v>1253523448.745</v>
      </c>
      <c r="AR7" t="n">
        <v>1361278598.977</v>
      </c>
      <c r="AS7" t="n">
        <v>1371130861.972</v>
      </c>
      <c r="AT7" t="n">
        <v>1419719040.865</v>
      </c>
      <c r="AU7" t="n">
        <v>1363954339.605</v>
      </c>
      <c r="AV7" t="n">
        <v>1417344210.893</v>
      </c>
      <c r="AW7" t="n">
        <v>1195495379.358</v>
      </c>
      <c r="AX7" t="n">
        <v>1238195484.442</v>
      </c>
      <c r="AY7" t="n">
        <v>1224807147.329</v>
      </c>
      <c r="AZ7" t="n">
        <v>1254138831.049</v>
      </c>
      <c r="BA7" t="n">
        <v>1162949456.911</v>
      </c>
      <c r="BB7" t="n">
        <v>1121335919.157</v>
      </c>
      <c r="BC7" t="n">
        <v>1222189283.131</v>
      </c>
      <c r="BD7" t="n">
        <v>1169543876.844</v>
      </c>
      <c r="BE7" t="n">
        <v>1139595336.139</v>
      </c>
      <c r="BF7" t="n">
        <v>1065454060.236</v>
      </c>
      <c r="BG7" t="n">
        <v>943367957.337</v>
      </c>
      <c r="BH7" t="n">
        <v>861004629.029</v>
      </c>
      <c r="BI7" t="n">
        <v>819281960.446</v>
      </c>
      <c r="BJ7" t="n">
        <v>822234437.571</v>
      </c>
      <c r="BK7" t="n">
        <v>747815962.0700001</v>
      </c>
      <c r="BL7" t="n">
        <v>750844651.864</v>
      </c>
      <c r="BM7" t="n">
        <v>644875737.6950001</v>
      </c>
      <c r="BN7" t="n">
        <v>741159187.883</v>
      </c>
      <c r="BO7" t="n">
        <v>843775546.36</v>
      </c>
      <c r="BP7" t="n">
        <v>841569289.855</v>
      </c>
      <c r="BQ7" t="n">
        <v>806044691.5089999</v>
      </c>
      <c r="BR7" t="n">
        <v>940860321.48</v>
      </c>
      <c r="BS7" t="n">
        <v>944908278.8559999</v>
      </c>
      <c r="BT7" t="n">
        <v>1529129232.223</v>
      </c>
    </row>
    <row r="8">
      <c r="A8" s="10" t="inlineStr">
        <is>
          <t>simple, aggregated to SAU commercial group</t>
        </is>
      </c>
      <c r="B8" t="inlineStr">
        <is>
          <t>Jensen comparison, not a PPR estimate</t>
        </is>
      </c>
      <c r="C8" t="n">
        <v>898317692.9400001</v>
      </c>
      <c r="D8" t="n">
        <v>1030934053.795</v>
      </c>
      <c r="E8" t="n">
        <v>1027855229.985</v>
      </c>
      <c r="F8" t="n">
        <v>1093539180.578</v>
      </c>
      <c r="G8" t="n">
        <v>1249394353.969</v>
      </c>
      <c r="H8" t="n">
        <v>1146437279.645</v>
      </c>
      <c r="I8" t="n">
        <v>1151094225.647</v>
      </c>
      <c r="J8" t="n">
        <v>1304462633.182</v>
      </c>
      <c r="K8" t="n">
        <v>1228924372.641</v>
      </c>
      <c r="L8" t="n">
        <v>1269007202.086</v>
      </c>
      <c r="M8" t="n">
        <v>1018373217.987</v>
      </c>
      <c r="N8" t="n">
        <v>1214205633.863</v>
      </c>
      <c r="O8" t="n">
        <v>968323958.449</v>
      </c>
      <c r="P8" t="n">
        <v>1224688999.72</v>
      </c>
      <c r="Q8" t="n">
        <v>1540372887.26</v>
      </c>
      <c r="R8" t="n">
        <v>1781500229.792</v>
      </c>
      <c r="S8" t="n">
        <v>2254911966.403</v>
      </c>
      <c r="T8" t="n">
        <v>1961765749.86</v>
      </c>
      <c r="U8" t="n">
        <v>1976473636.76</v>
      </c>
      <c r="V8" t="n">
        <v>2950273449.876</v>
      </c>
      <c r="W8" t="n">
        <v>3096217974.9</v>
      </c>
      <c r="X8" t="n">
        <v>2242926670.896</v>
      </c>
      <c r="Y8" t="n">
        <v>2079626408.932</v>
      </c>
      <c r="Z8" t="n">
        <v>2107299105.23</v>
      </c>
      <c r="AA8" t="n">
        <v>2056046031.251</v>
      </c>
      <c r="AB8" t="n">
        <v>1924279997.832</v>
      </c>
      <c r="AC8" t="n">
        <v>2152101855.98</v>
      </c>
      <c r="AD8" t="n">
        <v>1620601013.551</v>
      </c>
      <c r="AE8" t="n">
        <v>1661975476.741</v>
      </c>
      <c r="AF8" t="n">
        <v>1461968455.541</v>
      </c>
      <c r="AG8" t="n">
        <v>1362826370.355</v>
      </c>
      <c r="AH8" t="n">
        <v>1577841126.064</v>
      </c>
      <c r="AI8" t="n">
        <v>1618270742.111</v>
      </c>
      <c r="AJ8" t="n">
        <v>1608745387.215</v>
      </c>
      <c r="AK8" t="n">
        <v>1605253717.674</v>
      </c>
      <c r="AL8" t="n">
        <v>1673895935.761</v>
      </c>
      <c r="AM8" t="n">
        <v>1593061004.379</v>
      </c>
      <c r="AN8" t="n">
        <v>1511488341.378</v>
      </c>
      <c r="AO8" t="n">
        <v>1527731391.5</v>
      </c>
      <c r="AP8" t="n">
        <v>1267505289.944</v>
      </c>
      <c r="AQ8" t="n">
        <v>1181292318.066</v>
      </c>
      <c r="AR8" t="n">
        <v>1287564660.284</v>
      </c>
      <c r="AS8" t="n">
        <v>1239320524.043</v>
      </c>
      <c r="AT8" t="n">
        <v>1337435953.038</v>
      </c>
      <c r="AU8" t="n">
        <v>1287773888.493</v>
      </c>
      <c r="AV8" t="n">
        <v>1292893859.731</v>
      </c>
      <c r="AW8" t="n">
        <v>1081925351.388</v>
      </c>
      <c r="AX8" t="n">
        <v>1141126483.6</v>
      </c>
      <c r="AY8" t="n">
        <v>1175052263.115</v>
      </c>
      <c r="AZ8" t="n">
        <v>1215325121.895</v>
      </c>
      <c r="BA8" t="n">
        <v>1083401882.66</v>
      </c>
      <c r="BB8" t="n">
        <v>1079251433.81</v>
      </c>
      <c r="BC8" t="n">
        <v>1170339631.976</v>
      </c>
      <c r="BD8" t="n">
        <v>1132167674.018</v>
      </c>
      <c r="BE8" t="n">
        <v>1099897069.414</v>
      </c>
      <c r="BF8" t="n">
        <v>1013883660.509</v>
      </c>
      <c r="BG8" t="n">
        <v>905087928.559</v>
      </c>
      <c r="BH8" t="n">
        <v>848126731.687</v>
      </c>
      <c r="BI8" t="n">
        <v>781681566.549</v>
      </c>
      <c r="BJ8" t="n">
        <v>769541601.141</v>
      </c>
      <c r="BK8" t="n">
        <v>652939767.4170001</v>
      </c>
      <c r="BL8" t="n">
        <v>743341073.428</v>
      </c>
      <c r="BM8" t="n">
        <v>623391099.34</v>
      </c>
      <c r="BN8" t="n">
        <v>688322214.2640001</v>
      </c>
      <c r="BO8" t="n">
        <v>820463996.704</v>
      </c>
      <c r="BP8" t="n">
        <v>796447810.7640001</v>
      </c>
      <c r="BQ8" t="n">
        <v>755415837.777</v>
      </c>
      <c r="BR8" t="n">
        <v>905905407.747</v>
      </c>
      <c r="BS8" t="n">
        <v>910263828.7869999</v>
      </c>
      <c r="BT8" t="n">
        <v>1461271649.863</v>
      </c>
    </row>
    <row r="9">
      <c r="A9" t="inlineStr">
        <is>
          <t>SPPR_1986</t>
        </is>
      </c>
      <c r="B9" t="inlineStr">
        <is>
          <t>ok</t>
        </is>
      </c>
      <c r="C9" t="n">
        <v>651392030.494</v>
      </c>
      <c r="D9" t="n">
        <v>736301656.836</v>
      </c>
      <c r="E9" t="n">
        <v>657817493.926</v>
      </c>
      <c r="F9" t="n">
        <v>786584698.934</v>
      </c>
      <c r="G9" t="n">
        <v>802609092.914</v>
      </c>
      <c r="H9" t="n">
        <v>711393620.602</v>
      </c>
      <c r="I9" t="n">
        <v>761172336.051</v>
      </c>
      <c r="J9" t="n">
        <v>821810505.625</v>
      </c>
      <c r="K9" t="n">
        <v>772211288.482</v>
      </c>
      <c r="L9" t="n">
        <v>833709977.3940001</v>
      </c>
      <c r="M9" t="n">
        <v>741741499.854</v>
      </c>
      <c r="N9" t="n">
        <v>748885876.619</v>
      </c>
      <c r="O9" t="n">
        <v>784789133.716</v>
      </c>
      <c r="P9" t="n">
        <v>917867431.097</v>
      </c>
      <c r="Q9" t="n">
        <v>1050477529.305</v>
      </c>
      <c r="R9" t="n">
        <v>1109152685.933</v>
      </c>
      <c r="S9" t="n">
        <v>1247389565.663</v>
      </c>
      <c r="T9" t="n">
        <v>1306875480.017</v>
      </c>
      <c r="U9" t="n">
        <v>1452463155.632</v>
      </c>
      <c r="V9" t="n">
        <v>1456789618.121</v>
      </c>
      <c r="W9" t="n">
        <v>1476631093.405</v>
      </c>
      <c r="X9" t="n">
        <v>1280639941.049</v>
      </c>
      <c r="Y9" t="n">
        <v>1263737376.19</v>
      </c>
      <c r="Z9" t="n">
        <v>1347595779.028</v>
      </c>
      <c r="AA9" t="n">
        <v>1488893287.458</v>
      </c>
      <c r="AB9" t="n">
        <v>1427952501.637</v>
      </c>
      <c r="AC9" t="n">
        <v>1417760174.798</v>
      </c>
      <c r="AD9" t="n">
        <v>1197577624.999</v>
      </c>
      <c r="AE9" t="n">
        <v>1102449987.761</v>
      </c>
      <c r="AF9" t="n">
        <v>1030410211.979</v>
      </c>
      <c r="AG9" t="n">
        <v>1141067235.645</v>
      </c>
      <c r="AH9" t="n">
        <v>1092081087.821</v>
      </c>
      <c r="AI9" t="n">
        <v>1169695680.431</v>
      </c>
      <c r="AJ9" t="n">
        <v>1157970504.926</v>
      </c>
      <c r="AK9" t="n">
        <v>1158574605.557</v>
      </c>
      <c r="AL9" t="n">
        <v>1172495549.161</v>
      </c>
      <c r="AM9" t="n">
        <v>1184230483.657</v>
      </c>
      <c r="AN9" t="n">
        <v>1170934119.75</v>
      </c>
      <c r="AO9" t="n">
        <v>1226469675.307</v>
      </c>
      <c r="AP9" t="n">
        <v>1220989948.329</v>
      </c>
      <c r="AQ9" t="n">
        <v>1029585224.521</v>
      </c>
      <c r="AR9" t="n">
        <v>1135320929.098</v>
      </c>
      <c r="AS9" t="n">
        <v>1217747268.16</v>
      </c>
      <c r="AT9" t="n">
        <v>1109798631.697</v>
      </c>
      <c r="AU9" t="n">
        <v>1161354678.994</v>
      </c>
      <c r="AV9" t="n">
        <v>1262421275.663</v>
      </c>
      <c r="AW9" t="n">
        <v>902695086.0089999</v>
      </c>
      <c r="AX9" t="n">
        <v>989376444.875</v>
      </c>
      <c r="AY9" t="n">
        <v>952420724.242</v>
      </c>
      <c r="AZ9" t="n">
        <v>917679419.733</v>
      </c>
      <c r="BA9" t="n">
        <v>945098000.044</v>
      </c>
      <c r="BB9" t="n">
        <v>908284595.41</v>
      </c>
      <c r="BC9" t="n">
        <v>952961374.386</v>
      </c>
      <c r="BD9" t="n">
        <v>783988711.892</v>
      </c>
      <c r="BE9" t="n">
        <v>801085872.779</v>
      </c>
      <c r="BF9" t="n">
        <v>714538690.864</v>
      </c>
      <c r="BG9" t="n">
        <v>691716632.766</v>
      </c>
      <c r="BH9" t="n">
        <v>572019817.087</v>
      </c>
      <c r="BI9" t="n">
        <v>552429128.733</v>
      </c>
      <c r="BJ9" t="n">
        <v>607533943.752</v>
      </c>
      <c r="BK9" t="n">
        <v>613742184.404</v>
      </c>
      <c r="BL9" t="n">
        <v>588895040.905</v>
      </c>
      <c r="BM9" t="n">
        <v>505590788.28</v>
      </c>
      <c r="BN9" t="n">
        <v>639261755.568</v>
      </c>
      <c r="BO9" t="n">
        <v>683290936.057</v>
      </c>
      <c r="BP9" t="n">
        <v>702185976.693</v>
      </c>
      <c r="BQ9" t="n">
        <v>636131176.615</v>
      </c>
      <c r="BR9" t="n">
        <v>722991542.756</v>
      </c>
      <c r="BS9" t="n">
        <v>734150680.71</v>
      </c>
      <c r="BT9" t="n">
        <v>890315331.0549999</v>
      </c>
    </row>
    <row r="10">
      <c r="A10" t="inlineStr">
        <is>
          <t>SPPR_1995_TE0.1</t>
        </is>
      </c>
      <c r="B10" t="inlineStr">
        <is>
          <t>ok</t>
        </is>
      </c>
      <c r="C10" t="n">
        <v>632465695.898</v>
      </c>
      <c r="D10" t="n">
        <v>729122098.262</v>
      </c>
      <c r="E10" t="n">
        <v>678454445.485</v>
      </c>
      <c r="F10" t="n">
        <v>760225647.051</v>
      </c>
      <c r="G10" t="n">
        <v>811001007.164</v>
      </c>
      <c r="H10" t="n">
        <v>722132402.0369999</v>
      </c>
      <c r="I10" t="n">
        <v>756217089.286</v>
      </c>
      <c r="J10" t="n">
        <v>854588016.08</v>
      </c>
      <c r="K10" t="n">
        <v>817922892.577</v>
      </c>
      <c r="L10" t="n">
        <v>876148221.136</v>
      </c>
      <c r="M10" t="n">
        <v>745456021.6900001</v>
      </c>
      <c r="N10" t="n">
        <v>800664067.046</v>
      </c>
      <c r="O10" t="n">
        <v>761360294.558</v>
      </c>
      <c r="P10" t="n">
        <v>915972883.675</v>
      </c>
      <c r="Q10" t="n">
        <v>1055733562.844</v>
      </c>
      <c r="R10" t="n">
        <v>1174195726.531</v>
      </c>
      <c r="S10" t="n">
        <v>1420608379.235</v>
      </c>
      <c r="T10" t="n">
        <v>1488540733.247</v>
      </c>
      <c r="U10" t="n">
        <v>1624398023.274</v>
      </c>
      <c r="V10" t="n">
        <v>1688377385.425</v>
      </c>
      <c r="W10" t="n">
        <v>1744025351.061</v>
      </c>
      <c r="X10" t="n">
        <v>1604708010.147</v>
      </c>
      <c r="Y10" t="n">
        <v>1580786191.647</v>
      </c>
      <c r="Z10" t="n">
        <v>1583979656.977</v>
      </c>
      <c r="AA10" t="n">
        <v>1745897342.763</v>
      </c>
      <c r="AB10" t="n">
        <v>1619649218.044</v>
      </c>
      <c r="AC10" t="n">
        <v>1704346790.229</v>
      </c>
      <c r="AD10" t="n">
        <v>1402189584.657</v>
      </c>
      <c r="AE10" t="n">
        <v>1332639601.609</v>
      </c>
      <c r="AF10" t="n">
        <v>1205965587.705</v>
      </c>
      <c r="AG10" t="n">
        <v>1243064450.247</v>
      </c>
      <c r="AH10" t="n">
        <v>1261058888.78</v>
      </c>
      <c r="AI10" t="n">
        <v>1319879290.662</v>
      </c>
      <c r="AJ10" t="n">
        <v>1306255136.342</v>
      </c>
      <c r="AK10" t="n">
        <v>1335278176.034</v>
      </c>
      <c r="AL10" t="n">
        <v>1326944448.177</v>
      </c>
      <c r="AM10" t="n">
        <v>1298561637.259</v>
      </c>
      <c r="AN10" t="n">
        <v>1277224155.71</v>
      </c>
      <c r="AO10" t="n">
        <v>1305634862.387</v>
      </c>
      <c r="AP10" t="n">
        <v>1259677314.742</v>
      </c>
      <c r="AQ10" t="n">
        <v>1099404865.817</v>
      </c>
      <c r="AR10" t="n">
        <v>1207254975.742</v>
      </c>
      <c r="AS10" t="n">
        <v>1266234235.173</v>
      </c>
      <c r="AT10" t="n">
        <v>1212399274.153</v>
      </c>
      <c r="AU10" t="n">
        <v>1221604020.313</v>
      </c>
      <c r="AV10" t="n">
        <v>1283341798.614</v>
      </c>
      <c r="AW10" t="n">
        <v>1029966857.871</v>
      </c>
      <c r="AX10" t="n">
        <v>1100553234.039</v>
      </c>
      <c r="AY10" t="n">
        <v>1015352223.375</v>
      </c>
      <c r="AZ10" t="n">
        <v>983560794.314</v>
      </c>
      <c r="BA10" t="n">
        <v>981791661.7079999</v>
      </c>
      <c r="BB10" t="n">
        <v>951031978.026</v>
      </c>
      <c r="BC10" t="n">
        <v>1014329908.293</v>
      </c>
      <c r="BD10" t="n">
        <v>826465186.95</v>
      </c>
      <c r="BE10" t="n">
        <v>820606291.595</v>
      </c>
      <c r="BF10" t="n">
        <v>724863578.51</v>
      </c>
      <c r="BG10" t="n">
        <v>721484471.643</v>
      </c>
      <c r="BH10" t="n">
        <v>631289637.265</v>
      </c>
      <c r="BI10" t="n">
        <v>648697332.219</v>
      </c>
      <c r="BJ10" t="n">
        <v>694645302.2819999</v>
      </c>
      <c r="BK10" t="n">
        <v>653090763.915</v>
      </c>
      <c r="BL10" t="n">
        <v>665642089.501</v>
      </c>
      <c r="BM10" t="n">
        <v>530644218.645</v>
      </c>
      <c r="BN10" t="n">
        <v>661301891.1619999</v>
      </c>
      <c r="BO10" t="n">
        <v>719576381.026</v>
      </c>
      <c r="BP10" t="n">
        <v>730838442.656</v>
      </c>
      <c r="BQ10" t="n">
        <v>669614595.9450001</v>
      </c>
      <c r="BR10" t="n">
        <v>829112272.296</v>
      </c>
      <c r="BS10" t="n">
        <v>800253972.676</v>
      </c>
      <c r="BT10" t="n">
        <v>1115187238.301</v>
      </c>
    </row>
    <row r="11">
      <c r="A11" t="inlineStr">
        <is>
          <t>SPPR_1995_TEmean</t>
        </is>
      </c>
      <c r="B11" t="inlineStr">
        <is>
          <t>ok</t>
        </is>
      </c>
      <c r="C11" t="n">
        <v>148413620.275</v>
      </c>
      <c r="D11" t="n">
        <v>169940368.643</v>
      </c>
      <c r="E11" t="n">
        <v>156639438.608</v>
      </c>
      <c r="F11" t="n">
        <v>178707005.653</v>
      </c>
      <c r="G11" t="n">
        <v>189110284.674</v>
      </c>
      <c r="H11" t="n">
        <v>167029357.752</v>
      </c>
      <c r="I11" t="n">
        <v>176241839.598</v>
      </c>
      <c r="J11" t="n">
        <v>197073007.137</v>
      </c>
      <c r="K11" t="n">
        <v>187761335.751</v>
      </c>
      <c r="L11" t="n">
        <v>201483730.09</v>
      </c>
      <c r="M11" t="n">
        <v>173820119.501</v>
      </c>
      <c r="N11" t="n">
        <v>183599907.43</v>
      </c>
      <c r="O11" t="n">
        <v>179204496.691</v>
      </c>
      <c r="P11" t="n">
        <v>213867380.041</v>
      </c>
      <c r="Q11" t="n">
        <v>246547287.7</v>
      </c>
      <c r="R11" t="n">
        <v>271376960.734</v>
      </c>
      <c r="S11" t="n">
        <v>324216560.305</v>
      </c>
      <c r="T11" t="n">
        <v>341695241.575</v>
      </c>
      <c r="U11" t="n">
        <v>372832531.922</v>
      </c>
      <c r="V11" t="n">
        <v>386111253.365</v>
      </c>
      <c r="W11" t="n">
        <v>394355300.545</v>
      </c>
      <c r="X11" t="n">
        <v>354859684.095</v>
      </c>
      <c r="Y11" t="n">
        <v>349124480.293</v>
      </c>
      <c r="Z11" t="n">
        <v>355257457.785</v>
      </c>
      <c r="AA11" t="n">
        <v>389437402.153</v>
      </c>
      <c r="AB11" t="n">
        <v>363642509.681</v>
      </c>
      <c r="AC11" t="n">
        <v>377007882.925</v>
      </c>
      <c r="AD11" t="n">
        <v>311710434.424</v>
      </c>
      <c r="AE11" t="n">
        <v>294376267.493</v>
      </c>
      <c r="AF11" t="n">
        <v>268200324.808</v>
      </c>
      <c r="AG11" t="n">
        <v>279917954.347</v>
      </c>
      <c r="AH11" t="n">
        <v>281336678.917</v>
      </c>
      <c r="AI11" t="n">
        <v>296421372.558</v>
      </c>
      <c r="AJ11" t="n">
        <v>293570115.988</v>
      </c>
      <c r="AK11" t="n">
        <v>297619857.673</v>
      </c>
      <c r="AL11" t="n">
        <v>297355434.685</v>
      </c>
      <c r="AM11" t="n">
        <v>293446201.103</v>
      </c>
      <c r="AN11" t="n">
        <v>288654715.363</v>
      </c>
      <c r="AO11" t="n">
        <v>297414369.234</v>
      </c>
      <c r="AP11" t="n">
        <v>288584791.843</v>
      </c>
      <c r="AQ11" t="n">
        <v>249818139.879</v>
      </c>
      <c r="AR11" t="n">
        <v>274366492.259</v>
      </c>
      <c r="AS11" t="n">
        <v>288627321.289</v>
      </c>
      <c r="AT11" t="n">
        <v>275060333.239</v>
      </c>
      <c r="AU11" t="n">
        <v>277977965.154</v>
      </c>
      <c r="AV11" t="n">
        <v>293913709.837</v>
      </c>
      <c r="AW11" t="n">
        <v>227854121.082</v>
      </c>
      <c r="AX11" t="n">
        <v>245327923.409</v>
      </c>
      <c r="AY11" t="n">
        <v>228849311.857</v>
      </c>
      <c r="AZ11" t="n">
        <v>222714189.922</v>
      </c>
      <c r="BA11" t="n">
        <v>224088906.315</v>
      </c>
      <c r="BB11" t="n">
        <v>216619388.234</v>
      </c>
      <c r="BC11" t="n">
        <v>230781983.191</v>
      </c>
      <c r="BD11" t="n">
        <v>189217521.294</v>
      </c>
      <c r="BE11" t="n">
        <v>188798793.309</v>
      </c>
      <c r="BF11" t="n">
        <v>167155766.304</v>
      </c>
      <c r="BG11" t="n">
        <v>165007858.392</v>
      </c>
      <c r="BH11" t="n">
        <v>141965385.928</v>
      </c>
      <c r="BI11" t="n">
        <v>142669720.005</v>
      </c>
      <c r="BJ11" t="n">
        <v>154011436.117</v>
      </c>
      <c r="BK11" t="n">
        <v>147473698.668</v>
      </c>
      <c r="BL11" t="n">
        <v>148355383.039</v>
      </c>
      <c r="BM11" t="n">
        <v>120476675.34</v>
      </c>
      <c r="BN11" t="n">
        <v>151115770.238</v>
      </c>
      <c r="BO11" t="n">
        <v>164122623.354</v>
      </c>
      <c r="BP11" t="n">
        <v>166296847.081</v>
      </c>
      <c r="BQ11" t="n">
        <v>151045559.552</v>
      </c>
      <c r="BR11" t="n">
        <v>183091597.689</v>
      </c>
      <c r="BS11" t="n">
        <v>179596129.038</v>
      </c>
      <c r="BT11" t="n">
        <v>243546814.907</v>
      </c>
    </row>
    <row r="12">
      <c r="A12" t="inlineStr">
        <is>
          <t>Ulanowicz_globalTEmean</t>
        </is>
      </c>
      <c r="B12" t="inlineStr">
        <is>
          <t>ok</t>
        </is>
      </c>
      <c r="C12" t="n">
        <v>271023005.682</v>
      </c>
      <c r="D12" t="n">
        <v>310066961.954</v>
      </c>
      <c r="E12" t="n">
        <v>291135530.985</v>
      </c>
      <c r="F12" t="n">
        <v>326613062.835</v>
      </c>
      <c r="G12" t="n">
        <v>343354110.769</v>
      </c>
      <c r="H12" t="n">
        <v>307377934.366</v>
      </c>
      <c r="I12" t="n">
        <v>322366503.812</v>
      </c>
      <c r="J12" t="n">
        <v>365216437.666</v>
      </c>
      <c r="K12" t="n">
        <v>352330376.423</v>
      </c>
      <c r="L12" t="n">
        <v>376820114.373</v>
      </c>
      <c r="M12" t="n">
        <v>323040914.618</v>
      </c>
      <c r="N12" t="n">
        <v>342604550.687</v>
      </c>
      <c r="O12" t="n">
        <v>328811802.931</v>
      </c>
      <c r="P12" t="n">
        <v>395425719.595</v>
      </c>
      <c r="Q12" t="n">
        <v>456005669.474</v>
      </c>
      <c r="R12" t="n">
        <v>507087571.135</v>
      </c>
      <c r="S12" t="n">
        <v>609977206.808</v>
      </c>
      <c r="T12" t="n">
        <v>639644147.993</v>
      </c>
      <c r="U12" t="n">
        <v>691041594.248</v>
      </c>
      <c r="V12" t="n">
        <v>734911013.262</v>
      </c>
      <c r="W12" t="n">
        <v>758462106.2690001</v>
      </c>
      <c r="X12" t="n">
        <v>684949867.688</v>
      </c>
      <c r="Y12" t="n">
        <v>677232521.601</v>
      </c>
      <c r="Z12" t="n">
        <v>672170527.59</v>
      </c>
      <c r="AA12" t="n">
        <v>737893928.942</v>
      </c>
      <c r="AB12" t="n">
        <v>686822072.586</v>
      </c>
      <c r="AC12" t="n">
        <v>721541582.337</v>
      </c>
      <c r="AD12" t="n">
        <v>605355542.136</v>
      </c>
      <c r="AE12" t="n">
        <v>576423153.933</v>
      </c>
      <c r="AF12" t="n">
        <v>521162295.756</v>
      </c>
      <c r="AG12" t="n">
        <v>538705031.966</v>
      </c>
      <c r="AH12" t="n">
        <v>549181006.329</v>
      </c>
      <c r="AI12" t="n">
        <v>575932129.158</v>
      </c>
      <c r="AJ12" t="n">
        <v>567385962.822</v>
      </c>
      <c r="AK12" t="n">
        <v>578696892.472</v>
      </c>
      <c r="AL12" t="n">
        <v>576967425.138</v>
      </c>
      <c r="AM12" t="n">
        <v>568372700.596</v>
      </c>
      <c r="AN12" t="n">
        <v>554008986.659</v>
      </c>
      <c r="AO12" t="n">
        <v>571187618.913</v>
      </c>
      <c r="AP12" t="n">
        <v>554843753.682</v>
      </c>
      <c r="AQ12" t="n">
        <v>479990564.224</v>
      </c>
      <c r="AR12" t="n">
        <v>527197100.921</v>
      </c>
      <c r="AS12" t="n">
        <v>551117131.442</v>
      </c>
      <c r="AT12" t="n">
        <v>520540143.624</v>
      </c>
      <c r="AU12" t="n">
        <v>529820652.512</v>
      </c>
      <c r="AV12" t="n">
        <v>552544477.544</v>
      </c>
      <c r="AW12" t="n">
        <v>441354463.715</v>
      </c>
      <c r="AX12" t="n">
        <v>475734099.388</v>
      </c>
      <c r="AY12" t="n">
        <v>439214243.371</v>
      </c>
      <c r="AZ12" t="n">
        <v>424034589.345</v>
      </c>
      <c r="BA12" t="n">
        <v>423557950.435</v>
      </c>
      <c r="BB12" t="n">
        <v>411868867.607</v>
      </c>
      <c r="BC12" t="n">
        <v>437387030.411</v>
      </c>
      <c r="BD12" t="n">
        <v>351720842.933</v>
      </c>
      <c r="BE12" t="n">
        <v>348720860.784</v>
      </c>
      <c r="BF12" t="n">
        <v>303808199.201</v>
      </c>
      <c r="BG12" t="n">
        <v>305003348.676</v>
      </c>
      <c r="BH12" t="n">
        <v>265420395.392</v>
      </c>
      <c r="BI12" t="n">
        <v>271918930.53</v>
      </c>
      <c r="BJ12" t="n">
        <v>292769006.473</v>
      </c>
      <c r="BK12" t="n">
        <v>276910553.605</v>
      </c>
      <c r="BL12" t="n">
        <v>284042687.898</v>
      </c>
      <c r="BM12" t="n">
        <v>222238665.87</v>
      </c>
      <c r="BN12" t="n">
        <v>280334267.879</v>
      </c>
      <c r="BO12" t="n">
        <v>301455272.48</v>
      </c>
      <c r="BP12" t="n">
        <v>304608270.871</v>
      </c>
      <c r="BQ12" t="n">
        <v>273813995.799</v>
      </c>
      <c r="BR12" t="n">
        <v>345761063.124</v>
      </c>
      <c r="BS12" t="n">
        <v>330354642.145</v>
      </c>
      <c r="BT12" t="n">
        <v>461546566.52</v>
      </c>
    </row>
    <row r="13">
      <c r="A13" t="inlineStr">
        <is>
          <t>Ulanowicz_TE</t>
        </is>
      </c>
      <c r="B13" t="inlineStr">
        <is>
          <t>ok</t>
        </is>
      </c>
      <c r="C13" t="n">
        <v>189726437.838</v>
      </c>
      <c r="D13" t="n">
        <v>221423621.002</v>
      </c>
      <c r="E13" t="n">
        <v>208842724.423</v>
      </c>
      <c r="F13" t="n">
        <v>228963716.629</v>
      </c>
      <c r="G13" t="n">
        <v>233901833.929</v>
      </c>
      <c r="H13" t="n">
        <v>220586615.085</v>
      </c>
      <c r="I13" t="n">
        <v>229502486.505</v>
      </c>
      <c r="J13" t="n">
        <v>258822881.396</v>
      </c>
      <c r="K13" t="n">
        <v>252967738.184</v>
      </c>
      <c r="L13" t="n">
        <v>273360034.424</v>
      </c>
      <c r="M13" t="n">
        <v>235545276.176</v>
      </c>
      <c r="N13" t="n">
        <v>253757248.45</v>
      </c>
      <c r="O13" t="n">
        <v>239692593.214</v>
      </c>
      <c r="P13" t="n">
        <v>289613271.208</v>
      </c>
      <c r="Q13" t="n">
        <v>322782746.523</v>
      </c>
      <c r="R13" t="n">
        <v>364540004.719</v>
      </c>
      <c r="S13" t="n">
        <v>447822698.285</v>
      </c>
      <c r="T13" t="n">
        <v>482096914.748</v>
      </c>
      <c r="U13" t="n">
        <v>511653598.83</v>
      </c>
      <c r="V13" t="n">
        <v>554723297.265</v>
      </c>
      <c r="W13" t="n">
        <v>543793384.637</v>
      </c>
      <c r="X13" t="n">
        <v>480041178.022</v>
      </c>
      <c r="Y13" t="n">
        <v>478858462.069</v>
      </c>
      <c r="Z13" t="n">
        <v>478734466.745</v>
      </c>
      <c r="AA13" t="n">
        <v>528699196.099</v>
      </c>
      <c r="AB13" t="n">
        <v>488871309.847</v>
      </c>
      <c r="AC13" t="n">
        <v>511158982.969</v>
      </c>
      <c r="AD13" t="n">
        <v>438692397.077</v>
      </c>
      <c r="AE13" t="n">
        <v>420507399.565</v>
      </c>
      <c r="AF13" t="n">
        <v>379913661.805</v>
      </c>
      <c r="AG13" t="n">
        <v>383047038.64</v>
      </c>
      <c r="AH13" t="n">
        <v>391040288.056</v>
      </c>
      <c r="AI13" t="n">
        <v>407639014.292</v>
      </c>
      <c r="AJ13" t="n">
        <v>401553686.129</v>
      </c>
      <c r="AK13" t="n">
        <v>411917048.902</v>
      </c>
      <c r="AL13" t="n">
        <v>406919227.018</v>
      </c>
      <c r="AM13" t="n">
        <v>406967848.132</v>
      </c>
      <c r="AN13" t="n">
        <v>396858333.886</v>
      </c>
      <c r="AO13" t="n">
        <v>418787329.491</v>
      </c>
      <c r="AP13" t="n">
        <v>409140441.274</v>
      </c>
      <c r="AQ13" t="n">
        <v>355673408.957</v>
      </c>
      <c r="AR13" t="n">
        <v>394172041.107</v>
      </c>
      <c r="AS13" t="n">
        <v>407870218.163</v>
      </c>
      <c r="AT13" t="n">
        <v>380031191.814</v>
      </c>
      <c r="AU13" t="n">
        <v>388832174.731</v>
      </c>
      <c r="AV13" t="n">
        <v>397752841.745</v>
      </c>
      <c r="AW13" t="n">
        <v>318876333.839</v>
      </c>
      <c r="AX13" t="n">
        <v>348782863.484</v>
      </c>
      <c r="AY13" t="n">
        <v>315694765.653</v>
      </c>
      <c r="AZ13" t="n">
        <v>309421000.612</v>
      </c>
      <c r="BA13" t="n">
        <v>310223425.232</v>
      </c>
      <c r="BB13" t="n">
        <v>306795015.122</v>
      </c>
      <c r="BC13" t="n">
        <v>324611319.589</v>
      </c>
      <c r="BD13" t="n">
        <v>258700423.536</v>
      </c>
      <c r="BE13" t="n">
        <v>254297961.032</v>
      </c>
      <c r="BF13" t="n">
        <v>213768895.392</v>
      </c>
      <c r="BG13" t="n">
        <v>220223719.073</v>
      </c>
      <c r="BH13" t="n">
        <v>192355085.922</v>
      </c>
      <c r="BI13" t="n">
        <v>196566842.047</v>
      </c>
      <c r="BJ13" t="n">
        <v>213458894.33</v>
      </c>
      <c r="BK13" t="n">
        <v>199296264.487</v>
      </c>
      <c r="BL13" t="n">
        <v>209554031.982</v>
      </c>
      <c r="BM13" t="n">
        <v>155325548.482</v>
      </c>
      <c r="BN13" t="n">
        <v>199058836.418</v>
      </c>
      <c r="BO13" t="n">
        <v>217287306.927</v>
      </c>
      <c r="BP13" t="n">
        <v>215355635.92</v>
      </c>
      <c r="BQ13" t="n">
        <v>188364376.951</v>
      </c>
      <c r="BR13" t="n">
        <v>246841916.147</v>
      </c>
      <c r="BS13" t="n">
        <v>233569022.246</v>
      </c>
      <c r="BT13" t="n">
        <v>304818639.086</v>
      </c>
    </row>
    <row r="14">
      <c r="A14" t="inlineStr">
        <is>
          <t>EwE_TE_noEE</t>
        </is>
      </c>
      <c r="B14" t="inlineStr">
        <is>
          <t>ok</t>
        </is>
      </c>
      <c r="C14" t="n">
        <v>196357817.624</v>
      </c>
      <c r="D14" t="n">
        <v>229444298.922</v>
      </c>
      <c r="E14" t="n">
        <v>216690106.099</v>
      </c>
      <c r="F14" t="n">
        <v>236961111.179</v>
      </c>
      <c r="G14" t="n">
        <v>242190692.441</v>
      </c>
      <c r="H14" t="n">
        <v>228833725.644</v>
      </c>
      <c r="I14" t="n">
        <v>237729671.672</v>
      </c>
      <c r="J14" t="n">
        <v>268510911.926</v>
      </c>
      <c r="K14" t="n">
        <v>262483078.534</v>
      </c>
      <c r="L14" t="n">
        <v>283733855.691</v>
      </c>
      <c r="M14" t="n">
        <v>244428955.562</v>
      </c>
      <c r="N14" t="n">
        <v>263913796.539</v>
      </c>
      <c r="O14" t="n">
        <v>248760163.619</v>
      </c>
      <c r="P14" t="n">
        <v>300574157.417</v>
      </c>
      <c r="Q14" t="n">
        <v>334914037.612</v>
      </c>
      <c r="R14" t="n">
        <v>379447094.586</v>
      </c>
      <c r="S14" t="n">
        <v>470161623.702</v>
      </c>
      <c r="T14" t="n">
        <v>509442272.502</v>
      </c>
      <c r="U14" t="n">
        <v>539051177.354</v>
      </c>
      <c r="V14" t="n">
        <v>583927859.928</v>
      </c>
      <c r="W14" t="n">
        <v>567715704.591</v>
      </c>
      <c r="X14" t="n">
        <v>499778746.465</v>
      </c>
      <c r="Y14" t="n">
        <v>497939019.324</v>
      </c>
      <c r="Z14" t="n">
        <v>499819330.623</v>
      </c>
      <c r="AA14" t="n">
        <v>551470528.765</v>
      </c>
      <c r="AB14" t="n">
        <v>509066480.178</v>
      </c>
      <c r="AC14" t="n">
        <v>533126584.343</v>
      </c>
      <c r="AD14" t="n">
        <v>457398970.473</v>
      </c>
      <c r="AE14" t="n">
        <v>439314726.747</v>
      </c>
      <c r="AF14" t="n">
        <v>397189138.346</v>
      </c>
      <c r="AG14" t="n">
        <v>398870285.488</v>
      </c>
      <c r="AH14" t="n">
        <v>407438472.843</v>
      </c>
      <c r="AI14" t="n">
        <v>424483326.664</v>
      </c>
      <c r="AJ14" t="n">
        <v>418264453.74</v>
      </c>
      <c r="AK14" t="n">
        <v>429062593.329</v>
      </c>
      <c r="AL14" t="n">
        <v>423361206.161</v>
      </c>
      <c r="AM14" t="n">
        <v>423386008.69</v>
      </c>
      <c r="AN14" t="n">
        <v>413519915.437</v>
      </c>
      <c r="AO14" t="n">
        <v>437111317.824</v>
      </c>
      <c r="AP14" t="n">
        <v>426674861.199</v>
      </c>
      <c r="AQ14" t="n">
        <v>371724656.406</v>
      </c>
      <c r="AR14" t="n">
        <v>412614090.835</v>
      </c>
      <c r="AS14" t="n">
        <v>426615335.739</v>
      </c>
      <c r="AT14" t="n">
        <v>398785122.915</v>
      </c>
      <c r="AU14" t="n">
        <v>407025215.088</v>
      </c>
      <c r="AV14" t="n">
        <v>415629460.503</v>
      </c>
      <c r="AW14" t="n">
        <v>333225172.046</v>
      </c>
      <c r="AX14" t="n">
        <v>364751814.308</v>
      </c>
      <c r="AY14" t="n">
        <v>330102606.288</v>
      </c>
      <c r="AZ14" t="n">
        <v>324749298.653</v>
      </c>
      <c r="BA14" t="n">
        <v>325519241.305</v>
      </c>
      <c r="BB14" t="n">
        <v>321951392.439</v>
      </c>
      <c r="BC14" t="n">
        <v>341154247.606</v>
      </c>
      <c r="BD14" t="n">
        <v>272588337.237</v>
      </c>
      <c r="BE14" t="n">
        <v>267602030.431</v>
      </c>
      <c r="BF14" t="n">
        <v>224442811.109</v>
      </c>
      <c r="BG14" t="n">
        <v>231347344.255</v>
      </c>
      <c r="BH14" t="n">
        <v>202432802.071</v>
      </c>
      <c r="BI14" t="n">
        <v>206427592.966</v>
      </c>
      <c r="BJ14" t="n">
        <v>224391718.984</v>
      </c>
      <c r="BK14" t="n">
        <v>209041423.038</v>
      </c>
      <c r="BL14" t="n">
        <v>220097149.367</v>
      </c>
      <c r="BM14" t="n">
        <v>162803356.626</v>
      </c>
      <c r="BN14" t="n">
        <v>208448099.554</v>
      </c>
      <c r="BO14" t="n">
        <v>229152789.969</v>
      </c>
      <c r="BP14" t="n">
        <v>226362120.269</v>
      </c>
      <c r="BQ14" t="n">
        <v>198096822.495</v>
      </c>
      <c r="BR14" t="n">
        <v>259096770.223</v>
      </c>
      <c r="BS14" t="n">
        <v>245770304.38</v>
      </c>
      <c r="BT14" t="n">
        <v>317995047.81</v>
      </c>
    </row>
    <row r="15">
      <c r="A15" t="inlineStr">
        <is>
          <t>EwE_TE_EE</t>
        </is>
      </c>
      <c r="B15" t="inlineStr">
        <is>
          <t>ok</t>
        </is>
      </c>
      <c r="C15" t="n">
        <v>162509835.484</v>
      </c>
      <c r="D15" t="n">
        <v>189497789.75</v>
      </c>
      <c r="E15" t="n">
        <v>179659360.484</v>
      </c>
      <c r="F15" t="n">
        <v>197674848.02</v>
      </c>
      <c r="G15" t="n">
        <v>201115853.776</v>
      </c>
      <c r="H15" t="n">
        <v>188819279.569</v>
      </c>
      <c r="I15" t="n">
        <v>197012217.83</v>
      </c>
      <c r="J15" t="n">
        <v>225147350.493</v>
      </c>
      <c r="K15" t="n">
        <v>218530030.293</v>
      </c>
      <c r="L15" t="n">
        <v>238158266.026</v>
      </c>
      <c r="M15" t="n">
        <v>202092928.521</v>
      </c>
      <c r="N15" t="n">
        <v>218047057.464</v>
      </c>
      <c r="O15" t="n">
        <v>208299784.028</v>
      </c>
      <c r="P15" t="n">
        <v>252153932.931</v>
      </c>
      <c r="Q15" t="n">
        <v>286744288.885</v>
      </c>
      <c r="R15" t="n">
        <v>323371388.994</v>
      </c>
      <c r="S15" t="n">
        <v>405931768.384</v>
      </c>
      <c r="T15" t="n">
        <v>438619374.706</v>
      </c>
      <c r="U15" t="n">
        <v>463297974.803</v>
      </c>
      <c r="V15" t="n">
        <v>504723793.131</v>
      </c>
      <c r="W15" t="n">
        <v>495105653.184</v>
      </c>
      <c r="X15" t="n">
        <v>432628042.464</v>
      </c>
      <c r="Y15" t="n">
        <v>427434173.276</v>
      </c>
      <c r="Z15" t="n">
        <v>431640618</v>
      </c>
      <c r="AA15" t="n">
        <v>478799286.158</v>
      </c>
      <c r="AB15" t="n">
        <v>440606139.505</v>
      </c>
      <c r="AC15" t="n">
        <v>465743351.245</v>
      </c>
      <c r="AD15" t="n">
        <v>399176379.345</v>
      </c>
      <c r="AE15" t="n">
        <v>382074899.53</v>
      </c>
      <c r="AF15" t="n">
        <v>344759024.533</v>
      </c>
      <c r="AG15" t="n">
        <v>348280310.897</v>
      </c>
      <c r="AH15" t="n">
        <v>355789525.368</v>
      </c>
      <c r="AI15" t="n">
        <v>373312042.153</v>
      </c>
      <c r="AJ15" t="n">
        <v>366797501.42</v>
      </c>
      <c r="AK15" t="n">
        <v>377506549.229</v>
      </c>
      <c r="AL15" t="n">
        <v>373459286.479</v>
      </c>
      <c r="AM15" t="n">
        <v>375661956.12</v>
      </c>
      <c r="AN15" t="n">
        <v>365080984.579</v>
      </c>
      <c r="AO15" t="n">
        <v>387242479.134</v>
      </c>
      <c r="AP15" t="n">
        <v>379235510.472</v>
      </c>
      <c r="AQ15" t="n">
        <v>328146370.071</v>
      </c>
      <c r="AR15" t="n">
        <v>366257895.727</v>
      </c>
      <c r="AS15" t="n">
        <v>379196104.843</v>
      </c>
      <c r="AT15" t="n">
        <v>354605636.847</v>
      </c>
      <c r="AU15" t="n">
        <v>363712556.369</v>
      </c>
      <c r="AV15" t="n">
        <v>369872855.752</v>
      </c>
      <c r="AW15" t="n">
        <v>296677511.917</v>
      </c>
      <c r="AX15" t="n">
        <v>325998781.094</v>
      </c>
      <c r="AY15" t="n">
        <v>294429543.266</v>
      </c>
      <c r="AZ15" t="n">
        <v>289948585.743</v>
      </c>
      <c r="BA15" t="n">
        <v>290685222.615</v>
      </c>
      <c r="BB15" t="n">
        <v>287538801.893</v>
      </c>
      <c r="BC15" t="n">
        <v>305090850.844</v>
      </c>
      <c r="BD15" t="n">
        <v>242967596.026</v>
      </c>
      <c r="BE15" t="n">
        <v>238792992.294</v>
      </c>
      <c r="BF15" t="n">
        <v>200195733.821</v>
      </c>
      <c r="BG15" t="n">
        <v>206685872.21</v>
      </c>
      <c r="BH15" t="n">
        <v>180880145.041</v>
      </c>
      <c r="BI15" t="n">
        <v>184705295.646</v>
      </c>
      <c r="BJ15" t="n">
        <v>200972452.559</v>
      </c>
      <c r="BK15" t="n">
        <v>187457929.013</v>
      </c>
      <c r="BL15" t="n">
        <v>197557955.277</v>
      </c>
      <c r="BM15" t="n">
        <v>144942385.306</v>
      </c>
      <c r="BN15" t="n">
        <v>186639992.325</v>
      </c>
      <c r="BO15" t="n">
        <v>204891151.38</v>
      </c>
      <c r="BP15" t="n">
        <v>202839268.319</v>
      </c>
      <c r="BQ15" t="n">
        <v>177029802.733</v>
      </c>
      <c r="BR15" t="n">
        <v>233284027.598</v>
      </c>
      <c r="BS15" t="n">
        <v>219665212.832</v>
      </c>
      <c r="BT15" t="n">
        <v>283832024.314</v>
      </c>
    </row>
    <row r="16">
      <c r="A16" s="11" t="inlineStr">
        <is>
          <t>SPPR_2015</t>
        </is>
      </c>
      <c r="B16" s="9" t="inlineStr">
        <is>
          <t>DIVERGED - negative SPPR in a source-model group</t>
        </is>
      </c>
      <c r="C16" t="n">
        <v>257138323.892</v>
      </c>
      <c r="D16" t="n">
        <v>301546464.154</v>
      </c>
      <c r="E16" t="n">
        <v>282944688.555</v>
      </c>
      <c r="F16" t="n">
        <v>308198823.761</v>
      </c>
      <c r="G16" t="n">
        <v>316861647.374</v>
      </c>
      <c r="H16" t="n">
        <v>300486110.585</v>
      </c>
      <c r="I16" t="n">
        <v>311496913.68</v>
      </c>
      <c r="J16" t="n">
        <v>349581320.327</v>
      </c>
      <c r="K16" t="n">
        <v>342466945.95</v>
      </c>
      <c r="L16" t="n">
        <v>368462652.345</v>
      </c>
      <c r="M16" t="n">
        <v>319690822.87</v>
      </c>
      <c r="N16" t="n">
        <v>346339732.083</v>
      </c>
      <c r="O16" t="n">
        <v>323164536.009</v>
      </c>
      <c r="P16" t="n">
        <v>390160958.923</v>
      </c>
      <c r="Q16" t="n">
        <v>428717206.674</v>
      </c>
      <c r="R16" t="n">
        <v>487313937.224</v>
      </c>
      <c r="S16" t="n">
        <v>598383166.801</v>
      </c>
      <c r="T16" t="n">
        <v>649321126.742</v>
      </c>
      <c r="U16" t="n">
        <v>689282497.262</v>
      </c>
      <c r="V16" t="n">
        <v>739489935.405</v>
      </c>
      <c r="W16" t="n">
        <v>711218303.951</v>
      </c>
      <c r="X16" t="n">
        <v>630961171.625</v>
      </c>
      <c r="Y16" t="n">
        <v>634932012.3279999</v>
      </c>
      <c r="Z16" t="n">
        <v>635037683.415</v>
      </c>
      <c r="AA16" t="n">
        <v>700886965.8049999</v>
      </c>
      <c r="AB16" t="n">
        <v>646922130.339</v>
      </c>
      <c r="AC16" t="n">
        <v>671078973.041</v>
      </c>
      <c r="AD16" t="n">
        <v>574561322.242</v>
      </c>
      <c r="AE16" t="n">
        <v>553531317.9119999</v>
      </c>
      <c r="AF16" t="n">
        <v>501411787.434</v>
      </c>
      <c r="AG16" t="n">
        <v>500262508.021</v>
      </c>
      <c r="AH16" t="n">
        <v>510335518.676</v>
      </c>
      <c r="AI16" t="n">
        <v>528959779.769</v>
      </c>
      <c r="AJ16" t="n">
        <v>523018240.769</v>
      </c>
      <c r="AK16" t="n">
        <v>536200136.264</v>
      </c>
      <c r="AL16" t="n">
        <v>527683170.685</v>
      </c>
      <c r="AM16" t="n">
        <v>524952761.146</v>
      </c>
      <c r="AN16" t="n">
        <v>518147812.678</v>
      </c>
      <c r="AO16" t="n">
        <v>546008790.464</v>
      </c>
      <c r="AP16" t="n">
        <v>530871612.359</v>
      </c>
      <c r="AQ16" t="n">
        <v>465123116.744</v>
      </c>
      <c r="AR16" t="n">
        <v>513959014.079</v>
      </c>
      <c r="AS16" t="n">
        <v>530735333.457</v>
      </c>
      <c r="AT16" t="n">
        <v>496987938.94</v>
      </c>
      <c r="AU16" t="n">
        <v>504648863.776</v>
      </c>
      <c r="AV16" t="n">
        <v>516379263.985</v>
      </c>
      <c r="AW16" t="n">
        <v>413275117.883</v>
      </c>
      <c r="AX16" t="n">
        <v>450655762.99</v>
      </c>
      <c r="AY16" t="n">
        <v>408058203.974</v>
      </c>
      <c r="AZ16" t="n">
        <v>401994807.853</v>
      </c>
      <c r="BA16" t="n">
        <v>403262367.636</v>
      </c>
      <c r="BB16" t="n">
        <v>398767995.625</v>
      </c>
      <c r="BC16" t="n">
        <v>422606048.383</v>
      </c>
      <c r="BD16" t="n">
        <v>339691088.438</v>
      </c>
      <c r="BE16" t="n">
        <v>333064219.936</v>
      </c>
      <c r="BF16" t="n">
        <v>280154688.216</v>
      </c>
      <c r="BG16" t="n">
        <v>288345520.471</v>
      </c>
      <c r="BH16" t="n">
        <v>252100621.472</v>
      </c>
      <c r="BI16" t="n">
        <v>256274629.922</v>
      </c>
      <c r="BJ16" t="n">
        <v>278115462.906</v>
      </c>
      <c r="BK16" t="n">
        <v>258347719.435</v>
      </c>
      <c r="BL16" t="n">
        <v>272155453.553</v>
      </c>
      <c r="BM16" t="n">
        <v>203374615.557</v>
      </c>
      <c r="BN16" t="n">
        <v>259017006.958</v>
      </c>
      <c r="BO16" t="n">
        <v>285903773.209</v>
      </c>
      <c r="BP16" t="n">
        <v>281836916.927</v>
      </c>
      <c r="BQ16" t="n">
        <v>247765109.678</v>
      </c>
      <c r="BR16" t="n">
        <v>321067785.721</v>
      </c>
      <c r="BS16" t="n">
        <v>307062014.775</v>
      </c>
      <c r="BT16" t="n">
        <v>395791832.837</v>
      </c>
    </row>
    <row r="17">
      <c r="A17" s="11" t="inlineStr">
        <is>
          <t>new_TE_noEEfix</t>
        </is>
      </c>
      <c r="B17" s="9" t="inlineStr">
        <is>
          <t>DIVERGED - negative SPPR in a source-model group</t>
        </is>
      </c>
      <c r="C17" t="n">
        <v>257138323.892</v>
      </c>
      <c r="D17" t="n">
        <v>301546464.154</v>
      </c>
      <c r="E17" t="n">
        <v>282944688.555</v>
      </c>
      <c r="F17" t="n">
        <v>308198823.761</v>
      </c>
      <c r="G17" t="n">
        <v>316861647.374</v>
      </c>
      <c r="H17" t="n">
        <v>300486110.585</v>
      </c>
      <c r="I17" t="n">
        <v>311496913.68</v>
      </c>
      <c r="J17" t="n">
        <v>349581320.327</v>
      </c>
      <c r="K17" t="n">
        <v>342466945.95</v>
      </c>
      <c r="L17" t="n">
        <v>368462652.345</v>
      </c>
      <c r="M17" t="n">
        <v>319690822.87</v>
      </c>
      <c r="N17" t="n">
        <v>346339732.083</v>
      </c>
      <c r="O17" t="n">
        <v>323164536.009</v>
      </c>
      <c r="P17" t="n">
        <v>390160958.923</v>
      </c>
      <c r="Q17" t="n">
        <v>428717206.674</v>
      </c>
      <c r="R17" t="n">
        <v>487313937.224</v>
      </c>
      <c r="S17" t="n">
        <v>598383166.801</v>
      </c>
      <c r="T17" t="n">
        <v>649321126.742</v>
      </c>
      <c r="U17" t="n">
        <v>689282497.262</v>
      </c>
      <c r="V17" t="n">
        <v>739489935.405</v>
      </c>
      <c r="W17" t="n">
        <v>711218303.951</v>
      </c>
      <c r="X17" t="n">
        <v>630961171.625</v>
      </c>
      <c r="Y17" t="n">
        <v>634932012.3279999</v>
      </c>
      <c r="Z17" t="n">
        <v>635037683.415</v>
      </c>
      <c r="AA17" t="n">
        <v>700886965.8049999</v>
      </c>
      <c r="AB17" t="n">
        <v>646922130.339</v>
      </c>
      <c r="AC17" t="n">
        <v>671078973.041</v>
      </c>
      <c r="AD17" t="n">
        <v>574561322.242</v>
      </c>
      <c r="AE17" t="n">
        <v>553531317.9119999</v>
      </c>
      <c r="AF17" t="n">
        <v>501411787.434</v>
      </c>
      <c r="AG17" t="n">
        <v>500262508.021</v>
      </c>
      <c r="AH17" t="n">
        <v>510335518.676</v>
      </c>
      <c r="AI17" t="n">
        <v>528959779.769</v>
      </c>
      <c r="AJ17" t="n">
        <v>523018240.769</v>
      </c>
      <c r="AK17" t="n">
        <v>536200136.264</v>
      </c>
      <c r="AL17" t="n">
        <v>527683170.685</v>
      </c>
      <c r="AM17" t="n">
        <v>524952761.146</v>
      </c>
      <c r="AN17" t="n">
        <v>518147812.678</v>
      </c>
      <c r="AO17" t="n">
        <v>546008790.464</v>
      </c>
      <c r="AP17" t="n">
        <v>530871612.359</v>
      </c>
      <c r="AQ17" t="n">
        <v>465123116.744</v>
      </c>
      <c r="AR17" t="n">
        <v>513959014.079</v>
      </c>
      <c r="AS17" t="n">
        <v>530735333.457</v>
      </c>
      <c r="AT17" t="n">
        <v>496987938.94</v>
      </c>
      <c r="AU17" t="n">
        <v>504648863.776</v>
      </c>
      <c r="AV17" t="n">
        <v>516379263.985</v>
      </c>
      <c r="AW17" t="n">
        <v>413275117.883</v>
      </c>
      <c r="AX17" t="n">
        <v>450655762.99</v>
      </c>
      <c r="AY17" t="n">
        <v>408058203.974</v>
      </c>
      <c r="AZ17" t="n">
        <v>401994807.853</v>
      </c>
      <c r="BA17" t="n">
        <v>403262367.636</v>
      </c>
      <c r="BB17" t="n">
        <v>398767995.625</v>
      </c>
      <c r="BC17" t="n">
        <v>422606048.383</v>
      </c>
      <c r="BD17" t="n">
        <v>339691088.438</v>
      </c>
      <c r="BE17" t="n">
        <v>333064219.936</v>
      </c>
      <c r="BF17" t="n">
        <v>280154688.216</v>
      </c>
      <c r="BG17" t="n">
        <v>288345520.471</v>
      </c>
      <c r="BH17" t="n">
        <v>252100621.472</v>
      </c>
      <c r="BI17" t="n">
        <v>256274629.922</v>
      </c>
      <c r="BJ17" t="n">
        <v>278115462.906</v>
      </c>
      <c r="BK17" t="n">
        <v>258347719.435</v>
      </c>
      <c r="BL17" t="n">
        <v>272155453.553</v>
      </c>
      <c r="BM17" t="n">
        <v>203374615.557</v>
      </c>
      <c r="BN17" t="n">
        <v>259017006.958</v>
      </c>
      <c r="BO17" t="n">
        <v>285903773.209</v>
      </c>
      <c r="BP17" t="n">
        <v>281836916.927</v>
      </c>
      <c r="BQ17" t="n">
        <v>247765109.678</v>
      </c>
      <c r="BR17" t="n">
        <v>321067785.721</v>
      </c>
      <c r="BS17" t="n">
        <v>307062014.775</v>
      </c>
      <c r="BT17" t="n">
        <v>395791832.837</v>
      </c>
    </row>
    <row r="18">
      <c r="A18" s="11" t="inlineStr">
        <is>
          <t>new_TE_EEfix</t>
        </is>
      </c>
      <c r="B18" s="9" t="inlineStr">
        <is>
          <t>FAILED diagnostic for this SPPR_new configuration</t>
        </is>
      </c>
      <c r="C18" t="n">
        <v>257138323.892</v>
      </c>
      <c r="D18" t="n">
        <v>301546464.154</v>
      </c>
      <c r="E18" t="n">
        <v>282944688.555</v>
      </c>
      <c r="F18" t="n">
        <v>308198823.761</v>
      </c>
      <c r="G18" t="n">
        <v>316861647.374</v>
      </c>
      <c r="H18" t="n">
        <v>300486110.585</v>
      </c>
      <c r="I18" t="n">
        <v>311496913.68</v>
      </c>
      <c r="J18" t="n">
        <v>349581320.327</v>
      </c>
      <c r="K18" t="n">
        <v>342466945.95</v>
      </c>
      <c r="L18" t="n">
        <v>368462652.345</v>
      </c>
      <c r="M18" t="n">
        <v>319690822.87</v>
      </c>
      <c r="N18" t="n">
        <v>346339732.083</v>
      </c>
      <c r="O18" t="n">
        <v>323164536.009</v>
      </c>
      <c r="P18" t="n">
        <v>390160958.923</v>
      </c>
      <c r="Q18" t="n">
        <v>428717206.674</v>
      </c>
      <c r="R18" t="n">
        <v>487313937.224</v>
      </c>
      <c r="S18" t="n">
        <v>598383166.801</v>
      </c>
      <c r="T18" t="n">
        <v>649321126.742</v>
      </c>
      <c r="U18" t="n">
        <v>689282497.262</v>
      </c>
      <c r="V18" t="n">
        <v>739489935.405</v>
      </c>
      <c r="W18" t="n">
        <v>711218303.951</v>
      </c>
      <c r="X18" t="n">
        <v>630961171.625</v>
      </c>
      <c r="Y18" t="n">
        <v>634932012.3279999</v>
      </c>
      <c r="Z18" t="n">
        <v>635037683.415</v>
      </c>
      <c r="AA18" t="n">
        <v>700886965.8049999</v>
      </c>
      <c r="AB18" t="n">
        <v>646922130.339</v>
      </c>
      <c r="AC18" t="n">
        <v>671078973.041</v>
      </c>
      <c r="AD18" t="n">
        <v>574561322.242</v>
      </c>
      <c r="AE18" t="n">
        <v>553531317.9119999</v>
      </c>
      <c r="AF18" t="n">
        <v>501411787.434</v>
      </c>
      <c r="AG18" t="n">
        <v>500262508.021</v>
      </c>
      <c r="AH18" t="n">
        <v>510335518.676</v>
      </c>
      <c r="AI18" t="n">
        <v>528959779.769</v>
      </c>
      <c r="AJ18" t="n">
        <v>523018240.769</v>
      </c>
      <c r="AK18" t="n">
        <v>536200136.264</v>
      </c>
      <c r="AL18" t="n">
        <v>527683170.685</v>
      </c>
      <c r="AM18" t="n">
        <v>524952761.146</v>
      </c>
      <c r="AN18" t="n">
        <v>518147812.678</v>
      </c>
      <c r="AO18" t="n">
        <v>546008790.464</v>
      </c>
      <c r="AP18" t="n">
        <v>530871612.359</v>
      </c>
      <c r="AQ18" t="n">
        <v>465123116.744</v>
      </c>
      <c r="AR18" t="n">
        <v>513959014.079</v>
      </c>
      <c r="AS18" t="n">
        <v>530735333.457</v>
      </c>
      <c r="AT18" t="n">
        <v>496987938.94</v>
      </c>
      <c r="AU18" t="n">
        <v>504648863.776</v>
      </c>
      <c r="AV18" t="n">
        <v>516379263.985</v>
      </c>
      <c r="AW18" t="n">
        <v>413275117.883</v>
      </c>
      <c r="AX18" t="n">
        <v>450655762.99</v>
      </c>
      <c r="AY18" t="n">
        <v>408058203.974</v>
      </c>
      <c r="AZ18" t="n">
        <v>401994807.853</v>
      </c>
      <c r="BA18" t="n">
        <v>403262367.636</v>
      </c>
      <c r="BB18" t="n">
        <v>398767995.625</v>
      </c>
      <c r="BC18" t="n">
        <v>422606048.383</v>
      </c>
      <c r="BD18" t="n">
        <v>339691088.438</v>
      </c>
      <c r="BE18" t="n">
        <v>333064219.936</v>
      </c>
      <c r="BF18" t="n">
        <v>280154688.216</v>
      </c>
      <c r="BG18" t="n">
        <v>288345520.471</v>
      </c>
      <c r="BH18" t="n">
        <v>252100621.472</v>
      </c>
      <c r="BI18" t="n">
        <v>256274629.922</v>
      </c>
      <c r="BJ18" t="n">
        <v>278115462.906</v>
      </c>
      <c r="BK18" t="n">
        <v>258347719.435</v>
      </c>
      <c r="BL18" t="n">
        <v>272155453.553</v>
      </c>
      <c r="BM18" t="n">
        <v>203374615.557</v>
      </c>
      <c r="BN18" t="n">
        <v>259017006.958</v>
      </c>
      <c r="BO18" t="n">
        <v>285903773.209</v>
      </c>
      <c r="BP18" t="n">
        <v>281836916.927</v>
      </c>
      <c r="BQ18" t="n">
        <v>247765109.678</v>
      </c>
      <c r="BR18" t="n">
        <v>321067785.721</v>
      </c>
      <c r="BS18" t="n">
        <v>307062014.775</v>
      </c>
      <c r="BT18" t="n">
        <v>395791832.837</v>
      </c>
    </row>
    <row r="19">
      <c r="A19" t="inlineStr">
        <is>
          <t>new_GE</t>
        </is>
      </c>
      <c r="B19" t="inlineStr">
        <is>
          <t>ok</t>
        </is>
      </c>
      <c r="C19" t="n">
        <v>151566552.234</v>
      </c>
      <c r="D19" t="n">
        <v>176691400.442</v>
      </c>
      <c r="E19" t="n">
        <v>166519193.914</v>
      </c>
      <c r="F19" t="n">
        <v>184053945.355</v>
      </c>
      <c r="G19" t="n">
        <v>187351099.706</v>
      </c>
      <c r="H19" t="n">
        <v>175670669.592</v>
      </c>
      <c r="I19" t="n">
        <v>183477786.336</v>
      </c>
      <c r="J19" t="n">
        <v>208751256.727</v>
      </c>
      <c r="K19" t="n">
        <v>202068252.804</v>
      </c>
      <c r="L19" t="n">
        <v>220207654.402</v>
      </c>
      <c r="M19" t="n">
        <v>187534275.206</v>
      </c>
      <c r="N19" t="n">
        <v>202120494.646</v>
      </c>
      <c r="O19" t="n">
        <v>193785901.04</v>
      </c>
      <c r="P19" t="n">
        <v>234186191.374</v>
      </c>
      <c r="Q19" t="n">
        <v>265212259.925</v>
      </c>
      <c r="R19" t="n">
        <v>298347801.307</v>
      </c>
      <c r="S19" t="n">
        <v>372909177.693</v>
      </c>
      <c r="T19" t="n">
        <v>403616134.149</v>
      </c>
      <c r="U19" t="n">
        <v>427161440.989</v>
      </c>
      <c r="V19" t="n">
        <v>461753565.754</v>
      </c>
      <c r="W19" t="n">
        <v>449606768.061</v>
      </c>
      <c r="X19" t="n">
        <v>392153269.133</v>
      </c>
      <c r="Y19" t="n">
        <v>388592764.093</v>
      </c>
      <c r="Z19" t="n">
        <v>394247099.733</v>
      </c>
      <c r="AA19" t="n">
        <v>437411318.194</v>
      </c>
      <c r="AB19" t="n">
        <v>402561456.237</v>
      </c>
      <c r="AC19" t="n">
        <v>422884844.256</v>
      </c>
      <c r="AD19" t="n">
        <v>362133994.223</v>
      </c>
      <c r="AE19" t="n">
        <v>346520310.309</v>
      </c>
      <c r="AF19" t="n">
        <v>313467962.048</v>
      </c>
      <c r="AG19" t="n">
        <v>316761860.322</v>
      </c>
      <c r="AH19" t="n">
        <v>322554433.862</v>
      </c>
      <c r="AI19" t="n">
        <v>338660830.638</v>
      </c>
      <c r="AJ19" t="n">
        <v>333227325.131</v>
      </c>
      <c r="AK19" t="n">
        <v>342499595.997</v>
      </c>
      <c r="AL19" t="n">
        <v>339027514.752</v>
      </c>
      <c r="AM19" t="n">
        <v>341202705.342</v>
      </c>
      <c r="AN19" t="n">
        <v>333361461.854</v>
      </c>
      <c r="AO19" t="n">
        <v>353887979.581</v>
      </c>
      <c r="AP19" t="n">
        <v>346607349.131</v>
      </c>
      <c r="AQ19" t="n">
        <v>299887654.983</v>
      </c>
      <c r="AR19" t="n">
        <v>334486789.456</v>
      </c>
      <c r="AS19" t="n">
        <v>346394761.864</v>
      </c>
      <c r="AT19" t="n">
        <v>324148873.005</v>
      </c>
      <c r="AU19" t="n">
        <v>332065344.173</v>
      </c>
      <c r="AV19" t="n">
        <v>338178774.506</v>
      </c>
      <c r="AW19" t="n">
        <v>268809954.932</v>
      </c>
      <c r="AX19" t="n">
        <v>295597641.822</v>
      </c>
      <c r="AY19" t="n">
        <v>267601797.751</v>
      </c>
      <c r="AZ19" t="n">
        <v>264354425.185</v>
      </c>
      <c r="BA19" t="n">
        <v>265625746.872</v>
      </c>
      <c r="BB19" t="n">
        <v>262537344.405</v>
      </c>
      <c r="BC19" t="n">
        <v>278661994.955</v>
      </c>
      <c r="BD19" t="n">
        <v>223124304.665</v>
      </c>
      <c r="BE19" t="n">
        <v>219512610.593</v>
      </c>
      <c r="BF19" t="n">
        <v>184672877.703</v>
      </c>
      <c r="BG19" t="n">
        <v>190101860.909</v>
      </c>
      <c r="BH19" t="n">
        <v>165756074.643</v>
      </c>
      <c r="BI19" t="n">
        <v>168123464.41</v>
      </c>
      <c r="BJ19" t="n">
        <v>183184634.922</v>
      </c>
      <c r="BK19" t="n">
        <v>171348108.151</v>
      </c>
      <c r="BL19" t="n">
        <v>180050586.281</v>
      </c>
      <c r="BM19" t="n">
        <v>133413724.409</v>
      </c>
      <c r="BN19" t="n">
        <v>171578865.519</v>
      </c>
      <c r="BO19" t="n">
        <v>188810130.569</v>
      </c>
      <c r="BP19" t="n">
        <v>186530306.323</v>
      </c>
      <c r="BQ19" t="n">
        <v>163055495.519</v>
      </c>
      <c r="BR19" t="n">
        <v>212723339.162</v>
      </c>
      <c r="BS19" t="n">
        <v>201855536.341</v>
      </c>
      <c r="BT19" t="n">
        <v>257586341.922</v>
      </c>
    </row>
    <row r="20">
      <c r="A20" t="inlineStr">
        <is>
          <t>new_WithEgestion</t>
        </is>
      </c>
      <c r="B20" t="inlineStr">
        <is>
          <t>ok</t>
        </is>
      </c>
      <c r="C20" t="n">
        <v>62441553.301</v>
      </c>
      <c r="D20" t="n">
        <v>72479182.626</v>
      </c>
      <c r="E20" t="n">
        <v>68147216.98899999</v>
      </c>
      <c r="F20" t="n">
        <v>76081333.263</v>
      </c>
      <c r="G20" t="n">
        <v>76562770.265</v>
      </c>
      <c r="H20" t="n">
        <v>71851264.977</v>
      </c>
      <c r="I20" t="n">
        <v>75337872.484</v>
      </c>
      <c r="J20" t="n">
        <v>85258566.714</v>
      </c>
      <c r="K20" t="n">
        <v>82405119.455</v>
      </c>
      <c r="L20" t="n">
        <v>90032926.37</v>
      </c>
      <c r="M20" t="n">
        <v>76980826.69400001</v>
      </c>
      <c r="N20" t="n">
        <v>82141457.213</v>
      </c>
      <c r="O20" t="n">
        <v>79956965.31200001</v>
      </c>
      <c r="P20" t="n">
        <v>96431435.20200001</v>
      </c>
      <c r="Q20" t="n">
        <v>109430906.018</v>
      </c>
      <c r="R20" t="n">
        <v>122039949.944</v>
      </c>
      <c r="S20" t="n">
        <v>151337909.874</v>
      </c>
      <c r="T20" t="n">
        <v>163475616.323</v>
      </c>
      <c r="U20" t="n">
        <v>172925208.444</v>
      </c>
      <c r="V20" t="n">
        <v>187716639.414</v>
      </c>
      <c r="W20" t="n">
        <v>183750719.36</v>
      </c>
      <c r="X20" t="n">
        <v>158950323.302</v>
      </c>
      <c r="Y20" t="n">
        <v>156532907.219</v>
      </c>
      <c r="Z20" t="n">
        <v>159842549.324</v>
      </c>
      <c r="AA20" t="n">
        <v>176703027.714</v>
      </c>
      <c r="AB20" t="n">
        <v>163422046.518</v>
      </c>
      <c r="AC20" t="n">
        <v>171414747.87</v>
      </c>
      <c r="AD20" t="n">
        <v>147678905.718</v>
      </c>
      <c r="AE20" t="n">
        <v>140409340.891</v>
      </c>
      <c r="AF20" t="n">
        <v>127110635.129</v>
      </c>
      <c r="AG20" t="n">
        <v>129636639.678</v>
      </c>
      <c r="AH20" t="n">
        <v>131536935.447</v>
      </c>
      <c r="AI20" t="n">
        <v>138788455.358</v>
      </c>
      <c r="AJ20" t="n">
        <v>136381963.095</v>
      </c>
      <c r="AK20" t="n">
        <v>139988764.745</v>
      </c>
      <c r="AL20" t="n">
        <v>139166606.768</v>
      </c>
      <c r="AM20" t="n">
        <v>141039777.513</v>
      </c>
      <c r="AN20" t="n">
        <v>136531337.453</v>
      </c>
      <c r="AO20" t="n">
        <v>145614112.736</v>
      </c>
      <c r="AP20" t="n">
        <v>143569592.145</v>
      </c>
      <c r="AQ20" t="n">
        <v>123487551.898</v>
      </c>
      <c r="AR20" t="n">
        <v>138001231.01</v>
      </c>
      <c r="AS20" t="n">
        <v>143184192.723</v>
      </c>
      <c r="AT20" t="n">
        <v>133024352.895</v>
      </c>
      <c r="AU20" t="n">
        <v>137138036.475</v>
      </c>
      <c r="AV20" t="n">
        <v>140024324.458</v>
      </c>
      <c r="AW20" t="n">
        <v>110227485.812</v>
      </c>
      <c r="AX20" t="n">
        <v>121808288.582</v>
      </c>
      <c r="AY20" t="n">
        <v>110516742.371</v>
      </c>
      <c r="AZ20" t="n">
        <v>109014045.734</v>
      </c>
      <c r="BA20" t="n">
        <v>109783579.231</v>
      </c>
      <c r="BB20" t="n">
        <v>108647731.877</v>
      </c>
      <c r="BC20" t="n">
        <v>115019413.449</v>
      </c>
      <c r="BD20" t="n">
        <v>91804575.35699999</v>
      </c>
      <c r="BE20" t="n">
        <v>90646114.384</v>
      </c>
      <c r="BF20" t="n">
        <v>76239885.904</v>
      </c>
      <c r="BG20" t="n">
        <v>78346248.616</v>
      </c>
      <c r="BH20" t="n">
        <v>67975167.09</v>
      </c>
      <c r="BI20" t="n">
        <v>68737232.92900001</v>
      </c>
      <c r="BJ20" t="n">
        <v>75135736.373</v>
      </c>
      <c r="BK20" t="n">
        <v>70852506.182</v>
      </c>
      <c r="BL20" t="n">
        <v>74101564.476</v>
      </c>
      <c r="BM20" t="n">
        <v>54925585.518</v>
      </c>
      <c r="BN20" t="n">
        <v>71022601.067</v>
      </c>
      <c r="BO20" t="n">
        <v>77513216.594</v>
      </c>
      <c r="BP20" t="n">
        <v>76671816.236</v>
      </c>
      <c r="BQ20" t="n">
        <v>66666559.45</v>
      </c>
      <c r="BR20" t="n">
        <v>87053250.91</v>
      </c>
      <c r="BS20" t="n">
        <v>82553820.78</v>
      </c>
      <c r="BT20" t="n">
        <v>104009178.907</v>
      </c>
    </row>
    <row r="21">
      <c r="A21" s="11" t="inlineStr">
        <is>
          <t>sym_TE_asPP</t>
        </is>
      </c>
      <c r="B21" s="9" t="inlineStr">
        <is>
          <t>DIVERGED - negative SPPR in a source-model group</t>
        </is>
      </c>
      <c r="C21" t="n">
        <v>257138323.892</v>
      </c>
      <c r="D21" t="n">
        <v>301546464.154</v>
      </c>
      <c r="E21" t="n">
        <v>282944688.555</v>
      </c>
      <c r="F21" t="n">
        <v>308198823.761</v>
      </c>
      <c r="G21" t="n">
        <v>316861647.374</v>
      </c>
      <c r="H21" t="n">
        <v>300486110.585</v>
      </c>
      <c r="I21" t="n">
        <v>311496913.68</v>
      </c>
      <c r="J21" t="n">
        <v>349581320.327</v>
      </c>
      <c r="K21" t="n">
        <v>342466945.95</v>
      </c>
      <c r="L21" t="n">
        <v>368462652.345</v>
      </c>
      <c r="M21" t="n">
        <v>319690822.87</v>
      </c>
      <c r="N21" t="n">
        <v>346339732.083</v>
      </c>
      <c r="O21" t="n">
        <v>323164536.009</v>
      </c>
      <c r="P21" t="n">
        <v>390160958.923</v>
      </c>
      <c r="Q21" t="n">
        <v>428717206.674</v>
      </c>
      <c r="R21" t="n">
        <v>487313937.224</v>
      </c>
      <c r="S21" t="n">
        <v>598383166.801</v>
      </c>
      <c r="T21" t="n">
        <v>649321126.742</v>
      </c>
      <c r="U21" t="n">
        <v>689282497.262</v>
      </c>
      <c r="V21" t="n">
        <v>739489935.405</v>
      </c>
      <c r="W21" t="n">
        <v>711218303.951</v>
      </c>
      <c r="X21" t="n">
        <v>630961171.625</v>
      </c>
      <c r="Y21" t="n">
        <v>634932012.3279999</v>
      </c>
      <c r="Z21" t="n">
        <v>635037683.415</v>
      </c>
      <c r="AA21" t="n">
        <v>700886965.8049999</v>
      </c>
      <c r="AB21" t="n">
        <v>646922130.339</v>
      </c>
      <c r="AC21" t="n">
        <v>671078973.041</v>
      </c>
      <c r="AD21" t="n">
        <v>574561322.242</v>
      </c>
      <c r="AE21" t="n">
        <v>553531317.9119999</v>
      </c>
      <c r="AF21" t="n">
        <v>501411787.434</v>
      </c>
      <c r="AG21" t="n">
        <v>500262508.021</v>
      </c>
      <c r="AH21" t="n">
        <v>510335518.676</v>
      </c>
      <c r="AI21" t="n">
        <v>528959779.769</v>
      </c>
      <c r="AJ21" t="n">
        <v>523018240.769</v>
      </c>
      <c r="AK21" t="n">
        <v>536200136.264</v>
      </c>
      <c r="AL21" t="n">
        <v>527683170.685</v>
      </c>
      <c r="AM21" t="n">
        <v>524952761.146</v>
      </c>
      <c r="AN21" t="n">
        <v>518147812.678</v>
      </c>
      <c r="AO21" t="n">
        <v>546008790.464</v>
      </c>
      <c r="AP21" t="n">
        <v>530871612.359</v>
      </c>
      <c r="AQ21" t="n">
        <v>465123116.744</v>
      </c>
      <c r="AR21" t="n">
        <v>513959014.079</v>
      </c>
      <c r="AS21" t="n">
        <v>530735333.457</v>
      </c>
      <c r="AT21" t="n">
        <v>496987938.94</v>
      </c>
      <c r="AU21" t="n">
        <v>504648863.776</v>
      </c>
      <c r="AV21" t="n">
        <v>516379263.985</v>
      </c>
      <c r="AW21" t="n">
        <v>413275117.883</v>
      </c>
      <c r="AX21" t="n">
        <v>450655762.99</v>
      </c>
      <c r="AY21" t="n">
        <v>408058203.974</v>
      </c>
      <c r="AZ21" t="n">
        <v>401994807.853</v>
      </c>
      <c r="BA21" t="n">
        <v>403262367.636</v>
      </c>
      <c r="BB21" t="n">
        <v>398767995.625</v>
      </c>
      <c r="BC21" t="n">
        <v>422606048.383</v>
      </c>
      <c r="BD21" t="n">
        <v>339691088.438</v>
      </c>
      <c r="BE21" t="n">
        <v>333064219.936</v>
      </c>
      <c r="BF21" t="n">
        <v>280154688.216</v>
      </c>
      <c r="BG21" t="n">
        <v>288345520.471</v>
      </c>
      <c r="BH21" t="n">
        <v>252100621.472</v>
      </c>
      <c r="BI21" t="n">
        <v>256274629.922</v>
      </c>
      <c r="BJ21" t="n">
        <v>278115462.906</v>
      </c>
      <c r="BK21" t="n">
        <v>258347719.435</v>
      </c>
      <c r="BL21" t="n">
        <v>272155453.553</v>
      </c>
      <c r="BM21" t="n">
        <v>203374615.557</v>
      </c>
      <c r="BN21" t="n">
        <v>259017006.958</v>
      </c>
      <c r="BO21" t="n">
        <v>285903773.209</v>
      </c>
      <c r="BP21" t="n">
        <v>281836916.927</v>
      </c>
      <c r="BQ21" t="n">
        <v>247765109.678</v>
      </c>
      <c r="BR21" t="n">
        <v>321067785.721</v>
      </c>
      <c r="BS21" t="n">
        <v>307062014.775</v>
      </c>
      <c r="BT21" t="n">
        <v>395791832.837</v>
      </c>
    </row>
    <row r="22">
      <c r="A22" s="11" t="inlineStr">
        <is>
          <t>sym_TE_asDC</t>
        </is>
      </c>
      <c r="B22" s="9" t="inlineStr">
        <is>
          <t>DIVERGED - negative SPPR in a source-model group</t>
        </is>
      </c>
      <c r="C22" t="n">
        <v>257138323.892</v>
      </c>
      <c r="D22" t="n">
        <v>301546464.154</v>
      </c>
      <c r="E22" t="n">
        <v>282944688.555</v>
      </c>
      <c r="F22" t="n">
        <v>308198823.761</v>
      </c>
      <c r="G22" t="n">
        <v>316861647.374</v>
      </c>
      <c r="H22" t="n">
        <v>300486110.585</v>
      </c>
      <c r="I22" t="n">
        <v>311496913.68</v>
      </c>
      <c r="J22" t="n">
        <v>349581320.327</v>
      </c>
      <c r="K22" t="n">
        <v>342466945.95</v>
      </c>
      <c r="L22" t="n">
        <v>368462652.345</v>
      </c>
      <c r="M22" t="n">
        <v>319690822.87</v>
      </c>
      <c r="N22" t="n">
        <v>346339732.083</v>
      </c>
      <c r="O22" t="n">
        <v>323164536.009</v>
      </c>
      <c r="P22" t="n">
        <v>390160958.923</v>
      </c>
      <c r="Q22" t="n">
        <v>428717206.674</v>
      </c>
      <c r="R22" t="n">
        <v>487313937.224</v>
      </c>
      <c r="S22" t="n">
        <v>598383166.801</v>
      </c>
      <c r="T22" t="n">
        <v>649321126.742</v>
      </c>
      <c r="U22" t="n">
        <v>689282497.262</v>
      </c>
      <c r="V22" t="n">
        <v>739489935.405</v>
      </c>
      <c r="W22" t="n">
        <v>711218303.951</v>
      </c>
      <c r="X22" t="n">
        <v>630961171.625</v>
      </c>
      <c r="Y22" t="n">
        <v>634932012.3279999</v>
      </c>
      <c r="Z22" t="n">
        <v>635037683.415</v>
      </c>
      <c r="AA22" t="n">
        <v>700886965.8049999</v>
      </c>
      <c r="AB22" t="n">
        <v>646922130.339</v>
      </c>
      <c r="AC22" t="n">
        <v>671078973.041</v>
      </c>
      <c r="AD22" t="n">
        <v>574561322.242</v>
      </c>
      <c r="AE22" t="n">
        <v>553531317.9119999</v>
      </c>
      <c r="AF22" t="n">
        <v>501411787.434</v>
      </c>
      <c r="AG22" t="n">
        <v>500262508.021</v>
      </c>
      <c r="AH22" t="n">
        <v>510335518.676</v>
      </c>
      <c r="AI22" t="n">
        <v>528959779.769</v>
      </c>
      <c r="AJ22" t="n">
        <v>523018240.769</v>
      </c>
      <c r="AK22" t="n">
        <v>536200136.264</v>
      </c>
      <c r="AL22" t="n">
        <v>527683170.685</v>
      </c>
      <c r="AM22" t="n">
        <v>524952761.146</v>
      </c>
      <c r="AN22" t="n">
        <v>518147812.678</v>
      </c>
      <c r="AO22" t="n">
        <v>546008790.464</v>
      </c>
      <c r="AP22" t="n">
        <v>530871612.359</v>
      </c>
      <c r="AQ22" t="n">
        <v>465123116.744</v>
      </c>
      <c r="AR22" t="n">
        <v>513959014.079</v>
      </c>
      <c r="AS22" t="n">
        <v>530735333.457</v>
      </c>
      <c r="AT22" t="n">
        <v>496987938.94</v>
      </c>
      <c r="AU22" t="n">
        <v>504648863.776</v>
      </c>
      <c r="AV22" t="n">
        <v>516379263.985</v>
      </c>
      <c r="AW22" t="n">
        <v>413275117.883</v>
      </c>
      <c r="AX22" t="n">
        <v>450655762.99</v>
      </c>
      <c r="AY22" t="n">
        <v>408058203.974</v>
      </c>
      <c r="AZ22" t="n">
        <v>401994807.853</v>
      </c>
      <c r="BA22" t="n">
        <v>403262367.636</v>
      </c>
      <c r="BB22" t="n">
        <v>398767995.625</v>
      </c>
      <c r="BC22" t="n">
        <v>422606048.383</v>
      </c>
      <c r="BD22" t="n">
        <v>339691088.438</v>
      </c>
      <c r="BE22" t="n">
        <v>333064219.936</v>
      </c>
      <c r="BF22" t="n">
        <v>280154688.216</v>
      </c>
      <c r="BG22" t="n">
        <v>288345520.471</v>
      </c>
      <c r="BH22" t="n">
        <v>252100621.472</v>
      </c>
      <c r="BI22" t="n">
        <v>256274629.922</v>
      </c>
      <c r="BJ22" t="n">
        <v>278115462.906</v>
      </c>
      <c r="BK22" t="n">
        <v>258347719.435</v>
      </c>
      <c r="BL22" t="n">
        <v>272155453.553</v>
      </c>
      <c r="BM22" t="n">
        <v>203374615.557</v>
      </c>
      <c r="BN22" t="n">
        <v>259017006.958</v>
      </c>
      <c r="BO22" t="n">
        <v>285903773.209</v>
      </c>
      <c r="BP22" t="n">
        <v>281836916.927</v>
      </c>
      <c r="BQ22" t="n">
        <v>247765109.678</v>
      </c>
      <c r="BR22" t="n">
        <v>321067785.721</v>
      </c>
      <c r="BS22" t="n">
        <v>307062014.775</v>
      </c>
      <c r="BT22" t="n">
        <v>395791832.837</v>
      </c>
    </row>
    <row r="23">
      <c r="A23" t="inlineStr">
        <is>
          <t>sym_GE_asPP</t>
        </is>
      </c>
      <c r="B23" t="inlineStr">
        <is>
          <t>ok</t>
        </is>
      </c>
      <c r="C23" t="n">
        <v>151566552.234</v>
      </c>
      <c r="D23" t="n">
        <v>176691400.442</v>
      </c>
      <c r="E23" t="n">
        <v>166519193.914</v>
      </c>
      <c r="F23" t="n">
        <v>184053945.355</v>
      </c>
      <c r="G23" t="n">
        <v>187351099.706</v>
      </c>
      <c r="H23" t="n">
        <v>175670669.592</v>
      </c>
      <c r="I23" t="n">
        <v>183477786.336</v>
      </c>
      <c r="J23" t="n">
        <v>208751256.727</v>
      </c>
      <c r="K23" t="n">
        <v>202068252.804</v>
      </c>
      <c r="L23" t="n">
        <v>220207654.402</v>
      </c>
      <c r="M23" t="n">
        <v>187534275.206</v>
      </c>
      <c r="N23" t="n">
        <v>202120494.646</v>
      </c>
      <c r="O23" t="n">
        <v>193785901.04</v>
      </c>
      <c r="P23" t="n">
        <v>234186191.374</v>
      </c>
      <c r="Q23" t="n">
        <v>265212259.925</v>
      </c>
      <c r="R23" t="n">
        <v>298347801.307</v>
      </c>
      <c r="S23" t="n">
        <v>372909177.693</v>
      </c>
      <c r="T23" t="n">
        <v>403616134.149</v>
      </c>
      <c r="U23" t="n">
        <v>427161440.989</v>
      </c>
      <c r="V23" t="n">
        <v>461753565.754</v>
      </c>
      <c r="W23" t="n">
        <v>449606768.061</v>
      </c>
      <c r="X23" t="n">
        <v>392153269.133</v>
      </c>
      <c r="Y23" t="n">
        <v>388592764.093</v>
      </c>
      <c r="Z23" t="n">
        <v>394247099.733</v>
      </c>
      <c r="AA23" t="n">
        <v>437411318.194</v>
      </c>
      <c r="AB23" t="n">
        <v>402561456.237</v>
      </c>
      <c r="AC23" t="n">
        <v>422884844.256</v>
      </c>
      <c r="AD23" t="n">
        <v>362133994.223</v>
      </c>
      <c r="AE23" t="n">
        <v>346520310.309</v>
      </c>
      <c r="AF23" t="n">
        <v>313467962.048</v>
      </c>
      <c r="AG23" t="n">
        <v>316761860.322</v>
      </c>
      <c r="AH23" t="n">
        <v>322554433.862</v>
      </c>
      <c r="AI23" t="n">
        <v>338660830.638</v>
      </c>
      <c r="AJ23" t="n">
        <v>333227325.131</v>
      </c>
      <c r="AK23" t="n">
        <v>342499595.997</v>
      </c>
      <c r="AL23" t="n">
        <v>339027514.752</v>
      </c>
      <c r="AM23" t="n">
        <v>341202705.342</v>
      </c>
      <c r="AN23" t="n">
        <v>333361461.854</v>
      </c>
      <c r="AO23" t="n">
        <v>353887979.581</v>
      </c>
      <c r="AP23" t="n">
        <v>346607349.131</v>
      </c>
      <c r="AQ23" t="n">
        <v>299887654.983</v>
      </c>
      <c r="AR23" t="n">
        <v>334486789.456</v>
      </c>
      <c r="AS23" t="n">
        <v>346394761.864</v>
      </c>
      <c r="AT23" t="n">
        <v>324148873.005</v>
      </c>
      <c r="AU23" t="n">
        <v>332065344.173</v>
      </c>
      <c r="AV23" t="n">
        <v>338178774.506</v>
      </c>
      <c r="AW23" t="n">
        <v>268809954.932</v>
      </c>
      <c r="AX23" t="n">
        <v>295597641.822</v>
      </c>
      <c r="AY23" t="n">
        <v>267601797.751</v>
      </c>
      <c r="AZ23" t="n">
        <v>264354425.185</v>
      </c>
      <c r="BA23" t="n">
        <v>265625746.872</v>
      </c>
      <c r="BB23" t="n">
        <v>262537344.405</v>
      </c>
      <c r="BC23" t="n">
        <v>278661994.955</v>
      </c>
      <c r="BD23" t="n">
        <v>223124304.665</v>
      </c>
      <c r="BE23" t="n">
        <v>219512610.593</v>
      </c>
      <c r="BF23" t="n">
        <v>184672877.703</v>
      </c>
      <c r="BG23" t="n">
        <v>190101860.909</v>
      </c>
      <c r="BH23" t="n">
        <v>165756074.643</v>
      </c>
      <c r="BI23" t="n">
        <v>168123464.41</v>
      </c>
      <c r="BJ23" t="n">
        <v>183184634.922</v>
      </c>
      <c r="BK23" t="n">
        <v>171348108.151</v>
      </c>
      <c r="BL23" t="n">
        <v>180050586.281</v>
      </c>
      <c r="BM23" t="n">
        <v>133413724.409</v>
      </c>
      <c r="BN23" t="n">
        <v>171578865.519</v>
      </c>
      <c r="BO23" t="n">
        <v>188810130.569</v>
      </c>
      <c r="BP23" t="n">
        <v>186530306.323</v>
      </c>
      <c r="BQ23" t="n">
        <v>163055495.519</v>
      </c>
      <c r="BR23" t="n">
        <v>212723339.162</v>
      </c>
      <c r="BS23" t="n">
        <v>201855536.341</v>
      </c>
      <c r="BT23" t="n">
        <v>257586341.922</v>
      </c>
    </row>
    <row r="24">
      <c r="A24" t="inlineStr">
        <is>
          <t>sym_GE_asDC</t>
        </is>
      </c>
      <c r="B24" t="inlineStr">
        <is>
          <t>ok</t>
        </is>
      </c>
      <c r="C24" t="n">
        <v>151566552.234</v>
      </c>
      <c r="D24" t="n">
        <v>176691400.442</v>
      </c>
      <c r="E24" t="n">
        <v>166519193.914</v>
      </c>
      <c r="F24" t="n">
        <v>184053945.355</v>
      </c>
      <c r="G24" t="n">
        <v>187351099.706</v>
      </c>
      <c r="H24" t="n">
        <v>175670669.592</v>
      </c>
      <c r="I24" t="n">
        <v>183477786.336</v>
      </c>
      <c r="J24" t="n">
        <v>208751256.727</v>
      </c>
      <c r="K24" t="n">
        <v>202068252.804</v>
      </c>
      <c r="L24" t="n">
        <v>220207654.402</v>
      </c>
      <c r="M24" t="n">
        <v>187534275.206</v>
      </c>
      <c r="N24" t="n">
        <v>202120494.646</v>
      </c>
      <c r="O24" t="n">
        <v>193785901.04</v>
      </c>
      <c r="P24" t="n">
        <v>234186191.374</v>
      </c>
      <c r="Q24" t="n">
        <v>265212259.925</v>
      </c>
      <c r="R24" t="n">
        <v>298347801.307</v>
      </c>
      <c r="S24" t="n">
        <v>372909177.693</v>
      </c>
      <c r="T24" t="n">
        <v>403616134.149</v>
      </c>
      <c r="U24" t="n">
        <v>427161440.989</v>
      </c>
      <c r="V24" t="n">
        <v>461753565.754</v>
      </c>
      <c r="W24" t="n">
        <v>449606768.061</v>
      </c>
      <c r="X24" t="n">
        <v>392153269.133</v>
      </c>
      <c r="Y24" t="n">
        <v>388592764.093</v>
      </c>
      <c r="Z24" t="n">
        <v>394247099.733</v>
      </c>
      <c r="AA24" t="n">
        <v>437411318.194</v>
      </c>
      <c r="AB24" t="n">
        <v>402561456.237</v>
      </c>
      <c r="AC24" t="n">
        <v>422884844.256</v>
      </c>
      <c r="AD24" t="n">
        <v>362133994.223</v>
      </c>
      <c r="AE24" t="n">
        <v>346520310.309</v>
      </c>
      <c r="AF24" t="n">
        <v>313467962.048</v>
      </c>
      <c r="AG24" t="n">
        <v>316761860.322</v>
      </c>
      <c r="AH24" t="n">
        <v>322554433.862</v>
      </c>
      <c r="AI24" t="n">
        <v>338660830.638</v>
      </c>
      <c r="AJ24" t="n">
        <v>333227325.131</v>
      </c>
      <c r="AK24" t="n">
        <v>342499595.997</v>
      </c>
      <c r="AL24" t="n">
        <v>339027514.752</v>
      </c>
      <c r="AM24" t="n">
        <v>341202705.342</v>
      </c>
      <c r="AN24" t="n">
        <v>333361461.854</v>
      </c>
      <c r="AO24" t="n">
        <v>353887979.581</v>
      </c>
      <c r="AP24" t="n">
        <v>346607349.131</v>
      </c>
      <c r="AQ24" t="n">
        <v>299887654.983</v>
      </c>
      <c r="AR24" t="n">
        <v>334486789.456</v>
      </c>
      <c r="AS24" t="n">
        <v>346394761.864</v>
      </c>
      <c r="AT24" t="n">
        <v>324148873.005</v>
      </c>
      <c r="AU24" t="n">
        <v>332065344.173</v>
      </c>
      <c r="AV24" t="n">
        <v>338178774.506</v>
      </c>
      <c r="AW24" t="n">
        <v>268809954.932</v>
      </c>
      <c r="AX24" t="n">
        <v>295597641.822</v>
      </c>
      <c r="AY24" t="n">
        <v>267601797.751</v>
      </c>
      <c r="AZ24" t="n">
        <v>264354425.185</v>
      </c>
      <c r="BA24" t="n">
        <v>265625746.872</v>
      </c>
      <c r="BB24" t="n">
        <v>262537344.405</v>
      </c>
      <c r="BC24" t="n">
        <v>278661994.955</v>
      </c>
      <c r="BD24" t="n">
        <v>223124304.665</v>
      </c>
      <c r="BE24" t="n">
        <v>219512610.593</v>
      </c>
      <c r="BF24" t="n">
        <v>184672877.703</v>
      </c>
      <c r="BG24" t="n">
        <v>190101860.909</v>
      </c>
      <c r="BH24" t="n">
        <v>165756074.643</v>
      </c>
      <c r="BI24" t="n">
        <v>168123464.41</v>
      </c>
      <c r="BJ24" t="n">
        <v>183184634.922</v>
      </c>
      <c r="BK24" t="n">
        <v>171348108.151</v>
      </c>
      <c r="BL24" t="n">
        <v>180050586.281</v>
      </c>
      <c r="BM24" t="n">
        <v>133413724.409</v>
      </c>
      <c r="BN24" t="n">
        <v>171578865.519</v>
      </c>
      <c r="BO24" t="n">
        <v>188810130.569</v>
      </c>
      <c r="BP24" t="n">
        <v>186530306.323</v>
      </c>
      <c r="BQ24" t="n">
        <v>163055495.519</v>
      </c>
      <c r="BR24" t="n">
        <v>212723339.162</v>
      </c>
      <c r="BS24" t="n">
        <v>201855536.341</v>
      </c>
      <c r="BT24" t="n">
        <v>257586341.922</v>
      </c>
    </row>
    <row r="25">
      <c r="A25" t="inlineStr">
        <is>
          <t>sym_WithEgestion_asPP</t>
        </is>
      </c>
      <c r="B25" t="inlineStr">
        <is>
          <t>ok</t>
        </is>
      </c>
      <c r="C25" t="n">
        <v>62441553.301</v>
      </c>
      <c r="D25" t="n">
        <v>72479182.626</v>
      </c>
      <c r="E25" t="n">
        <v>68147216.98899999</v>
      </c>
      <c r="F25" t="n">
        <v>76081333.263</v>
      </c>
      <c r="G25" t="n">
        <v>76562770.265</v>
      </c>
      <c r="H25" t="n">
        <v>71851264.977</v>
      </c>
      <c r="I25" t="n">
        <v>75337872.484</v>
      </c>
      <c r="J25" t="n">
        <v>85258566.714</v>
      </c>
      <c r="K25" t="n">
        <v>82405119.455</v>
      </c>
      <c r="L25" t="n">
        <v>90032926.37</v>
      </c>
      <c r="M25" t="n">
        <v>76980826.69400001</v>
      </c>
      <c r="N25" t="n">
        <v>82141457.213</v>
      </c>
      <c r="O25" t="n">
        <v>79956965.31200001</v>
      </c>
      <c r="P25" t="n">
        <v>96431435.20200001</v>
      </c>
      <c r="Q25" t="n">
        <v>109430906.018</v>
      </c>
      <c r="R25" t="n">
        <v>122039949.944</v>
      </c>
      <c r="S25" t="n">
        <v>151337909.874</v>
      </c>
      <c r="T25" t="n">
        <v>163475616.323</v>
      </c>
      <c r="U25" t="n">
        <v>172925208.444</v>
      </c>
      <c r="V25" t="n">
        <v>187716639.414</v>
      </c>
      <c r="W25" t="n">
        <v>183750719.36</v>
      </c>
      <c r="X25" t="n">
        <v>158950323.302</v>
      </c>
      <c r="Y25" t="n">
        <v>156532907.219</v>
      </c>
      <c r="Z25" t="n">
        <v>159842549.324</v>
      </c>
      <c r="AA25" t="n">
        <v>176703027.714</v>
      </c>
      <c r="AB25" t="n">
        <v>163422046.518</v>
      </c>
      <c r="AC25" t="n">
        <v>171414747.87</v>
      </c>
      <c r="AD25" t="n">
        <v>147678905.718</v>
      </c>
      <c r="AE25" t="n">
        <v>140409340.891</v>
      </c>
      <c r="AF25" t="n">
        <v>127110635.129</v>
      </c>
      <c r="AG25" t="n">
        <v>129636639.678</v>
      </c>
      <c r="AH25" t="n">
        <v>131536935.447</v>
      </c>
      <c r="AI25" t="n">
        <v>138788455.358</v>
      </c>
      <c r="AJ25" t="n">
        <v>136381963.095</v>
      </c>
      <c r="AK25" t="n">
        <v>139988764.745</v>
      </c>
      <c r="AL25" t="n">
        <v>139166606.768</v>
      </c>
      <c r="AM25" t="n">
        <v>141039777.513</v>
      </c>
      <c r="AN25" t="n">
        <v>136531337.453</v>
      </c>
      <c r="AO25" t="n">
        <v>145614112.736</v>
      </c>
      <c r="AP25" t="n">
        <v>143569592.145</v>
      </c>
      <c r="AQ25" t="n">
        <v>123487551.898</v>
      </c>
      <c r="AR25" t="n">
        <v>138001231.01</v>
      </c>
      <c r="AS25" t="n">
        <v>143184192.723</v>
      </c>
      <c r="AT25" t="n">
        <v>133024352.895</v>
      </c>
      <c r="AU25" t="n">
        <v>137138036.475</v>
      </c>
      <c r="AV25" t="n">
        <v>140024324.458</v>
      </c>
      <c r="AW25" t="n">
        <v>110227485.812</v>
      </c>
      <c r="AX25" t="n">
        <v>121808288.582</v>
      </c>
      <c r="AY25" t="n">
        <v>110516742.371</v>
      </c>
      <c r="AZ25" t="n">
        <v>109014045.734</v>
      </c>
      <c r="BA25" t="n">
        <v>109783579.231</v>
      </c>
      <c r="BB25" t="n">
        <v>108647731.877</v>
      </c>
      <c r="BC25" t="n">
        <v>115019413.449</v>
      </c>
      <c r="BD25" t="n">
        <v>91804575.35699999</v>
      </c>
      <c r="BE25" t="n">
        <v>90646114.384</v>
      </c>
      <c r="BF25" t="n">
        <v>76239885.904</v>
      </c>
      <c r="BG25" t="n">
        <v>78346248.616</v>
      </c>
      <c r="BH25" t="n">
        <v>67975167.09</v>
      </c>
      <c r="BI25" t="n">
        <v>68737232.92900001</v>
      </c>
      <c r="BJ25" t="n">
        <v>75135736.373</v>
      </c>
      <c r="BK25" t="n">
        <v>70852506.182</v>
      </c>
      <c r="BL25" t="n">
        <v>74101564.476</v>
      </c>
      <c r="BM25" t="n">
        <v>54925585.518</v>
      </c>
      <c r="BN25" t="n">
        <v>71022601.067</v>
      </c>
      <c r="BO25" t="n">
        <v>77513216.594</v>
      </c>
      <c r="BP25" t="n">
        <v>76671816.236</v>
      </c>
      <c r="BQ25" t="n">
        <v>66666559.45</v>
      </c>
      <c r="BR25" t="n">
        <v>87053250.91</v>
      </c>
      <c r="BS25" t="n">
        <v>82553820.78</v>
      </c>
      <c r="BT25" t="n">
        <v>104009178.907</v>
      </c>
    </row>
    <row r="26">
      <c r="A26" t="inlineStr">
        <is>
          <t>sym_WithEgestion_asDC</t>
        </is>
      </c>
      <c r="B26" t="inlineStr">
        <is>
          <t>ok</t>
        </is>
      </c>
      <c r="C26" t="n">
        <v>62441553.301</v>
      </c>
      <c r="D26" t="n">
        <v>72479182.626</v>
      </c>
      <c r="E26" t="n">
        <v>68147216.98899999</v>
      </c>
      <c r="F26" t="n">
        <v>76081333.263</v>
      </c>
      <c r="G26" t="n">
        <v>76562770.265</v>
      </c>
      <c r="H26" t="n">
        <v>71851264.977</v>
      </c>
      <c r="I26" t="n">
        <v>75337872.484</v>
      </c>
      <c r="J26" t="n">
        <v>85258566.714</v>
      </c>
      <c r="K26" t="n">
        <v>82405119.455</v>
      </c>
      <c r="L26" t="n">
        <v>90032926.37</v>
      </c>
      <c r="M26" t="n">
        <v>76980826.69400001</v>
      </c>
      <c r="N26" t="n">
        <v>82141457.213</v>
      </c>
      <c r="O26" t="n">
        <v>79956965.31200001</v>
      </c>
      <c r="P26" t="n">
        <v>96431435.20200001</v>
      </c>
      <c r="Q26" t="n">
        <v>109430906.018</v>
      </c>
      <c r="R26" t="n">
        <v>122039949.944</v>
      </c>
      <c r="S26" t="n">
        <v>151337909.874</v>
      </c>
      <c r="T26" t="n">
        <v>163475616.323</v>
      </c>
      <c r="U26" t="n">
        <v>172925208.444</v>
      </c>
      <c r="V26" t="n">
        <v>187716639.414</v>
      </c>
      <c r="W26" t="n">
        <v>183750719.36</v>
      </c>
      <c r="X26" t="n">
        <v>158950323.302</v>
      </c>
      <c r="Y26" t="n">
        <v>156532907.219</v>
      </c>
      <c r="Z26" t="n">
        <v>159842549.324</v>
      </c>
      <c r="AA26" t="n">
        <v>176703027.714</v>
      </c>
      <c r="AB26" t="n">
        <v>163422046.518</v>
      </c>
      <c r="AC26" t="n">
        <v>171414747.87</v>
      </c>
      <c r="AD26" t="n">
        <v>147678905.718</v>
      </c>
      <c r="AE26" t="n">
        <v>140409340.891</v>
      </c>
      <c r="AF26" t="n">
        <v>127110635.129</v>
      </c>
      <c r="AG26" t="n">
        <v>129636639.678</v>
      </c>
      <c r="AH26" t="n">
        <v>131536935.447</v>
      </c>
      <c r="AI26" t="n">
        <v>138788455.358</v>
      </c>
      <c r="AJ26" t="n">
        <v>136381963.095</v>
      </c>
      <c r="AK26" t="n">
        <v>139988764.745</v>
      </c>
      <c r="AL26" t="n">
        <v>139166606.768</v>
      </c>
      <c r="AM26" t="n">
        <v>141039777.513</v>
      </c>
      <c r="AN26" t="n">
        <v>136531337.453</v>
      </c>
      <c r="AO26" t="n">
        <v>145614112.736</v>
      </c>
      <c r="AP26" t="n">
        <v>143569592.145</v>
      </c>
      <c r="AQ26" t="n">
        <v>123487551.898</v>
      </c>
      <c r="AR26" t="n">
        <v>138001231.01</v>
      </c>
      <c r="AS26" t="n">
        <v>143184192.723</v>
      </c>
      <c r="AT26" t="n">
        <v>133024352.895</v>
      </c>
      <c r="AU26" t="n">
        <v>137138036.475</v>
      </c>
      <c r="AV26" t="n">
        <v>140024324.458</v>
      </c>
      <c r="AW26" t="n">
        <v>110227485.812</v>
      </c>
      <c r="AX26" t="n">
        <v>121808288.582</v>
      </c>
      <c r="AY26" t="n">
        <v>110516742.371</v>
      </c>
      <c r="AZ26" t="n">
        <v>109014045.734</v>
      </c>
      <c r="BA26" t="n">
        <v>109783579.231</v>
      </c>
      <c r="BB26" t="n">
        <v>108647731.877</v>
      </c>
      <c r="BC26" t="n">
        <v>115019413.449</v>
      </c>
      <c r="BD26" t="n">
        <v>91804575.35699999</v>
      </c>
      <c r="BE26" t="n">
        <v>90646114.384</v>
      </c>
      <c r="BF26" t="n">
        <v>76239885.904</v>
      </c>
      <c r="BG26" t="n">
        <v>78346248.616</v>
      </c>
      <c r="BH26" t="n">
        <v>67975167.09</v>
      </c>
      <c r="BI26" t="n">
        <v>68737232.92900001</v>
      </c>
      <c r="BJ26" t="n">
        <v>75135736.373</v>
      </c>
      <c r="BK26" t="n">
        <v>70852506.182</v>
      </c>
      <c r="BL26" t="n">
        <v>74101564.476</v>
      </c>
      <c r="BM26" t="n">
        <v>54925585.518</v>
      </c>
      <c r="BN26" t="n">
        <v>71022601.067</v>
      </c>
      <c r="BO26" t="n">
        <v>77513216.594</v>
      </c>
      <c r="BP26" t="n">
        <v>76671816.236</v>
      </c>
      <c r="BQ26" t="n">
        <v>66666559.45</v>
      </c>
      <c r="BR26" t="n">
        <v>87053250.91</v>
      </c>
      <c r="BS26" t="n">
        <v>82553820.78</v>
      </c>
      <c r="BT26" t="n">
        <v>104009178.907</v>
      </c>
    </row>
    <row r="27">
      <c r="A27" t="inlineStr">
        <is>
          <t>MC_new_GE</t>
        </is>
      </c>
      <c r="B27" t="inlineStr">
        <is>
          <t>ok</t>
        </is>
      </c>
      <c r="C27" t="n">
        <v>153868233.394</v>
      </c>
      <c r="D27" t="n">
        <v>179231615.252</v>
      </c>
      <c r="E27" t="n">
        <v>168775665.572</v>
      </c>
      <c r="F27" t="n">
        <v>186768338.813</v>
      </c>
      <c r="G27" t="n">
        <v>190249031.419</v>
      </c>
      <c r="H27" t="n">
        <v>177885647.199</v>
      </c>
      <c r="I27" t="n">
        <v>185864383.294</v>
      </c>
      <c r="J27" t="n">
        <v>211301661.979</v>
      </c>
      <c r="K27" t="n">
        <v>204607250.923</v>
      </c>
      <c r="L27" t="n">
        <v>222720374.699</v>
      </c>
      <c r="M27" t="n">
        <v>189930275.673</v>
      </c>
      <c r="N27" t="n">
        <v>204381687.159</v>
      </c>
      <c r="O27" t="n">
        <v>195987499.916</v>
      </c>
      <c r="P27" t="n">
        <v>236747753.529</v>
      </c>
      <c r="Q27" t="n">
        <v>268022580.637</v>
      </c>
      <c r="R27" t="n">
        <v>301401678.406</v>
      </c>
      <c r="S27" t="n">
        <v>375365267.801</v>
      </c>
      <c r="T27" t="n">
        <v>406234382.232</v>
      </c>
      <c r="U27" t="n">
        <v>429901085.646</v>
      </c>
      <c r="V27" t="n">
        <v>464044399.848</v>
      </c>
      <c r="W27" t="n">
        <v>451957386.966</v>
      </c>
      <c r="X27" t="n">
        <v>394736349.909</v>
      </c>
      <c r="Y27" t="n">
        <v>391456991.361</v>
      </c>
      <c r="Z27" t="n">
        <v>396444024.242</v>
      </c>
      <c r="AA27" t="n">
        <v>439100840.494</v>
      </c>
      <c r="AB27" t="n">
        <v>404305505.923</v>
      </c>
      <c r="AC27" t="n">
        <v>424325763.099</v>
      </c>
      <c r="AD27" t="n">
        <v>363846309.612</v>
      </c>
      <c r="AE27" t="n">
        <v>348495214.641</v>
      </c>
      <c r="AF27" t="n">
        <v>315136891.109</v>
      </c>
      <c r="AG27" t="n">
        <v>318599568.194</v>
      </c>
      <c r="AH27" t="n">
        <v>324717095.044</v>
      </c>
      <c r="AI27" t="n">
        <v>340646280.996</v>
      </c>
      <c r="AJ27" t="n">
        <v>335346795.605</v>
      </c>
      <c r="AK27" t="n">
        <v>344596284.984</v>
      </c>
      <c r="AL27" t="n">
        <v>341415907.778</v>
      </c>
      <c r="AM27" t="n">
        <v>343559590.551</v>
      </c>
      <c r="AN27" t="n">
        <v>335731560.489</v>
      </c>
      <c r="AO27" t="n">
        <v>356309130.353</v>
      </c>
      <c r="AP27" t="n">
        <v>349070092.831</v>
      </c>
      <c r="AQ27" t="n">
        <v>301979811.493</v>
      </c>
      <c r="AR27" t="n">
        <v>336537448.591</v>
      </c>
      <c r="AS27" t="n">
        <v>348573244.275</v>
      </c>
      <c r="AT27" t="n">
        <v>326051332.026</v>
      </c>
      <c r="AU27" t="n">
        <v>334064348.787</v>
      </c>
      <c r="AV27" t="n">
        <v>340382904.586</v>
      </c>
      <c r="AW27" t="n">
        <v>270637102.79</v>
      </c>
      <c r="AX27" t="n">
        <v>297502228.15</v>
      </c>
      <c r="AY27" t="n">
        <v>269373361.787</v>
      </c>
      <c r="AZ27" t="n">
        <v>265752146.831</v>
      </c>
      <c r="BA27" t="n">
        <v>266975622.091</v>
      </c>
      <c r="BB27" t="n">
        <v>263861203.69</v>
      </c>
      <c r="BC27" t="n">
        <v>279873401.84</v>
      </c>
      <c r="BD27" t="n">
        <v>224039836.24</v>
      </c>
      <c r="BE27" t="n">
        <v>220471317.63</v>
      </c>
      <c r="BF27" t="n">
        <v>185614271.562</v>
      </c>
      <c r="BG27" t="n">
        <v>191079529.918</v>
      </c>
      <c r="BH27" t="n">
        <v>166536365.54</v>
      </c>
      <c r="BI27" t="n">
        <v>168812472.793</v>
      </c>
      <c r="BJ27" t="n">
        <v>183913645.52</v>
      </c>
      <c r="BK27" t="n">
        <v>172033758.386</v>
      </c>
      <c r="BL27" t="n">
        <v>180886389.225</v>
      </c>
      <c r="BM27" t="n">
        <v>134289200.891</v>
      </c>
      <c r="BN27" t="n">
        <v>172704357.614</v>
      </c>
      <c r="BO27" t="n">
        <v>189813052.018</v>
      </c>
      <c r="BP27" t="n">
        <v>187562204.246</v>
      </c>
      <c r="BQ27" t="n">
        <v>164101337.288</v>
      </c>
      <c r="BR27" t="n">
        <v>214074165.265</v>
      </c>
      <c r="BS27" t="n">
        <v>203141626.759</v>
      </c>
      <c r="BT27" t="n">
        <v>259803984.419</v>
      </c>
    </row>
    <row r="28">
      <c r="A28" t="inlineStr">
        <is>
          <t>MC_new_TE_EEfix</t>
        </is>
      </c>
      <c r="B28" t="inlineStr">
        <is>
          <t>ok</t>
        </is>
      </c>
      <c r="C28" t="n">
        <v>265508825.862</v>
      </c>
      <c r="D28" t="n">
        <v>311194295.865</v>
      </c>
      <c r="E28" t="n">
        <v>291654868.121</v>
      </c>
      <c r="F28" t="n">
        <v>317790401.595</v>
      </c>
      <c r="G28" t="n">
        <v>327890526.134</v>
      </c>
      <c r="H28" t="n">
        <v>310221856.693</v>
      </c>
      <c r="I28" t="n">
        <v>321607149.453</v>
      </c>
      <c r="J28" t="n">
        <v>360789270.103</v>
      </c>
      <c r="K28" t="n">
        <v>353103046.686</v>
      </c>
      <c r="L28" t="n">
        <v>379493455.746</v>
      </c>
      <c r="M28" t="n">
        <v>329242013.349</v>
      </c>
      <c r="N28" t="n">
        <v>357000062.681</v>
      </c>
      <c r="O28" t="n">
        <v>332629899.954</v>
      </c>
      <c r="P28" t="n">
        <v>401613754.739</v>
      </c>
      <c r="Q28" t="n">
        <v>440972344.075</v>
      </c>
      <c r="R28" t="n">
        <v>500809221.126</v>
      </c>
      <c r="S28" t="n">
        <v>613532937.076</v>
      </c>
      <c r="T28" t="n">
        <v>663726883.946</v>
      </c>
      <c r="U28" t="n">
        <v>706587539.6160001</v>
      </c>
      <c r="V28" t="n">
        <v>755314306.079</v>
      </c>
      <c r="W28" t="n">
        <v>728165740.132</v>
      </c>
      <c r="X28" t="n">
        <v>648738518.313</v>
      </c>
      <c r="Y28" t="n">
        <v>653390190.607</v>
      </c>
      <c r="Z28" t="n">
        <v>653151630.686</v>
      </c>
      <c r="AA28" t="n">
        <v>721060330.9910001</v>
      </c>
      <c r="AB28" t="n">
        <v>665459998.766</v>
      </c>
      <c r="AC28" t="n">
        <v>689949692.505</v>
      </c>
      <c r="AD28" t="n">
        <v>588771642.951</v>
      </c>
      <c r="AE28" t="n">
        <v>567068081.538</v>
      </c>
      <c r="AF28" t="n">
        <v>513989764.226</v>
      </c>
      <c r="AG28" t="n">
        <v>512889302.174</v>
      </c>
      <c r="AH28" t="n">
        <v>522860997.501</v>
      </c>
      <c r="AI28" t="n">
        <v>541833279.0650001</v>
      </c>
      <c r="AJ28" t="n">
        <v>536028670.058</v>
      </c>
      <c r="AK28" t="n">
        <v>549444054.146</v>
      </c>
      <c r="AL28" t="n">
        <v>540471413.038</v>
      </c>
      <c r="AM28" t="n">
        <v>536267387.439</v>
      </c>
      <c r="AN28" t="n">
        <v>530198823.098</v>
      </c>
      <c r="AO28" t="n">
        <v>557198750.143</v>
      </c>
      <c r="AP28" t="n">
        <v>540933162.6569999</v>
      </c>
      <c r="AQ28" t="n">
        <v>474412340.6</v>
      </c>
      <c r="AR28" t="n">
        <v>523417336.191</v>
      </c>
      <c r="AS28" t="n">
        <v>540680783.197</v>
      </c>
      <c r="AT28" t="n">
        <v>507108995.36</v>
      </c>
      <c r="AU28" t="n">
        <v>514018062.354</v>
      </c>
      <c r="AV28" t="n">
        <v>526887770.866</v>
      </c>
      <c r="AW28" t="n">
        <v>421345406.629</v>
      </c>
      <c r="AX28" t="n">
        <v>458443633.459</v>
      </c>
      <c r="AY28" t="n">
        <v>415890209.901</v>
      </c>
      <c r="AZ28" t="n">
        <v>409597160.19</v>
      </c>
      <c r="BA28" t="n">
        <v>410805542.397</v>
      </c>
      <c r="BB28" t="n">
        <v>405618430.861</v>
      </c>
      <c r="BC28" t="n">
        <v>430100497.677</v>
      </c>
      <c r="BD28" t="n">
        <v>346524545.302</v>
      </c>
      <c r="BE28" t="n">
        <v>339835489.439</v>
      </c>
      <c r="BF28" t="n">
        <v>286908901.407</v>
      </c>
      <c r="BG28" t="n">
        <v>294505799.146</v>
      </c>
      <c r="BH28" t="n">
        <v>257428956.612</v>
      </c>
      <c r="BI28" t="n">
        <v>261708121.128</v>
      </c>
      <c r="BJ28" t="n">
        <v>283625468.604</v>
      </c>
      <c r="BK28" t="n">
        <v>263602709.845</v>
      </c>
      <c r="BL28" t="n">
        <v>277102959.431</v>
      </c>
      <c r="BM28" t="n">
        <v>208394780.757</v>
      </c>
      <c r="BN28" t="n">
        <v>264710038.35</v>
      </c>
      <c r="BO28" t="n">
        <v>291960575.958</v>
      </c>
      <c r="BP28" t="n">
        <v>288125646.056</v>
      </c>
      <c r="BQ28" t="n">
        <v>254042244.203</v>
      </c>
      <c r="BR28" t="n">
        <v>327634857.556</v>
      </c>
      <c r="BS28" t="n">
        <v>314074197.076</v>
      </c>
      <c r="BT28" t="n">
        <v>406993723.438</v>
      </c>
    </row>
    <row r="30">
      <c r="A30" t="inlineStr">
        <is>
          <t>Catch tonnage on a named group: 207,462,135 of 208,301,114 (99.6 %). Unresolved taxa contribute nothing to the model rows and everything to the simple row, so the two are not directly comparable until coverage is 100 %.</t>
        </is>
      </c>
    </row>
    <row r="31">
      <c r="A31" s="11" t="inlineStr">
        <is>
          <t>5 of 20 methods are flagged above. A flagged row is a property of this model under that method, not of the mapping; see model_health in the SPPR workbook.</t>
        </is>
      </c>
    </row>
    <row r="32">
      <c r="A32" t="inlineStr">
        <is>
          <t>Coverage by year, %:</t>
        </is>
      </c>
    </row>
    <row r="33">
      <c r="A33" t="inlineStr">
        <is>
          <t>catch on a named group, %</t>
        </is>
      </c>
      <c r="B33" t="inlineStr"/>
      <c r="C33" t="n">
        <v>99.54000000000001</v>
      </c>
      <c r="D33" t="n">
        <v>99.34999999999999</v>
      </c>
      <c r="E33" t="n">
        <v>98.94</v>
      </c>
      <c r="F33" t="n">
        <v>99.27</v>
      </c>
      <c r="G33" t="n">
        <v>99.27</v>
      </c>
      <c r="H33" t="n">
        <v>99.04000000000001</v>
      </c>
      <c r="I33" t="n">
        <v>99.58</v>
      </c>
      <c r="J33" t="n">
        <v>99.54000000000001</v>
      </c>
      <c r="K33" t="n">
        <v>99.62</v>
      </c>
      <c r="L33" t="n">
        <v>99.64</v>
      </c>
      <c r="M33" t="n">
        <v>99.54000000000001</v>
      </c>
      <c r="N33" t="n">
        <v>99.43000000000001</v>
      </c>
      <c r="O33" t="n">
        <v>99.44</v>
      </c>
      <c r="P33" t="n">
        <v>99.79000000000001</v>
      </c>
      <c r="Q33" t="n">
        <v>99.75</v>
      </c>
      <c r="R33" t="n">
        <v>99.73999999999999</v>
      </c>
      <c r="S33" t="n">
        <v>99.81</v>
      </c>
      <c r="T33" t="n">
        <v>99.78</v>
      </c>
      <c r="U33" t="n">
        <v>99.83</v>
      </c>
      <c r="V33" t="n">
        <v>99.84</v>
      </c>
      <c r="W33" t="n">
        <v>99.86</v>
      </c>
      <c r="X33" t="n">
        <v>99.84</v>
      </c>
      <c r="Y33" t="n">
        <v>99.86</v>
      </c>
      <c r="Z33" t="n">
        <v>99.77</v>
      </c>
      <c r="AA33" t="n">
        <v>99.81</v>
      </c>
      <c r="AB33" t="n">
        <v>99.79000000000001</v>
      </c>
      <c r="AC33" t="n">
        <v>99.84</v>
      </c>
      <c r="AD33" t="n">
        <v>99.83</v>
      </c>
      <c r="AE33" t="n">
        <v>99.87</v>
      </c>
      <c r="AF33" t="n">
        <v>99.88</v>
      </c>
      <c r="AG33" t="n">
        <v>99.87</v>
      </c>
      <c r="AH33" t="n">
        <v>99.86</v>
      </c>
      <c r="AI33" t="n">
        <v>99.86</v>
      </c>
      <c r="AJ33" t="n">
        <v>99.86</v>
      </c>
      <c r="AK33" t="n">
        <v>99.88</v>
      </c>
      <c r="AL33" t="n">
        <v>99.88</v>
      </c>
      <c r="AM33" t="n">
        <v>99.64</v>
      </c>
      <c r="AN33" t="n">
        <v>99.54000000000001</v>
      </c>
      <c r="AO33" t="n">
        <v>99.76000000000001</v>
      </c>
      <c r="AP33" t="n">
        <v>99.7</v>
      </c>
      <c r="AQ33" t="n">
        <v>99.67</v>
      </c>
      <c r="AR33" t="n">
        <v>99.58</v>
      </c>
      <c r="AS33" t="n">
        <v>99.20999999999999</v>
      </c>
      <c r="AT33" t="n">
        <v>99.48999999999999</v>
      </c>
      <c r="AU33" t="n">
        <v>99.44</v>
      </c>
      <c r="AV33" t="n">
        <v>99.42</v>
      </c>
      <c r="AW33" t="n">
        <v>99.52</v>
      </c>
      <c r="AX33" t="n">
        <v>99.23</v>
      </c>
      <c r="AY33" t="n">
        <v>98.61</v>
      </c>
      <c r="AZ33" t="n">
        <v>99.11</v>
      </c>
      <c r="BA33" t="n">
        <v>99.29000000000001</v>
      </c>
      <c r="BB33" t="n">
        <v>99.19</v>
      </c>
      <c r="BC33" t="n">
        <v>98.95</v>
      </c>
      <c r="BD33" t="n">
        <v>98.42</v>
      </c>
      <c r="BE33" t="n">
        <v>98.31999999999999</v>
      </c>
      <c r="BF33" t="n">
        <v>98.13</v>
      </c>
      <c r="BG33" t="n">
        <v>98.79000000000001</v>
      </c>
      <c r="BH33" t="n">
        <v>99.89</v>
      </c>
      <c r="BI33" t="n">
        <v>99.88</v>
      </c>
      <c r="BJ33" t="n">
        <v>99.87</v>
      </c>
      <c r="BK33" t="n">
        <v>99.8</v>
      </c>
      <c r="BL33" t="n">
        <v>99.90000000000001</v>
      </c>
      <c r="BM33" t="n">
        <v>99.90000000000001</v>
      </c>
      <c r="BN33" t="n">
        <v>99.90000000000001</v>
      </c>
      <c r="BO33" t="n">
        <v>99.92</v>
      </c>
      <c r="BP33" t="n">
        <v>99.95</v>
      </c>
      <c r="BQ33" t="n">
        <v>99.94</v>
      </c>
      <c r="BR33" t="n">
        <v>99.94</v>
      </c>
      <c r="BS33" t="n">
        <v>99.93000000000001</v>
      </c>
      <c r="BT33" t="n">
        <v>99.95999999999999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88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40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  <col width="21" customWidth="1" min="24" max="24"/>
  </cols>
  <sheetData>
    <row r="1">
      <c r="A1" s="1" t="inlineStr">
        <is>
          <t>Specific PPR per taxon — LME_022, model 22_20251990_East_Coast_of_Scotland_(1991-1995)</t>
        </is>
      </c>
    </row>
    <row r="2">
      <c r="A2" t="inlineStr">
        <is>
          <t>sppr_simple is the trophic-chain estimate (1/TE)^(TL-1) at TE=0.1, applied to the taxon's own trophic level and needing no model.</t>
        </is>
      </c>
    </row>
    <row r="3">
      <c r="A3" t="inlineStr">
        <is>
          <t>Primary producers only; excludes detritus and imports. Blank means unavailable, not zero. sppr_simple is an unpartitioned reference.</t>
        </is>
      </c>
    </row>
    <row r="4" ht="42" customHeight="1">
      <c r="A4" s="12" t="inlineStr">
        <is>
          <t>taxon</t>
        </is>
      </c>
      <c r="B4" s="12" t="inlineStr">
        <is>
          <t>trophic_level</t>
        </is>
      </c>
      <c r="C4" s="12" t="inlineStr">
        <is>
          <t>sppr_simple</t>
        </is>
      </c>
      <c r="D4" s="12" t="inlineStr">
        <is>
          <t>Ecopath group</t>
        </is>
      </c>
      <c r="E4" s="12" t="inlineStr">
        <is>
          <t>SPPR_1986</t>
        </is>
      </c>
      <c r="F4" s="12" t="inlineStr">
        <is>
          <t>SPPR_1995_TE0.1</t>
        </is>
      </c>
      <c r="G4" s="12" t="inlineStr">
        <is>
          <t>SPPR_1995_TEmean</t>
        </is>
      </c>
      <c r="H4" s="12" t="inlineStr">
        <is>
          <t>Ulanowicz_globalTEmean</t>
        </is>
      </c>
      <c r="I4" s="12" t="inlineStr">
        <is>
          <t>Ulanowicz_TE</t>
        </is>
      </c>
      <c r="J4" s="12" t="inlineStr">
        <is>
          <t>EwE_TE_noEE</t>
        </is>
      </c>
      <c r="K4" s="12" t="inlineStr">
        <is>
          <t>EwE_TE_EE</t>
        </is>
      </c>
      <c r="L4" s="12" t="inlineStr">
        <is>
          <t>SPPR_2015</t>
        </is>
      </c>
      <c r="M4" s="12" t="inlineStr">
        <is>
          <t>new_TE_noEEfix</t>
        </is>
      </c>
      <c r="N4" s="12" t="inlineStr">
        <is>
          <t>new_TE_EEfix</t>
        </is>
      </c>
      <c r="O4" s="12" t="inlineStr">
        <is>
          <t>new_GE</t>
        </is>
      </c>
      <c r="P4" s="12" t="inlineStr">
        <is>
          <t>new_WithEgestion</t>
        </is>
      </c>
      <c r="Q4" s="12" t="inlineStr">
        <is>
          <t>sym_TE_asPP</t>
        </is>
      </c>
      <c r="R4" s="12" t="inlineStr">
        <is>
          <t>sym_TE_asDC</t>
        </is>
      </c>
      <c r="S4" s="12" t="inlineStr">
        <is>
          <t>sym_GE_asPP</t>
        </is>
      </c>
      <c r="T4" s="12" t="inlineStr">
        <is>
          <t>sym_GE_asDC</t>
        </is>
      </c>
      <c r="U4" s="12" t="inlineStr">
        <is>
          <t>sym_WithEgestion_asPP</t>
        </is>
      </c>
      <c r="V4" s="12" t="inlineStr">
        <is>
          <t>sym_WithEgestion_asDC</t>
        </is>
      </c>
      <c r="W4" s="12" t="inlineStr">
        <is>
          <t>MC_new_GE</t>
        </is>
      </c>
      <c r="X4" s="12" t="inlineStr">
        <is>
          <t>MC_new_TE_EEfix</t>
        </is>
      </c>
    </row>
    <row r="5">
      <c r="A5" t="inlineStr">
        <is>
          <t>Clupea harengus</t>
        </is>
      </c>
      <c r="B5" t="n">
        <v>3.38</v>
      </c>
      <c r="C5" t="n">
        <v>239.883292</v>
      </c>
      <c r="D5" t="inlineStr">
        <is>
          <t>Herring</t>
        </is>
      </c>
      <c r="H5" t="n">
        <v>72.267656</v>
      </c>
      <c r="I5" t="n">
        <v>33.882524</v>
      </c>
      <c r="J5" t="n">
        <v>33.897802</v>
      </c>
      <c r="K5" t="n">
        <v>30.508022</v>
      </c>
      <c r="L5" t="n">
        <v>52.411478</v>
      </c>
      <c r="M5" t="n">
        <v>46.437578</v>
      </c>
      <c r="N5" t="n">
        <v>46.437578</v>
      </c>
      <c r="O5" t="n">
        <v>31.299378</v>
      </c>
      <c r="P5" t="n">
        <v>13.21678</v>
      </c>
      <c r="Q5" t="n">
        <v>46.437578</v>
      </c>
      <c r="R5" t="n">
        <v>46.437578</v>
      </c>
      <c r="S5" t="n">
        <v>31.299378</v>
      </c>
      <c r="T5" t="n">
        <v>31.299378</v>
      </c>
      <c r="U5" t="n">
        <v>13.21678</v>
      </c>
      <c r="V5" t="n">
        <v>13.21678</v>
      </c>
      <c r="W5" t="n">
        <v>32.286606</v>
      </c>
      <c r="X5" t="n">
        <v>49.577904</v>
      </c>
    </row>
    <row r="6">
      <c r="A6" t="inlineStr">
        <is>
          <t>Marine fishes not identified</t>
        </is>
      </c>
      <c r="B6" t="n">
        <v>3.28</v>
      </c>
      <c r="C6" t="n">
        <v>190.546072</v>
      </c>
      <c r="D6" t="inlineStr">
        <is>
          <t>Flatfishes | Monkfish | Large Dem. fish</t>
        </is>
      </c>
      <c r="H6" t="n">
        <v>106.560052</v>
      </c>
      <c r="I6" t="n">
        <v>82.572694</v>
      </c>
      <c r="J6" t="n">
        <v>85.399901</v>
      </c>
      <c r="K6" t="n">
        <v>78.66645699999999</v>
      </c>
      <c r="L6" t="n">
        <v>164.733434</v>
      </c>
      <c r="M6" t="n">
        <v>116.293474</v>
      </c>
      <c r="N6" t="n">
        <v>116.293474</v>
      </c>
      <c r="O6" t="n">
        <v>70.592995</v>
      </c>
      <c r="P6" t="n">
        <v>25.441846</v>
      </c>
      <c r="Q6" t="n">
        <v>116.293474</v>
      </c>
      <c r="R6" t="n">
        <v>116.293474</v>
      </c>
      <c r="S6" t="n">
        <v>70.592995</v>
      </c>
      <c r="T6" t="n">
        <v>70.592995</v>
      </c>
      <c r="U6" t="n">
        <v>25.441846</v>
      </c>
      <c r="V6" t="n">
        <v>25.441846</v>
      </c>
      <c r="W6" t="n">
        <v>71.252585</v>
      </c>
      <c r="X6" t="n">
        <v>116.988754</v>
      </c>
    </row>
    <row r="7">
      <c r="A7" t="inlineStr">
        <is>
          <t>Scomber scombrus</t>
        </is>
      </c>
      <c r="B7" t="n">
        <v>3.63</v>
      </c>
      <c r="C7" t="n">
        <v>426.579519</v>
      </c>
      <c r="D7" t="inlineStr">
        <is>
          <t>Large Pelagics</t>
        </is>
      </c>
      <c r="H7" t="n">
        <v>139.957891</v>
      </c>
      <c r="I7" t="n">
        <v>118.942542</v>
      </c>
      <c r="J7" t="n">
        <v>128.033231</v>
      </c>
      <c r="K7" t="n">
        <v>115.229908</v>
      </c>
      <c r="L7" t="n">
        <v>208.675232</v>
      </c>
      <c r="M7" t="n">
        <v>172.524137</v>
      </c>
      <c r="N7" t="n">
        <v>172.524137</v>
      </c>
      <c r="O7" t="n">
        <v>107.933606</v>
      </c>
      <c r="P7" t="n">
        <v>40.156364</v>
      </c>
      <c r="Q7" t="n">
        <v>172.524137</v>
      </c>
      <c r="R7" t="n">
        <v>172.524137</v>
      </c>
      <c r="S7" t="n">
        <v>107.933606</v>
      </c>
      <c r="T7" t="n">
        <v>107.933606</v>
      </c>
      <c r="U7" t="n">
        <v>40.156364</v>
      </c>
      <c r="V7" t="n">
        <v>40.156364</v>
      </c>
      <c r="W7" t="n">
        <v>107.778581</v>
      </c>
      <c r="X7" t="n">
        <v>174.242777</v>
      </c>
    </row>
    <row r="8">
      <c r="A8" t="inlineStr">
        <is>
          <t>Gadus morhua</t>
        </is>
      </c>
      <c r="B8" t="n">
        <v>4.09</v>
      </c>
      <c r="C8" t="n">
        <v>1230.268771</v>
      </c>
      <c r="D8" t="inlineStr">
        <is>
          <t>Cod</t>
        </is>
      </c>
      <c r="H8" t="n">
        <v>212.31742</v>
      </c>
      <c r="I8" t="n">
        <v>113.53265</v>
      </c>
      <c r="J8" t="n">
        <v>118.849718</v>
      </c>
      <c r="K8" t="n">
        <v>102.210757</v>
      </c>
      <c r="L8" t="n">
        <v>222.178859</v>
      </c>
      <c r="M8" t="n">
        <v>162.435224</v>
      </c>
      <c r="N8" t="n">
        <v>162.435224</v>
      </c>
      <c r="O8" t="n">
        <v>89.481044</v>
      </c>
      <c r="P8" t="n">
        <v>30.362289</v>
      </c>
      <c r="Q8" t="n">
        <v>162.435224</v>
      </c>
      <c r="R8" t="n">
        <v>162.435224</v>
      </c>
      <c r="S8" t="n">
        <v>89.481044</v>
      </c>
      <c r="T8" t="n">
        <v>89.481044</v>
      </c>
      <c r="U8" t="n">
        <v>30.362289</v>
      </c>
      <c r="V8" t="n">
        <v>30.362289</v>
      </c>
      <c r="W8" t="n">
        <v>91.85924199999999</v>
      </c>
      <c r="X8" t="n">
        <v>168.378999</v>
      </c>
    </row>
    <row r="9">
      <c r="A9" t="inlineStr">
        <is>
          <t>Sprattus sprattus</t>
        </is>
      </c>
      <c r="B9" t="n">
        <v>3.01</v>
      </c>
      <c r="C9" t="n">
        <v>102.329299</v>
      </c>
      <c r="D9" t="inlineStr">
        <is>
          <t>Small pelagics</t>
        </is>
      </c>
      <c r="H9" t="n">
        <v>47.986658</v>
      </c>
      <c r="I9" t="n">
        <v>23.215644</v>
      </c>
      <c r="J9" t="n">
        <v>23.303441</v>
      </c>
      <c r="K9" t="n">
        <v>20.507028</v>
      </c>
      <c r="L9" t="n">
        <v>37.444032</v>
      </c>
      <c r="M9" t="n">
        <v>31.413829</v>
      </c>
      <c r="N9" t="n">
        <v>31.413829</v>
      </c>
      <c r="O9" t="n">
        <v>21.233792</v>
      </c>
      <c r="P9" t="n">
        <v>9.36406</v>
      </c>
      <c r="Q9" t="n">
        <v>31.413829</v>
      </c>
      <c r="R9" t="n">
        <v>31.413829</v>
      </c>
      <c r="S9" t="n">
        <v>21.233792</v>
      </c>
      <c r="T9" t="n">
        <v>21.233792</v>
      </c>
      <c r="U9" t="n">
        <v>9.36406</v>
      </c>
      <c r="V9" t="n">
        <v>9.36406</v>
      </c>
      <c r="W9" t="n">
        <v>21.105884</v>
      </c>
      <c r="X9" t="n">
        <v>33.32407</v>
      </c>
    </row>
    <row r="10">
      <c r="A10" t="inlineStr">
        <is>
          <t>Trisopterus esmarkii</t>
        </is>
      </c>
      <c r="B10" t="n">
        <v>3.24</v>
      </c>
      <c r="C10" t="n">
        <v>173.780083</v>
      </c>
      <c r="D10" t="inlineStr">
        <is>
          <t>Small pelagics</t>
        </is>
      </c>
      <c r="H10" t="n">
        <v>47.986658</v>
      </c>
      <c r="I10" t="n">
        <v>23.215644</v>
      </c>
      <c r="J10" t="n">
        <v>23.303441</v>
      </c>
      <c r="K10" t="n">
        <v>20.507028</v>
      </c>
      <c r="L10" t="n">
        <v>37.444032</v>
      </c>
      <c r="M10" t="n">
        <v>31.413829</v>
      </c>
      <c r="N10" t="n">
        <v>31.413829</v>
      </c>
      <c r="O10" t="n">
        <v>21.233792</v>
      </c>
      <c r="P10" t="n">
        <v>9.36406</v>
      </c>
      <c r="Q10" t="n">
        <v>31.413829</v>
      </c>
      <c r="R10" t="n">
        <v>31.413829</v>
      </c>
      <c r="S10" t="n">
        <v>21.233792</v>
      </c>
      <c r="T10" t="n">
        <v>21.233792</v>
      </c>
      <c r="U10" t="n">
        <v>9.36406</v>
      </c>
      <c r="V10" t="n">
        <v>9.36406</v>
      </c>
      <c r="W10" t="n">
        <v>21.105884</v>
      </c>
      <c r="X10" t="n">
        <v>33.32407</v>
      </c>
    </row>
    <row r="11">
      <c r="A11" t="inlineStr">
        <is>
          <t>Pleuronectes platessa</t>
        </is>
      </c>
      <c r="B11" t="n">
        <v>3.26</v>
      </c>
      <c r="C11" t="n">
        <v>181.970086</v>
      </c>
      <c r="D11" t="inlineStr">
        <is>
          <t>Flatfishes</t>
        </is>
      </c>
      <c r="H11" t="n">
        <v>72.35890999999999</v>
      </c>
      <c r="I11" t="n">
        <v>55.101076</v>
      </c>
      <c r="J11" t="n">
        <v>56.599968</v>
      </c>
      <c r="K11" t="n">
        <v>51.50597</v>
      </c>
      <c r="L11" t="n">
        <v>114.167454</v>
      </c>
      <c r="M11" t="n">
        <v>73.440046</v>
      </c>
      <c r="N11" t="n">
        <v>73.440046</v>
      </c>
      <c r="O11" t="n">
        <v>45.479187</v>
      </c>
      <c r="P11" t="n">
        <v>17.967245</v>
      </c>
      <c r="Q11" t="n">
        <v>73.440046</v>
      </c>
      <c r="R11" t="n">
        <v>73.440046</v>
      </c>
      <c r="S11" t="n">
        <v>45.479187</v>
      </c>
      <c r="T11" t="n">
        <v>45.479187</v>
      </c>
      <c r="U11" t="n">
        <v>17.967245</v>
      </c>
      <c r="V11" t="n">
        <v>17.967245</v>
      </c>
      <c r="W11" t="n">
        <v>45.729526</v>
      </c>
      <c r="X11" t="n">
        <v>73.316087</v>
      </c>
    </row>
    <row r="12">
      <c r="A12" t="inlineStr">
        <is>
          <t>Melanogrammus aeglefinus</t>
        </is>
      </c>
      <c r="B12" t="n">
        <v>4.03</v>
      </c>
      <c r="C12" t="n">
        <v>1071.519305</v>
      </c>
      <c r="D12" t="inlineStr">
        <is>
          <t>Haddock</t>
        </is>
      </c>
      <c r="H12" t="n">
        <v>90.442986</v>
      </c>
      <c r="I12" t="n">
        <v>61.107521</v>
      </c>
      <c r="J12" t="n">
        <v>64.015221</v>
      </c>
      <c r="K12" t="n">
        <v>58.894004</v>
      </c>
      <c r="L12" t="n">
        <v>121.373593</v>
      </c>
      <c r="M12" t="n">
        <v>83.423835</v>
      </c>
      <c r="N12" t="n">
        <v>83.423835</v>
      </c>
      <c r="O12" t="n">
        <v>52.673192</v>
      </c>
      <c r="P12" t="n">
        <v>20.296137</v>
      </c>
      <c r="Q12" t="n">
        <v>83.423835</v>
      </c>
      <c r="R12" t="n">
        <v>83.423835</v>
      </c>
      <c r="S12" t="n">
        <v>52.673192</v>
      </c>
      <c r="T12" t="n">
        <v>52.673192</v>
      </c>
      <c r="U12" t="n">
        <v>20.296137</v>
      </c>
      <c r="V12" t="n">
        <v>20.296137</v>
      </c>
      <c r="W12" t="n">
        <v>52.861408</v>
      </c>
      <c r="X12" t="n">
        <v>83.123057</v>
      </c>
    </row>
    <row r="13">
      <c r="A13" t="inlineStr">
        <is>
          <t>Pollachius virens</t>
        </is>
      </c>
      <c r="B13" t="n">
        <v>4.31</v>
      </c>
      <c r="C13" t="n">
        <v>2041.737945</v>
      </c>
      <c r="D13" t="inlineStr">
        <is>
          <t>Saithe</t>
        </is>
      </c>
      <c r="H13" t="n">
        <v>277.745529</v>
      </c>
      <c r="I13" t="n">
        <v>149.071351</v>
      </c>
      <c r="J13" t="n">
        <v>152.962493</v>
      </c>
      <c r="K13" t="n">
        <v>139.195869</v>
      </c>
      <c r="L13" t="n">
        <v>281.759128</v>
      </c>
      <c r="M13" t="n">
        <v>208.869091</v>
      </c>
      <c r="N13" t="n">
        <v>208.869091</v>
      </c>
      <c r="O13" t="n">
        <v>120.777399</v>
      </c>
      <c r="P13" t="n">
        <v>40.651028</v>
      </c>
      <c r="Q13" t="n">
        <v>208.869091</v>
      </c>
      <c r="R13" t="n">
        <v>208.869091</v>
      </c>
      <c r="S13" t="n">
        <v>120.777399</v>
      </c>
      <c r="T13" t="n">
        <v>120.777399</v>
      </c>
      <c r="U13" t="n">
        <v>40.651028</v>
      </c>
      <c r="V13" t="n">
        <v>40.651028</v>
      </c>
      <c r="W13" t="n">
        <v>119.905694</v>
      </c>
      <c r="X13" t="n">
        <v>221.619222</v>
      </c>
    </row>
    <row r="14">
      <c r="A14" t="inlineStr">
        <is>
          <t>Merlangius merlangus</t>
        </is>
      </c>
      <c r="B14" t="n">
        <v>4.36</v>
      </c>
      <c r="C14" t="n">
        <v>2290.867653</v>
      </c>
      <c r="D14" t="inlineStr">
        <is>
          <t>Whiting</t>
        </is>
      </c>
      <c r="H14" t="n">
        <v>252.984375</v>
      </c>
      <c r="I14" t="n">
        <v>186.069218</v>
      </c>
      <c r="J14" t="n">
        <v>196.596526</v>
      </c>
      <c r="K14" t="n">
        <v>174.970908</v>
      </c>
      <c r="L14" t="n">
        <v>351.703825</v>
      </c>
      <c r="M14" t="n">
        <v>279.105978</v>
      </c>
      <c r="N14" t="n">
        <v>279.105978</v>
      </c>
      <c r="O14" t="n">
        <v>161.392314</v>
      </c>
      <c r="P14" t="n">
        <v>53.900062</v>
      </c>
      <c r="Q14" t="n">
        <v>279.105978</v>
      </c>
      <c r="R14" t="n">
        <v>279.105978</v>
      </c>
      <c r="S14" t="n">
        <v>161.392314</v>
      </c>
      <c r="T14" t="n">
        <v>161.392314</v>
      </c>
      <c r="U14" t="n">
        <v>53.900062</v>
      </c>
      <c r="V14" t="n">
        <v>53.900062</v>
      </c>
      <c r="W14" t="n">
        <v>160.359883</v>
      </c>
      <c r="X14" t="n">
        <v>292.447725</v>
      </c>
    </row>
    <row r="15">
      <c r="A15" t="inlineStr">
        <is>
          <t>Micromesistius poutassou</t>
        </is>
      </c>
      <c r="B15" t="n">
        <v>4.13</v>
      </c>
      <c r="C15" t="n">
        <v>1348.962883</v>
      </c>
      <c r="D15" t="inlineStr">
        <is>
          <t>Large Pelagics</t>
        </is>
      </c>
      <c r="H15" t="n">
        <v>139.957891</v>
      </c>
      <c r="I15" t="n">
        <v>118.942542</v>
      </c>
      <c r="J15" t="n">
        <v>128.033231</v>
      </c>
      <c r="K15" t="n">
        <v>115.229908</v>
      </c>
      <c r="L15" t="n">
        <v>208.675232</v>
      </c>
      <c r="M15" t="n">
        <v>172.524137</v>
      </c>
      <c r="N15" t="n">
        <v>172.524137</v>
      </c>
      <c r="O15" t="n">
        <v>107.933606</v>
      </c>
      <c r="P15" t="n">
        <v>40.156364</v>
      </c>
      <c r="Q15" t="n">
        <v>172.524137</v>
      </c>
      <c r="R15" t="n">
        <v>172.524137</v>
      </c>
      <c r="S15" t="n">
        <v>107.933606</v>
      </c>
      <c r="T15" t="n">
        <v>107.933606</v>
      </c>
      <c r="U15" t="n">
        <v>40.156364</v>
      </c>
      <c r="V15" t="n">
        <v>40.156364</v>
      </c>
      <c r="W15" t="n">
        <v>107.778581</v>
      </c>
      <c r="X15" t="n">
        <v>174.242777</v>
      </c>
    </row>
    <row r="16">
      <c r="A16" t="inlineStr">
        <is>
          <t>Crangon crangon</t>
        </is>
      </c>
      <c r="B16" t="n">
        <v>3.19</v>
      </c>
      <c r="C16" t="n">
        <v>154.881662</v>
      </c>
      <c r="D16" t="inlineStr">
        <is>
          <t>Crustacea</t>
        </is>
      </c>
      <c r="H16" t="n">
        <v>24.212502</v>
      </c>
      <c r="I16" t="n">
        <v>19.703615</v>
      </c>
      <c r="J16" t="n">
        <v>19.736166</v>
      </c>
      <c r="K16" t="n">
        <v>15.986295</v>
      </c>
      <c r="L16" t="n">
        <v>47.671907</v>
      </c>
      <c r="M16" t="n">
        <v>28.050267</v>
      </c>
      <c r="N16" t="n">
        <v>28.050267</v>
      </c>
      <c r="O16" t="n">
        <v>17.385749</v>
      </c>
      <c r="P16" t="n">
        <v>8.183744000000001</v>
      </c>
      <c r="Q16" t="n">
        <v>28.050267</v>
      </c>
      <c r="R16" t="n">
        <v>28.050267</v>
      </c>
      <c r="S16" t="n">
        <v>17.385749</v>
      </c>
      <c r="T16" t="n">
        <v>17.385749</v>
      </c>
      <c r="U16" t="n">
        <v>8.183744000000001</v>
      </c>
      <c r="V16" t="n">
        <v>8.183744000000001</v>
      </c>
      <c r="W16" t="n">
        <v>17.597621</v>
      </c>
      <c r="X16" t="n">
        <v>27.987895</v>
      </c>
    </row>
    <row r="17">
      <c r="A17" t="inlineStr">
        <is>
          <t>Limanda limanda</t>
        </is>
      </c>
      <c r="B17" t="n">
        <v>3.29</v>
      </c>
      <c r="C17" t="n">
        <v>194.98446</v>
      </c>
      <c r="D17" t="inlineStr">
        <is>
          <t>Flatfishes</t>
        </is>
      </c>
      <c r="H17" t="n">
        <v>72.35890999999999</v>
      </c>
      <c r="I17" t="n">
        <v>55.101076</v>
      </c>
      <c r="J17" t="n">
        <v>56.599968</v>
      </c>
      <c r="K17" t="n">
        <v>51.50597</v>
      </c>
      <c r="L17" t="n">
        <v>114.167454</v>
      </c>
      <c r="M17" t="n">
        <v>73.440046</v>
      </c>
      <c r="N17" t="n">
        <v>73.440046</v>
      </c>
      <c r="O17" t="n">
        <v>45.479187</v>
      </c>
      <c r="P17" t="n">
        <v>17.967245</v>
      </c>
      <c r="Q17" t="n">
        <v>73.440046</v>
      </c>
      <c r="R17" t="n">
        <v>73.440046</v>
      </c>
      <c r="S17" t="n">
        <v>45.479187</v>
      </c>
      <c r="T17" t="n">
        <v>45.479187</v>
      </c>
      <c r="U17" t="n">
        <v>17.967245</v>
      </c>
      <c r="V17" t="n">
        <v>17.967245</v>
      </c>
      <c r="W17" t="n">
        <v>45.729526</v>
      </c>
      <c r="X17" t="n">
        <v>73.316087</v>
      </c>
    </row>
    <row r="18">
      <c r="A18" t="inlineStr">
        <is>
          <t>Mytilus edulis</t>
        </is>
      </c>
      <c r="B18" t="n">
        <v>2</v>
      </c>
      <c r="C18" t="n">
        <v>10</v>
      </c>
      <c r="D18" t="inlineStr">
        <is>
          <t>Epifauna</t>
        </is>
      </c>
      <c r="H18" t="n">
        <v>8.395077000000001</v>
      </c>
      <c r="I18" t="n">
        <v>5.225253</v>
      </c>
      <c r="J18" t="n">
        <v>5.225253</v>
      </c>
      <c r="K18" t="n">
        <v>4.598222</v>
      </c>
      <c r="L18" t="n">
        <v>10.950321</v>
      </c>
      <c r="M18" t="n">
        <v>5.811987</v>
      </c>
      <c r="N18" t="n">
        <v>5.811987</v>
      </c>
      <c r="O18" t="n">
        <v>4.520226</v>
      </c>
      <c r="P18" t="n">
        <v>2.746443</v>
      </c>
      <c r="Q18" t="n">
        <v>5.811987</v>
      </c>
      <c r="R18" t="n">
        <v>5.811987</v>
      </c>
      <c r="S18" t="n">
        <v>4.520226</v>
      </c>
      <c r="T18" t="n">
        <v>4.520226</v>
      </c>
      <c r="U18" t="n">
        <v>2.746443</v>
      </c>
      <c r="V18" t="n">
        <v>2.746443</v>
      </c>
      <c r="W18" t="n">
        <v>4.485747</v>
      </c>
      <c r="X18" t="n">
        <v>5.703863</v>
      </c>
    </row>
    <row r="19">
      <c r="A19" t="inlineStr">
        <is>
          <t>Marine finfishes not identified</t>
        </is>
      </c>
      <c r="B19" t="n">
        <v>3.23</v>
      </c>
      <c r="C19" t="n">
        <v>169.824365</v>
      </c>
      <c r="D19" t="inlineStr">
        <is>
          <t>Flatfishes | Monkfish | Large Dem. fish</t>
        </is>
      </c>
      <c r="H19" t="n">
        <v>106.560052</v>
      </c>
      <c r="I19" t="n">
        <v>82.572694</v>
      </c>
      <c r="J19" t="n">
        <v>85.399901</v>
      </c>
      <c r="K19" t="n">
        <v>78.66645699999999</v>
      </c>
      <c r="L19" t="n">
        <v>164.733434</v>
      </c>
      <c r="M19" t="n">
        <v>116.293474</v>
      </c>
      <c r="N19" t="n">
        <v>116.293474</v>
      </c>
      <c r="O19" t="n">
        <v>70.592995</v>
      </c>
      <c r="P19" t="n">
        <v>25.441846</v>
      </c>
      <c r="Q19" t="n">
        <v>116.293474</v>
      </c>
      <c r="R19" t="n">
        <v>116.293474</v>
      </c>
      <c r="S19" t="n">
        <v>70.592995</v>
      </c>
      <c r="T19" t="n">
        <v>70.592995</v>
      </c>
      <c r="U19" t="n">
        <v>25.441846</v>
      </c>
      <c r="V19" t="n">
        <v>25.441846</v>
      </c>
      <c r="W19" t="n">
        <v>71.252585</v>
      </c>
      <c r="X19" t="n">
        <v>116.988754</v>
      </c>
    </row>
    <row r="20">
      <c r="A20" t="inlineStr">
        <is>
          <t>Ammodytes marinus</t>
        </is>
      </c>
      <c r="D20" t="inlineStr">
        <is>
          <t>Small pelagics</t>
        </is>
      </c>
      <c r="H20" t="n">
        <v>47.986658</v>
      </c>
      <c r="I20" t="n">
        <v>23.215644</v>
      </c>
      <c r="J20" t="n">
        <v>23.303441</v>
      </c>
      <c r="K20" t="n">
        <v>20.507028</v>
      </c>
      <c r="L20" t="n">
        <v>37.444032</v>
      </c>
      <c r="M20" t="n">
        <v>31.413829</v>
      </c>
      <c r="N20" t="n">
        <v>31.413829</v>
      </c>
      <c r="O20" t="n">
        <v>21.233792</v>
      </c>
      <c r="P20" t="n">
        <v>9.36406</v>
      </c>
      <c r="Q20" t="n">
        <v>31.413829</v>
      </c>
      <c r="R20" t="n">
        <v>31.413829</v>
      </c>
      <c r="S20" t="n">
        <v>21.233792</v>
      </c>
      <c r="T20" t="n">
        <v>21.233792</v>
      </c>
      <c r="U20" t="n">
        <v>9.36406</v>
      </c>
      <c r="V20" t="n">
        <v>9.36406</v>
      </c>
      <c r="W20" t="n">
        <v>21.105884</v>
      </c>
      <c r="X20" t="n">
        <v>33.32407</v>
      </c>
    </row>
    <row r="21">
      <c r="A21" t="inlineStr">
        <is>
          <t>Trachurus trachurus</t>
        </is>
      </c>
      <c r="B21" t="n">
        <v>3.71</v>
      </c>
      <c r="C21" t="n">
        <v>512.861384</v>
      </c>
      <c r="D21" t="inlineStr">
        <is>
          <t>Large Pelagics</t>
        </is>
      </c>
      <c r="H21" t="n">
        <v>139.957891</v>
      </c>
      <c r="I21" t="n">
        <v>118.942542</v>
      </c>
      <c r="J21" t="n">
        <v>128.033231</v>
      </c>
      <c r="K21" t="n">
        <v>115.229908</v>
      </c>
      <c r="L21" t="n">
        <v>208.675232</v>
      </c>
      <c r="M21" t="n">
        <v>172.524137</v>
      </c>
      <c r="N21" t="n">
        <v>172.524137</v>
      </c>
      <c r="O21" t="n">
        <v>107.933606</v>
      </c>
      <c r="P21" t="n">
        <v>40.156364</v>
      </c>
      <c r="Q21" t="n">
        <v>172.524137</v>
      </c>
      <c r="R21" t="n">
        <v>172.524137</v>
      </c>
      <c r="S21" t="n">
        <v>107.933606</v>
      </c>
      <c r="T21" t="n">
        <v>107.933606</v>
      </c>
      <c r="U21" t="n">
        <v>40.156364</v>
      </c>
      <c r="V21" t="n">
        <v>40.156364</v>
      </c>
      <c r="W21" t="n">
        <v>107.778581</v>
      </c>
      <c r="X21" t="n">
        <v>174.242777</v>
      </c>
    </row>
    <row r="22">
      <c r="A22" t="inlineStr">
        <is>
          <t>Solea solea</t>
        </is>
      </c>
      <c r="B22" t="n">
        <v>3.21</v>
      </c>
      <c r="C22" t="n">
        <v>162.18101</v>
      </c>
      <c r="D22" t="inlineStr">
        <is>
          <t>Flatfishes</t>
        </is>
      </c>
      <c r="H22" t="n">
        <v>72.35890999999999</v>
      </c>
      <c r="I22" t="n">
        <v>55.101076</v>
      </c>
      <c r="J22" t="n">
        <v>56.599968</v>
      </c>
      <c r="K22" t="n">
        <v>51.50597</v>
      </c>
      <c r="L22" t="n">
        <v>114.167454</v>
      </c>
      <c r="M22" t="n">
        <v>73.440046</v>
      </c>
      <c r="N22" t="n">
        <v>73.440046</v>
      </c>
      <c r="O22" t="n">
        <v>45.479187</v>
      </c>
      <c r="P22" t="n">
        <v>17.967245</v>
      </c>
      <c r="Q22" t="n">
        <v>73.440046</v>
      </c>
      <c r="R22" t="n">
        <v>73.440046</v>
      </c>
      <c r="S22" t="n">
        <v>45.479187</v>
      </c>
      <c r="T22" t="n">
        <v>45.479187</v>
      </c>
      <c r="U22" t="n">
        <v>17.967245</v>
      </c>
      <c r="V22" t="n">
        <v>17.967245</v>
      </c>
      <c r="W22" t="n">
        <v>45.729526</v>
      </c>
      <c r="X22" t="n">
        <v>73.316087</v>
      </c>
    </row>
    <row r="23">
      <c r="A23" t="inlineStr">
        <is>
          <t>Cerastoderma edule</t>
        </is>
      </c>
      <c r="B23" t="n">
        <v>2</v>
      </c>
      <c r="C23" t="n">
        <v>10</v>
      </c>
      <c r="D23" t="inlineStr">
        <is>
          <t>Epifauna</t>
        </is>
      </c>
      <c r="H23" t="n">
        <v>8.395077000000001</v>
      </c>
      <c r="I23" t="n">
        <v>5.225253</v>
      </c>
      <c r="J23" t="n">
        <v>5.225253</v>
      </c>
      <c r="K23" t="n">
        <v>4.598222</v>
      </c>
      <c r="L23" t="n">
        <v>10.950321</v>
      </c>
      <c r="M23" t="n">
        <v>5.811987</v>
      </c>
      <c r="N23" t="n">
        <v>5.811987</v>
      </c>
      <c r="O23" t="n">
        <v>4.520226</v>
      </c>
      <c r="P23" t="n">
        <v>2.746443</v>
      </c>
      <c r="Q23" t="n">
        <v>5.811987</v>
      </c>
      <c r="R23" t="n">
        <v>5.811987</v>
      </c>
      <c r="S23" t="n">
        <v>4.520226</v>
      </c>
      <c r="T23" t="n">
        <v>4.520226</v>
      </c>
      <c r="U23" t="n">
        <v>2.746443</v>
      </c>
      <c r="V23" t="n">
        <v>2.746443</v>
      </c>
      <c r="W23" t="n">
        <v>4.485747</v>
      </c>
      <c r="X23" t="n">
        <v>5.703863</v>
      </c>
    </row>
    <row r="24">
      <c r="A24" t="inlineStr">
        <is>
          <t>Nephrops norvegicus</t>
        </is>
      </c>
      <c r="B24" t="n">
        <v>2.87</v>
      </c>
      <c r="C24" t="n">
        <v>74.131024</v>
      </c>
      <c r="D24" t="inlineStr">
        <is>
          <t>Crustacea</t>
        </is>
      </c>
      <c r="H24" t="n">
        <v>24.212502</v>
      </c>
      <c r="I24" t="n">
        <v>19.703615</v>
      </c>
      <c r="J24" t="n">
        <v>19.736166</v>
      </c>
      <c r="K24" t="n">
        <v>15.986295</v>
      </c>
      <c r="L24" t="n">
        <v>47.671907</v>
      </c>
      <c r="M24" t="n">
        <v>28.050267</v>
      </c>
      <c r="N24" t="n">
        <v>28.050267</v>
      </c>
      <c r="O24" t="n">
        <v>17.385749</v>
      </c>
      <c r="P24" t="n">
        <v>8.183744000000001</v>
      </c>
      <c r="Q24" t="n">
        <v>28.050267</v>
      </c>
      <c r="R24" t="n">
        <v>28.050267</v>
      </c>
      <c r="S24" t="n">
        <v>17.385749</v>
      </c>
      <c r="T24" t="n">
        <v>17.385749</v>
      </c>
      <c r="U24" t="n">
        <v>8.183744000000001</v>
      </c>
      <c r="V24" t="n">
        <v>8.183744000000001</v>
      </c>
      <c r="W24" t="n">
        <v>17.597621</v>
      </c>
      <c r="X24" t="n">
        <v>27.987895</v>
      </c>
    </row>
    <row r="25">
      <c r="A25" t="inlineStr">
        <is>
          <t>Squalus acanthias</t>
        </is>
      </c>
      <c r="B25" t="n">
        <v>4.37</v>
      </c>
      <c r="C25" t="n">
        <v>2344.228815</v>
      </c>
      <c r="D25" t="inlineStr">
        <is>
          <t>Sharks &amp; rays</t>
        </is>
      </c>
      <c r="H25" t="n">
        <v>233.624758</v>
      </c>
      <c r="I25" t="n">
        <v>492.26657</v>
      </c>
      <c r="J25" t="n">
        <v>510.78557</v>
      </c>
      <c r="K25" t="n">
        <v>219.637795</v>
      </c>
      <c r="L25" t="n">
        <v>1275.246638</v>
      </c>
      <c r="M25" t="n">
        <v>948.706608</v>
      </c>
      <c r="N25" t="n">
        <v>948.706608</v>
      </c>
      <c r="O25" t="n">
        <v>213.713009</v>
      </c>
      <c r="P25" t="n">
        <v>67.906436</v>
      </c>
      <c r="Q25" t="n">
        <v>948.706608</v>
      </c>
      <c r="R25" t="n">
        <v>948.706608</v>
      </c>
      <c r="S25" t="n">
        <v>213.713009</v>
      </c>
      <c r="T25" t="n">
        <v>213.713009</v>
      </c>
      <c r="U25" t="n">
        <v>67.906436</v>
      </c>
      <c r="V25" t="n">
        <v>67.906436</v>
      </c>
      <c r="W25" t="n">
        <v>220.688261</v>
      </c>
      <c r="X25" t="n">
        <v>981.457341</v>
      </c>
    </row>
    <row r="26">
      <c r="A26" t="inlineStr">
        <is>
          <t>Molva molva</t>
        </is>
      </c>
      <c r="B26" t="n">
        <v>4.4</v>
      </c>
      <c r="C26" t="n">
        <v>2511.886432</v>
      </c>
      <c r="D26" t="inlineStr">
        <is>
          <t>Ling</t>
        </is>
      </c>
      <c r="H26" t="n">
        <v>671.869338</v>
      </c>
      <c r="I26" t="n">
        <v>262.915833</v>
      </c>
      <c r="J26" t="n">
        <v>272.883721</v>
      </c>
      <c r="K26" t="n">
        <v>256.510697</v>
      </c>
      <c r="L26" t="n">
        <v>491.495581</v>
      </c>
      <c r="M26" t="n">
        <v>376.80735</v>
      </c>
      <c r="N26" t="n">
        <v>376.80735</v>
      </c>
      <c r="O26" t="n">
        <v>212.716202</v>
      </c>
      <c r="P26" t="n">
        <v>60.875963</v>
      </c>
      <c r="Q26" t="n">
        <v>376.80735</v>
      </c>
      <c r="R26" t="n">
        <v>376.80735</v>
      </c>
      <c r="S26" t="n">
        <v>212.716202</v>
      </c>
      <c r="T26" t="n">
        <v>212.716202</v>
      </c>
      <c r="U26" t="n">
        <v>60.875963</v>
      </c>
      <c r="V26" t="n">
        <v>60.875963</v>
      </c>
      <c r="W26" t="n">
        <v>216.736367</v>
      </c>
      <c r="X26" t="n">
        <v>419.755062</v>
      </c>
    </row>
    <row r="27">
      <c r="A27" t="inlineStr">
        <is>
          <t>Ammodytidae</t>
        </is>
      </c>
      <c r="D27" t="inlineStr">
        <is>
          <t>Small pelagics</t>
        </is>
      </c>
      <c r="H27" t="n">
        <v>47.986658</v>
      </c>
      <c r="I27" t="n">
        <v>23.215644</v>
      </c>
      <c r="J27" t="n">
        <v>23.303441</v>
      </c>
      <c r="K27" t="n">
        <v>20.507028</v>
      </c>
      <c r="L27" t="n">
        <v>37.444032</v>
      </c>
      <c r="M27" t="n">
        <v>31.413829</v>
      </c>
      <c r="N27" t="n">
        <v>31.413829</v>
      </c>
      <c r="O27" t="n">
        <v>21.233792</v>
      </c>
      <c r="P27" t="n">
        <v>9.36406</v>
      </c>
      <c r="Q27" t="n">
        <v>31.413829</v>
      </c>
      <c r="R27" t="n">
        <v>31.413829</v>
      </c>
      <c r="S27" t="n">
        <v>21.233792</v>
      </c>
      <c r="T27" t="n">
        <v>21.233792</v>
      </c>
      <c r="U27" t="n">
        <v>9.36406</v>
      </c>
      <c r="V27" t="n">
        <v>9.36406</v>
      </c>
      <c r="W27" t="n">
        <v>21.105884</v>
      </c>
      <c r="X27" t="n">
        <v>33.32407</v>
      </c>
    </row>
    <row r="28">
      <c r="A28" t="inlineStr">
        <is>
          <t>Cancer pagurus</t>
        </is>
      </c>
      <c r="B28" t="n">
        <v>3.1</v>
      </c>
      <c r="C28" t="n">
        <v>125.892541</v>
      </c>
      <c r="D28" t="inlineStr">
        <is>
          <t>Crustacea</t>
        </is>
      </c>
      <c r="H28" t="n">
        <v>24.212502</v>
      </c>
      <c r="I28" t="n">
        <v>19.703615</v>
      </c>
      <c r="J28" t="n">
        <v>19.736166</v>
      </c>
      <c r="K28" t="n">
        <v>15.986295</v>
      </c>
      <c r="L28" t="n">
        <v>47.671907</v>
      </c>
      <c r="M28" t="n">
        <v>28.050267</v>
      </c>
      <c r="N28" t="n">
        <v>28.050267</v>
      </c>
      <c r="O28" t="n">
        <v>17.385749</v>
      </c>
      <c r="P28" t="n">
        <v>8.183744000000001</v>
      </c>
      <c r="Q28" t="n">
        <v>28.050267</v>
      </c>
      <c r="R28" t="n">
        <v>28.050267</v>
      </c>
      <c r="S28" t="n">
        <v>17.385749</v>
      </c>
      <c r="T28" t="n">
        <v>17.385749</v>
      </c>
      <c r="U28" t="n">
        <v>8.183744000000001</v>
      </c>
      <c r="V28" t="n">
        <v>8.183744000000001</v>
      </c>
      <c r="W28" t="n">
        <v>17.597621</v>
      </c>
      <c r="X28" t="n">
        <v>27.987895</v>
      </c>
    </row>
    <row r="29">
      <c r="A29" t="inlineStr">
        <is>
          <t>Eutrigla gurnardus</t>
        </is>
      </c>
      <c r="B29" t="n">
        <v>3.87</v>
      </c>
      <c r="C29" t="n">
        <v>741.310241</v>
      </c>
      <c r="D29" t="inlineStr">
        <is>
          <t>Large Dem. fish</t>
        </is>
      </c>
      <c r="H29" t="n">
        <v>257.213239</v>
      </c>
      <c r="I29" t="n">
        <v>242.020787</v>
      </c>
      <c r="J29" t="n">
        <v>251.673548</v>
      </c>
      <c r="K29" t="n">
        <v>236.573135</v>
      </c>
      <c r="L29" t="n">
        <v>461.958282</v>
      </c>
      <c r="M29" t="n">
        <v>374.891707</v>
      </c>
      <c r="N29" t="n">
        <v>374.891707</v>
      </c>
      <c r="O29" t="n">
        <v>228.730494</v>
      </c>
      <c r="P29" t="n">
        <v>73.767325</v>
      </c>
      <c r="Q29" t="n">
        <v>374.891707</v>
      </c>
      <c r="R29" t="n">
        <v>374.891707</v>
      </c>
      <c r="S29" t="n">
        <v>228.730494</v>
      </c>
      <c r="T29" t="n">
        <v>228.730494</v>
      </c>
      <c r="U29" t="n">
        <v>73.767325</v>
      </c>
      <c r="V29" t="n">
        <v>73.767325</v>
      </c>
      <c r="W29" t="n">
        <v>231.104367</v>
      </c>
      <c r="X29" t="n">
        <v>381.526081</v>
      </c>
    </row>
    <row r="30">
      <c r="A30" t="inlineStr">
        <is>
          <t>Lophius piscatorius</t>
        </is>
      </c>
      <c r="B30" t="n">
        <v>4.45</v>
      </c>
      <c r="C30" t="n">
        <v>2818.382931</v>
      </c>
      <c r="D30" t="inlineStr">
        <is>
          <t>Monkfish</t>
        </is>
      </c>
      <c r="H30" t="n">
        <v>679.0741</v>
      </c>
      <c r="I30" t="n">
        <v>410.274318</v>
      </c>
      <c r="J30" t="n">
        <v>431.986567</v>
      </c>
      <c r="K30" t="n">
        <v>401.747507</v>
      </c>
      <c r="L30" t="n">
        <v>755.080363</v>
      </c>
      <c r="M30" t="n">
        <v>593.535437</v>
      </c>
      <c r="N30" t="n">
        <v>593.535437</v>
      </c>
      <c r="O30" t="n">
        <v>327.621545</v>
      </c>
      <c r="P30" t="n">
        <v>97.611602</v>
      </c>
      <c r="Q30" t="n">
        <v>593.535437</v>
      </c>
      <c r="R30" t="n">
        <v>593.535437</v>
      </c>
      <c r="S30" t="n">
        <v>327.621545</v>
      </c>
      <c r="T30" t="n">
        <v>327.621545</v>
      </c>
      <c r="U30" t="n">
        <v>97.611602</v>
      </c>
      <c r="V30" t="n">
        <v>97.611602</v>
      </c>
      <c r="W30" t="n">
        <v>335.435916</v>
      </c>
      <c r="X30" t="n">
        <v>599.931699</v>
      </c>
    </row>
    <row r="31">
      <c r="A31" t="inlineStr">
        <is>
          <t>Platichthys flesus</t>
        </is>
      </c>
      <c r="B31" t="n">
        <v>3.32</v>
      </c>
      <c r="C31" t="n">
        <v>208.929613</v>
      </c>
      <c r="D31" t="inlineStr">
        <is>
          <t>Flatfishes</t>
        </is>
      </c>
      <c r="H31" t="n">
        <v>72.35890999999999</v>
      </c>
      <c r="I31" t="n">
        <v>55.101076</v>
      </c>
      <c r="J31" t="n">
        <v>56.599968</v>
      </c>
      <c r="K31" t="n">
        <v>51.50597</v>
      </c>
      <c r="L31" t="n">
        <v>114.167454</v>
      </c>
      <c r="M31" t="n">
        <v>73.440046</v>
      </c>
      <c r="N31" t="n">
        <v>73.440046</v>
      </c>
      <c r="O31" t="n">
        <v>45.479187</v>
      </c>
      <c r="P31" t="n">
        <v>17.967245</v>
      </c>
      <c r="Q31" t="n">
        <v>73.440046</v>
      </c>
      <c r="R31" t="n">
        <v>73.440046</v>
      </c>
      <c r="S31" t="n">
        <v>45.479187</v>
      </c>
      <c r="T31" t="n">
        <v>45.479187</v>
      </c>
      <c r="U31" t="n">
        <v>17.967245</v>
      </c>
      <c r="V31" t="n">
        <v>17.967245</v>
      </c>
      <c r="W31" t="n">
        <v>45.729526</v>
      </c>
      <c r="X31" t="n">
        <v>73.316087</v>
      </c>
    </row>
    <row r="32">
      <c r="A32" t="inlineStr">
        <is>
          <t>Pandalus borealis</t>
        </is>
      </c>
      <c r="B32" t="n">
        <v>3.07</v>
      </c>
      <c r="C32" t="n">
        <v>117.489755</v>
      </c>
      <c r="D32" t="inlineStr">
        <is>
          <t>Crustacea</t>
        </is>
      </c>
      <c r="H32" t="n">
        <v>24.212502</v>
      </c>
      <c r="I32" t="n">
        <v>19.703615</v>
      </c>
      <c r="J32" t="n">
        <v>19.736166</v>
      </c>
      <c r="K32" t="n">
        <v>15.986295</v>
      </c>
      <c r="L32" t="n">
        <v>47.671907</v>
      </c>
      <c r="M32" t="n">
        <v>28.050267</v>
      </c>
      <c r="N32" t="n">
        <v>28.050267</v>
      </c>
      <c r="O32" t="n">
        <v>17.385749</v>
      </c>
      <c r="P32" t="n">
        <v>8.183744000000001</v>
      </c>
      <c r="Q32" t="n">
        <v>28.050267</v>
      </c>
      <c r="R32" t="n">
        <v>28.050267</v>
      </c>
      <c r="S32" t="n">
        <v>17.385749</v>
      </c>
      <c r="T32" t="n">
        <v>17.385749</v>
      </c>
      <c r="U32" t="n">
        <v>8.183744000000001</v>
      </c>
      <c r="V32" t="n">
        <v>8.183744000000001</v>
      </c>
      <c r="W32" t="n">
        <v>17.597621</v>
      </c>
      <c r="X32" t="n">
        <v>27.987895</v>
      </c>
    </row>
    <row r="33">
      <c r="A33" t="inlineStr">
        <is>
          <t>Coryphaenoides rupestris</t>
        </is>
      </c>
      <c r="B33" t="n">
        <v>3.54</v>
      </c>
      <c r="C33" t="n">
        <v>346.73685</v>
      </c>
      <c r="D33" t="inlineStr">
        <is>
          <t>Unresolved</t>
        </is>
      </c>
    </row>
    <row r="34">
      <c r="A34" t="inlineStr">
        <is>
          <t>Microstomus kitt</t>
        </is>
      </c>
      <c r="B34" t="n">
        <v>3.22</v>
      </c>
      <c r="C34" t="n">
        <v>165.958691</v>
      </c>
      <c r="D34" t="inlineStr">
        <is>
          <t>Flatfishes</t>
        </is>
      </c>
      <c r="H34" t="n">
        <v>72.35890999999999</v>
      </c>
      <c r="I34" t="n">
        <v>55.101076</v>
      </c>
      <c r="J34" t="n">
        <v>56.599968</v>
      </c>
      <c r="K34" t="n">
        <v>51.50597</v>
      </c>
      <c r="L34" t="n">
        <v>114.167454</v>
      </c>
      <c r="M34" t="n">
        <v>73.440046</v>
      </c>
      <c r="N34" t="n">
        <v>73.440046</v>
      </c>
      <c r="O34" t="n">
        <v>45.479187</v>
      </c>
      <c r="P34" t="n">
        <v>17.967245</v>
      </c>
      <c r="Q34" t="n">
        <v>73.440046</v>
      </c>
      <c r="R34" t="n">
        <v>73.440046</v>
      </c>
      <c r="S34" t="n">
        <v>45.479187</v>
      </c>
      <c r="T34" t="n">
        <v>45.479187</v>
      </c>
      <c r="U34" t="n">
        <v>17.967245</v>
      </c>
      <c r="V34" t="n">
        <v>17.967245</v>
      </c>
      <c r="W34" t="n">
        <v>45.729526</v>
      </c>
      <c r="X34" t="n">
        <v>73.316087</v>
      </c>
    </row>
    <row r="35">
      <c r="A35" t="inlineStr">
        <is>
          <t>Merluccius merluccius</t>
        </is>
      </c>
      <c r="B35" t="n">
        <v>4.42</v>
      </c>
      <c r="C35" t="n">
        <v>2630.267992</v>
      </c>
      <c r="D35" t="inlineStr">
        <is>
          <t>Hake</t>
        </is>
      </c>
      <c r="H35" t="n">
        <v>744.405669</v>
      </c>
      <c r="I35" t="n">
        <v>395.125726</v>
      </c>
      <c r="J35" t="n">
        <v>424.153179</v>
      </c>
      <c r="K35" t="n">
        <v>390.220925</v>
      </c>
      <c r="L35" t="n">
        <v>696.576775</v>
      </c>
      <c r="M35" t="n">
        <v>575.1156570000001</v>
      </c>
      <c r="N35" t="n">
        <v>575.1156570000001</v>
      </c>
      <c r="O35" t="n">
        <v>330.608517</v>
      </c>
      <c r="P35" t="n">
        <v>98.41734</v>
      </c>
      <c r="Q35" t="n">
        <v>575.1156570000001</v>
      </c>
      <c r="R35" t="n">
        <v>575.1156570000001</v>
      </c>
      <c r="S35" t="n">
        <v>330.608517</v>
      </c>
      <c r="T35" t="n">
        <v>330.608517</v>
      </c>
      <c r="U35" t="n">
        <v>98.41734</v>
      </c>
      <c r="V35" t="n">
        <v>98.41734</v>
      </c>
      <c r="W35" t="n">
        <v>333.080801</v>
      </c>
      <c r="X35" t="n">
        <v>598.584395</v>
      </c>
    </row>
    <row r="36">
      <c r="A36" t="inlineStr">
        <is>
          <t>Scophthalmus maximus</t>
        </is>
      </c>
      <c r="B36" t="n">
        <v>4.36</v>
      </c>
      <c r="C36" t="n">
        <v>2290.867653</v>
      </c>
      <c r="D36" t="inlineStr">
        <is>
          <t>Turbot</t>
        </is>
      </c>
      <c r="H36" t="n">
        <v>107.128481</v>
      </c>
      <c r="I36" t="n">
        <v>71.510611</v>
      </c>
      <c r="J36" t="n">
        <v>71.73789600000001</v>
      </c>
      <c r="K36" t="n">
        <v>58.825075</v>
      </c>
      <c r="L36" t="n">
        <v>148.298511</v>
      </c>
      <c r="M36" t="n">
        <v>96.269864</v>
      </c>
      <c r="N36" t="n">
        <v>96.269864</v>
      </c>
      <c r="O36" t="n">
        <v>52.284894</v>
      </c>
      <c r="P36" t="n">
        <v>19.979054</v>
      </c>
      <c r="Q36" t="n">
        <v>96.269864</v>
      </c>
      <c r="R36" t="n">
        <v>96.269864</v>
      </c>
      <c r="S36" t="n">
        <v>52.284894</v>
      </c>
      <c r="T36" t="n">
        <v>52.284894</v>
      </c>
      <c r="U36" t="n">
        <v>19.979054</v>
      </c>
      <c r="V36" t="n">
        <v>19.979054</v>
      </c>
      <c r="W36" t="n">
        <v>53.238467</v>
      </c>
      <c r="X36" t="n">
        <v>99.753683</v>
      </c>
    </row>
    <row r="37">
      <c r="A37" t="inlineStr">
        <is>
          <t>Raja</t>
        </is>
      </c>
      <c r="B37" t="n">
        <v>3.8</v>
      </c>
      <c r="C37" t="n">
        <v>630.957344</v>
      </c>
      <c r="D37" t="inlineStr">
        <is>
          <t>Sharks &amp; rays</t>
        </is>
      </c>
      <c r="H37" t="n">
        <v>233.624758</v>
      </c>
      <c r="I37" t="n">
        <v>492.26657</v>
      </c>
      <c r="J37" t="n">
        <v>510.78557</v>
      </c>
      <c r="K37" t="n">
        <v>219.637795</v>
      </c>
      <c r="L37" t="n">
        <v>1275.246638</v>
      </c>
      <c r="M37" t="n">
        <v>948.706608</v>
      </c>
      <c r="N37" t="n">
        <v>948.706608</v>
      </c>
      <c r="O37" t="n">
        <v>213.713009</v>
      </c>
      <c r="P37" t="n">
        <v>67.906436</v>
      </c>
      <c r="Q37" t="n">
        <v>948.706608</v>
      </c>
      <c r="R37" t="n">
        <v>948.706608</v>
      </c>
      <c r="S37" t="n">
        <v>213.713009</v>
      </c>
      <c r="T37" t="n">
        <v>213.713009</v>
      </c>
      <c r="U37" t="n">
        <v>67.906436</v>
      </c>
      <c r="V37" t="n">
        <v>67.906436</v>
      </c>
      <c r="W37" t="n">
        <v>220.688261</v>
      </c>
      <c r="X37" t="n">
        <v>981.457341</v>
      </c>
    </row>
    <row r="38">
      <c r="A38" t="inlineStr">
        <is>
          <t>Brosme brosme</t>
        </is>
      </c>
      <c r="B38" t="n">
        <v>3.9</v>
      </c>
      <c r="C38" t="n">
        <v>794.3282349999999</v>
      </c>
      <c r="D38" t="inlineStr">
        <is>
          <t>Large Dem. fish</t>
        </is>
      </c>
      <c r="H38" t="n">
        <v>257.213239</v>
      </c>
      <c r="I38" t="n">
        <v>242.020787</v>
      </c>
      <c r="J38" t="n">
        <v>251.673548</v>
      </c>
      <c r="K38" t="n">
        <v>236.573135</v>
      </c>
      <c r="L38" t="n">
        <v>461.958282</v>
      </c>
      <c r="M38" t="n">
        <v>374.891707</v>
      </c>
      <c r="N38" t="n">
        <v>374.891707</v>
      </c>
      <c r="O38" t="n">
        <v>228.730494</v>
      </c>
      <c r="P38" t="n">
        <v>73.767325</v>
      </c>
      <c r="Q38" t="n">
        <v>374.891707</v>
      </c>
      <c r="R38" t="n">
        <v>374.891707</v>
      </c>
      <c r="S38" t="n">
        <v>228.730494</v>
      </c>
      <c r="T38" t="n">
        <v>228.730494</v>
      </c>
      <c r="U38" t="n">
        <v>73.767325</v>
      </c>
      <c r="V38" t="n">
        <v>73.767325</v>
      </c>
      <c r="W38" t="n">
        <v>231.104367</v>
      </c>
      <c r="X38" t="n">
        <v>381.526081</v>
      </c>
    </row>
    <row r="39">
      <c r="A39" t="inlineStr">
        <is>
          <t>Glyptocephalus cynoglossus</t>
        </is>
      </c>
      <c r="B39" t="n">
        <v>3.17</v>
      </c>
      <c r="C39" t="n">
        <v>147.910839</v>
      </c>
      <c r="D39" t="inlineStr">
        <is>
          <t>Flatfishes</t>
        </is>
      </c>
      <c r="H39" t="n">
        <v>72.35890999999999</v>
      </c>
      <c r="I39" t="n">
        <v>55.101076</v>
      </c>
      <c r="J39" t="n">
        <v>56.599968</v>
      </c>
      <c r="K39" t="n">
        <v>51.50597</v>
      </c>
      <c r="L39" t="n">
        <v>114.167454</v>
      </c>
      <c r="M39" t="n">
        <v>73.440046</v>
      </c>
      <c r="N39" t="n">
        <v>73.440046</v>
      </c>
      <c r="O39" t="n">
        <v>45.479187</v>
      </c>
      <c r="P39" t="n">
        <v>17.967245</v>
      </c>
      <c r="Q39" t="n">
        <v>73.440046</v>
      </c>
      <c r="R39" t="n">
        <v>73.440046</v>
      </c>
      <c r="S39" t="n">
        <v>45.479187</v>
      </c>
      <c r="T39" t="n">
        <v>45.479187</v>
      </c>
      <c r="U39" t="n">
        <v>17.967245</v>
      </c>
      <c r="V39" t="n">
        <v>17.967245</v>
      </c>
      <c r="W39" t="n">
        <v>45.729526</v>
      </c>
      <c r="X39" t="n">
        <v>73.316087</v>
      </c>
    </row>
    <row r="40">
      <c r="A40" t="inlineStr">
        <is>
          <t>Asterias rubens</t>
        </is>
      </c>
      <c r="B40" t="n">
        <v>3</v>
      </c>
      <c r="C40" t="n">
        <v>100</v>
      </c>
      <c r="D40" t="inlineStr">
        <is>
          <t>Epifauna</t>
        </is>
      </c>
      <c r="H40" t="n">
        <v>8.395077000000001</v>
      </c>
      <c r="I40" t="n">
        <v>5.225253</v>
      </c>
      <c r="J40" t="n">
        <v>5.225253</v>
      </c>
      <c r="K40" t="n">
        <v>4.598222</v>
      </c>
      <c r="L40" t="n">
        <v>10.950321</v>
      </c>
      <c r="M40" t="n">
        <v>5.811987</v>
      </c>
      <c r="N40" t="n">
        <v>5.811987</v>
      </c>
      <c r="O40" t="n">
        <v>4.520226</v>
      </c>
      <c r="P40" t="n">
        <v>2.746443</v>
      </c>
      <c r="Q40" t="n">
        <v>5.811987</v>
      </c>
      <c r="R40" t="n">
        <v>5.811987</v>
      </c>
      <c r="S40" t="n">
        <v>4.520226</v>
      </c>
      <c r="T40" t="n">
        <v>4.520226</v>
      </c>
      <c r="U40" t="n">
        <v>2.746443</v>
      </c>
      <c r="V40" t="n">
        <v>2.746443</v>
      </c>
      <c r="W40" t="n">
        <v>4.485747</v>
      </c>
      <c r="X40" t="n">
        <v>5.703863</v>
      </c>
    </row>
    <row r="41">
      <c r="A41" t="inlineStr">
        <is>
          <t>Buccinum undatum</t>
        </is>
      </c>
      <c r="B41" t="n">
        <v>3.75</v>
      </c>
      <c r="C41" t="n">
        <v>562.341325</v>
      </c>
      <c r="D41" t="inlineStr">
        <is>
          <t>Epifauna</t>
        </is>
      </c>
      <c r="H41" t="n">
        <v>8.395077000000001</v>
      </c>
      <c r="I41" t="n">
        <v>5.225253</v>
      </c>
      <c r="J41" t="n">
        <v>5.225253</v>
      </c>
      <c r="K41" t="n">
        <v>4.598222</v>
      </c>
      <c r="L41" t="n">
        <v>10.950321</v>
      </c>
      <c r="M41" t="n">
        <v>5.811987</v>
      </c>
      <c r="N41" t="n">
        <v>5.811987</v>
      </c>
      <c r="O41" t="n">
        <v>4.520226</v>
      </c>
      <c r="P41" t="n">
        <v>2.746443</v>
      </c>
      <c r="Q41" t="n">
        <v>5.811987</v>
      </c>
      <c r="R41" t="n">
        <v>5.811987</v>
      </c>
      <c r="S41" t="n">
        <v>4.520226</v>
      </c>
      <c r="T41" t="n">
        <v>4.520226</v>
      </c>
      <c r="U41" t="n">
        <v>2.746443</v>
      </c>
      <c r="V41" t="n">
        <v>2.746443</v>
      </c>
      <c r="W41" t="n">
        <v>4.485747</v>
      </c>
      <c r="X41" t="n">
        <v>5.703863</v>
      </c>
    </row>
    <row r="42">
      <c r="A42" t="inlineStr">
        <is>
          <t>Triglidae</t>
        </is>
      </c>
      <c r="B42" t="n">
        <v>3.74</v>
      </c>
      <c r="C42" t="n">
        <v>549.540874</v>
      </c>
      <c r="D42" t="inlineStr">
        <is>
          <t>Large Dem. fish</t>
        </is>
      </c>
      <c r="H42" t="n">
        <v>257.213239</v>
      </c>
      <c r="I42" t="n">
        <v>242.020787</v>
      </c>
      <c r="J42" t="n">
        <v>251.673548</v>
      </c>
      <c r="K42" t="n">
        <v>236.573135</v>
      </c>
      <c r="L42" t="n">
        <v>461.958282</v>
      </c>
      <c r="M42" t="n">
        <v>374.891707</v>
      </c>
      <c r="N42" t="n">
        <v>374.891707</v>
      </c>
      <c r="O42" t="n">
        <v>228.730494</v>
      </c>
      <c r="P42" t="n">
        <v>73.767325</v>
      </c>
      <c r="Q42" t="n">
        <v>374.891707</v>
      </c>
      <c r="R42" t="n">
        <v>374.891707</v>
      </c>
      <c r="S42" t="n">
        <v>228.730494</v>
      </c>
      <c r="T42" t="n">
        <v>228.730494</v>
      </c>
      <c r="U42" t="n">
        <v>73.767325</v>
      </c>
      <c r="V42" t="n">
        <v>73.767325</v>
      </c>
      <c r="W42" t="n">
        <v>231.104367</v>
      </c>
      <c r="X42" t="n">
        <v>381.526081</v>
      </c>
    </row>
    <row r="43">
      <c r="A43" t="inlineStr">
        <is>
          <t>Sardina pilchardus</t>
        </is>
      </c>
      <c r="B43" t="n">
        <v>3.06</v>
      </c>
      <c r="C43" t="n">
        <v>114.815362</v>
      </c>
      <c r="D43" t="inlineStr">
        <is>
          <t>Small pelagics</t>
        </is>
      </c>
      <c r="H43" t="n">
        <v>47.986658</v>
      </c>
      <c r="I43" t="n">
        <v>23.215644</v>
      </c>
      <c r="J43" t="n">
        <v>23.303441</v>
      </c>
      <c r="K43" t="n">
        <v>20.507028</v>
      </c>
      <c r="L43" t="n">
        <v>37.444032</v>
      </c>
      <c r="M43" t="n">
        <v>31.413829</v>
      </c>
      <c r="N43" t="n">
        <v>31.413829</v>
      </c>
      <c r="O43" t="n">
        <v>21.233792</v>
      </c>
      <c r="P43" t="n">
        <v>9.36406</v>
      </c>
      <c r="Q43" t="n">
        <v>31.413829</v>
      </c>
      <c r="R43" t="n">
        <v>31.413829</v>
      </c>
      <c r="S43" t="n">
        <v>21.233792</v>
      </c>
      <c r="T43" t="n">
        <v>21.233792</v>
      </c>
      <c r="U43" t="n">
        <v>9.36406</v>
      </c>
      <c r="V43" t="n">
        <v>9.36406</v>
      </c>
      <c r="W43" t="n">
        <v>21.105884</v>
      </c>
      <c r="X43" t="n">
        <v>33.32407</v>
      </c>
    </row>
    <row r="44">
      <c r="A44" t="inlineStr">
        <is>
          <t>Pecten maximus</t>
        </is>
      </c>
      <c r="B44" t="n">
        <v>2</v>
      </c>
      <c r="C44" t="n">
        <v>10</v>
      </c>
      <c r="D44" t="inlineStr">
        <is>
          <t>Epifauna</t>
        </is>
      </c>
      <c r="H44" t="n">
        <v>8.395077000000001</v>
      </c>
      <c r="I44" t="n">
        <v>5.225253</v>
      </c>
      <c r="J44" t="n">
        <v>5.225253</v>
      </c>
      <c r="K44" t="n">
        <v>4.598222</v>
      </c>
      <c r="L44" t="n">
        <v>10.950321</v>
      </c>
      <c r="M44" t="n">
        <v>5.811987</v>
      </c>
      <c r="N44" t="n">
        <v>5.811987</v>
      </c>
      <c r="O44" t="n">
        <v>4.520226</v>
      </c>
      <c r="P44" t="n">
        <v>2.746443</v>
      </c>
      <c r="Q44" t="n">
        <v>5.811987</v>
      </c>
      <c r="R44" t="n">
        <v>5.811987</v>
      </c>
      <c r="S44" t="n">
        <v>4.520226</v>
      </c>
      <c r="T44" t="n">
        <v>4.520226</v>
      </c>
      <c r="U44" t="n">
        <v>2.746443</v>
      </c>
      <c r="V44" t="n">
        <v>2.746443</v>
      </c>
      <c r="W44" t="n">
        <v>4.485747</v>
      </c>
      <c r="X44" t="n">
        <v>5.703863</v>
      </c>
    </row>
    <row r="45">
      <c r="A45" t="inlineStr">
        <is>
          <t>Pollachius pollachius</t>
        </is>
      </c>
      <c r="B45" t="n">
        <v>4.32</v>
      </c>
      <c r="C45" t="n">
        <v>2089.296131</v>
      </c>
      <c r="D45" t="inlineStr">
        <is>
          <t>Large Dem. fish</t>
        </is>
      </c>
      <c r="H45" t="n">
        <v>257.213239</v>
      </c>
      <c r="I45" t="n">
        <v>242.020787</v>
      </c>
      <c r="J45" t="n">
        <v>251.673548</v>
      </c>
      <c r="K45" t="n">
        <v>236.573135</v>
      </c>
      <c r="L45" t="n">
        <v>461.958282</v>
      </c>
      <c r="M45" t="n">
        <v>374.891707</v>
      </c>
      <c r="N45" t="n">
        <v>374.891707</v>
      </c>
      <c r="O45" t="n">
        <v>228.730494</v>
      </c>
      <c r="P45" t="n">
        <v>73.767325</v>
      </c>
      <c r="Q45" t="n">
        <v>374.891707</v>
      </c>
      <c r="R45" t="n">
        <v>374.891707</v>
      </c>
      <c r="S45" t="n">
        <v>228.730494</v>
      </c>
      <c r="T45" t="n">
        <v>228.730494</v>
      </c>
      <c r="U45" t="n">
        <v>73.767325</v>
      </c>
      <c r="V45" t="n">
        <v>73.767325</v>
      </c>
      <c r="W45" t="n">
        <v>231.104367</v>
      </c>
      <c r="X45" t="n">
        <v>381.526081</v>
      </c>
    </row>
    <row r="46">
      <c r="A46" t="inlineStr">
        <is>
          <t>Asterozoa</t>
        </is>
      </c>
      <c r="B46" t="n">
        <v>2.38</v>
      </c>
      <c r="C46" t="n">
        <v>23.988329</v>
      </c>
      <c r="D46" t="inlineStr">
        <is>
          <t>Epifauna</t>
        </is>
      </c>
      <c r="H46" t="n">
        <v>8.395077000000001</v>
      </c>
      <c r="I46" t="n">
        <v>5.225253</v>
      </c>
      <c r="J46" t="n">
        <v>5.225253</v>
      </c>
      <c r="K46" t="n">
        <v>4.598222</v>
      </c>
      <c r="L46" t="n">
        <v>10.950321</v>
      </c>
      <c r="M46" t="n">
        <v>5.811987</v>
      </c>
      <c r="N46" t="n">
        <v>5.811987</v>
      </c>
      <c r="O46" t="n">
        <v>4.520226</v>
      </c>
      <c r="P46" t="n">
        <v>2.746443</v>
      </c>
      <c r="Q46" t="n">
        <v>5.811987</v>
      </c>
      <c r="R46" t="n">
        <v>5.811987</v>
      </c>
      <c r="S46" t="n">
        <v>4.520226</v>
      </c>
      <c r="T46" t="n">
        <v>4.520226</v>
      </c>
      <c r="U46" t="n">
        <v>2.746443</v>
      </c>
      <c r="V46" t="n">
        <v>2.746443</v>
      </c>
      <c r="W46" t="n">
        <v>4.485747</v>
      </c>
      <c r="X46" t="n">
        <v>5.703863</v>
      </c>
    </row>
    <row r="47">
      <c r="A47" t="inlineStr">
        <is>
          <t>Elasmobranchii</t>
        </is>
      </c>
      <c r="B47" t="n">
        <v>4.05</v>
      </c>
      <c r="C47" t="n">
        <v>1122.018454</v>
      </c>
      <c r="D47" t="inlineStr">
        <is>
          <t>Sharks &amp; rays</t>
        </is>
      </c>
      <c r="H47" t="n">
        <v>233.624758</v>
      </c>
      <c r="I47" t="n">
        <v>492.26657</v>
      </c>
      <c r="J47" t="n">
        <v>510.78557</v>
      </c>
      <c r="K47" t="n">
        <v>219.637795</v>
      </c>
      <c r="L47" t="n">
        <v>1275.246638</v>
      </c>
      <c r="M47" t="n">
        <v>948.706608</v>
      </c>
      <c r="N47" t="n">
        <v>948.706608</v>
      </c>
      <c r="O47" t="n">
        <v>213.713009</v>
      </c>
      <c r="P47" t="n">
        <v>67.906436</v>
      </c>
      <c r="Q47" t="n">
        <v>948.706608</v>
      </c>
      <c r="R47" t="n">
        <v>948.706608</v>
      </c>
      <c r="S47" t="n">
        <v>213.713009</v>
      </c>
      <c r="T47" t="n">
        <v>213.713009</v>
      </c>
      <c r="U47" t="n">
        <v>67.906436</v>
      </c>
      <c r="V47" t="n">
        <v>67.906436</v>
      </c>
      <c r="W47" t="n">
        <v>220.688261</v>
      </c>
      <c r="X47" t="n">
        <v>981.457341</v>
      </c>
    </row>
    <row r="48">
      <c r="A48" t="inlineStr">
        <is>
          <t>Miscellaneous aquatic invertebrates</t>
        </is>
      </c>
      <c r="B48" t="n">
        <v>2.43</v>
      </c>
      <c r="C48" t="n">
        <v>26.915348</v>
      </c>
      <c r="D48" t="inlineStr">
        <is>
          <t>Infauna | Epifauna</t>
        </is>
      </c>
      <c r="H48" t="n">
        <v>8.314472</v>
      </c>
      <c r="I48" t="n">
        <v>5.178214</v>
      </c>
      <c r="J48" t="n">
        <v>5.178214</v>
      </c>
      <c r="K48" t="n">
        <v>4.557145</v>
      </c>
      <c r="L48" t="n">
        <v>10.865076</v>
      </c>
      <c r="M48" t="n">
        <v>5.757961</v>
      </c>
      <c r="N48" t="n">
        <v>5.757961</v>
      </c>
      <c r="O48" t="n">
        <v>4.480145</v>
      </c>
      <c r="P48" t="n">
        <v>2.724832</v>
      </c>
      <c r="Q48" t="n">
        <v>5.757961</v>
      </c>
      <c r="R48" t="n">
        <v>5.757961</v>
      </c>
      <c r="S48" t="n">
        <v>4.480145</v>
      </c>
      <c r="T48" t="n">
        <v>4.480145</v>
      </c>
      <c r="U48" t="n">
        <v>2.724832</v>
      </c>
      <c r="V48" t="n">
        <v>2.724832</v>
      </c>
      <c r="W48" t="n">
        <v>4.445863</v>
      </c>
      <c r="X48" t="n">
        <v>5.651401</v>
      </c>
    </row>
    <row r="49">
      <c r="A49" t="inlineStr">
        <is>
          <t>Anguilla anguilla</t>
        </is>
      </c>
      <c r="B49" t="n">
        <v>3.55</v>
      </c>
      <c r="C49" t="n">
        <v>354.813389</v>
      </c>
      <c r="D49" t="inlineStr">
        <is>
          <t>Unresolved</t>
        </is>
      </c>
    </row>
    <row r="50">
      <c r="A50" t="inlineStr">
        <is>
          <t>Squalidae</t>
        </is>
      </c>
      <c r="B50" t="n">
        <v>4.23</v>
      </c>
      <c r="C50" t="n">
        <v>1698.243652</v>
      </c>
      <c r="D50" t="inlineStr">
        <is>
          <t>Sharks &amp; rays</t>
        </is>
      </c>
      <c r="H50" t="n">
        <v>233.624758</v>
      </c>
      <c r="I50" t="n">
        <v>492.26657</v>
      </c>
      <c r="J50" t="n">
        <v>510.78557</v>
      </c>
      <c r="K50" t="n">
        <v>219.637795</v>
      </c>
      <c r="L50" t="n">
        <v>1275.246638</v>
      </c>
      <c r="M50" t="n">
        <v>948.706608</v>
      </c>
      <c r="N50" t="n">
        <v>948.706608</v>
      </c>
      <c r="O50" t="n">
        <v>213.713009</v>
      </c>
      <c r="P50" t="n">
        <v>67.906436</v>
      </c>
      <c r="Q50" t="n">
        <v>948.706608</v>
      </c>
      <c r="R50" t="n">
        <v>948.706608</v>
      </c>
      <c r="S50" t="n">
        <v>213.713009</v>
      </c>
      <c r="T50" t="n">
        <v>213.713009</v>
      </c>
      <c r="U50" t="n">
        <v>67.906436</v>
      </c>
      <c r="V50" t="n">
        <v>67.906436</v>
      </c>
      <c r="W50" t="n">
        <v>220.688261</v>
      </c>
      <c r="X50" t="n">
        <v>981.457341</v>
      </c>
    </row>
    <row r="51">
      <c r="A51" t="inlineStr">
        <is>
          <t>Cyclopterus lumpus</t>
        </is>
      </c>
      <c r="B51" t="n">
        <v>3.89</v>
      </c>
      <c r="C51" t="n">
        <v>776.247117</v>
      </c>
      <c r="D51" t="inlineStr">
        <is>
          <t>Large Dem. fish</t>
        </is>
      </c>
      <c r="H51" t="n">
        <v>257.213239</v>
      </c>
      <c r="I51" t="n">
        <v>242.020787</v>
      </c>
      <c r="J51" t="n">
        <v>251.673548</v>
      </c>
      <c r="K51" t="n">
        <v>236.573135</v>
      </c>
      <c r="L51" t="n">
        <v>461.958282</v>
      </c>
      <c r="M51" t="n">
        <v>374.891707</v>
      </c>
      <c r="N51" t="n">
        <v>374.891707</v>
      </c>
      <c r="O51" t="n">
        <v>228.730494</v>
      </c>
      <c r="P51" t="n">
        <v>73.767325</v>
      </c>
      <c r="Q51" t="n">
        <v>374.891707</v>
      </c>
      <c r="R51" t="n">
        <v>374.891707</v>
      </c>
      <c r="S51" t="n">
        <v>228.730494</v>
      </c>
      <c r="T51" t="n">
        <v>228.730494</v>
      </c>
      <c r="U51" t="n">
        <v>73.767325</v>
      </c>
      <c r="V51" t="n">
        <v>73.767325</v>
      </c>
      <c r="W51" t="n">
        <v>231.104367</v>
      </c>
      <c r="X51" t="n">
        <v>381.526081</v>
      </c>
    </row>
    <row r="52">
      <c r="A52" t="inlineStr">
        <is>
          <t>Thunnus thynnus</t>
        </is>
      </c>
      <c r="B52" t="n">
        <v>4.45</v>
      </c>
      <c r="C52" t="n">
        <v>2818.382931</v>
      </c>
      <c r="D52" t="inlineStr">
        <is>
          <t>Unresolved</t>
        </is>
      </c>
    </row>
    <row r="53">
      <c r="A53" t="inlineStr">
        <is>
          <t>Marine pelagic fishes not identified</t>
        </is>
      </c>
      <c r="B53" t="n">
        <v>3.35</v>
      </c>
      <c r="C53" t="n">
        <v>223.872114</v>
      </c>
      <c r="D53" t="inlineStr">
        <is>
          <t>Small pelagics | Large Pelagics</t>
        </is>
      </c>
      <c r="H53" t="n">
        <v>90.80338</v>
      </c>
      <c r="I53" t="n">
        <v>67.780796</v>
      </c>
      <c r="J53" t="n">
        <v>72.059842</v>
      </c>
      <c r="K53" t="n">
        <v>64.604765</v>
      </c>
      <c r="L53" t="n">
        <v>117.159813</v>
      </c>
      <c r="M53" t="n">
        <v>97.106988</v>
      </c>
      <c r="N53" t="n">
        <v>97.106988</v>
      </c>
      <c r="O53" t="n">
        <v>61.596433</v>
      </c>
      <c r="P53" t="n">
        <v>23.699255</v>
      </c>
      <c r="Q53" t="n">
        <v>97.106988</v>
      </c>
      <c r="R53" t="n">
        <v>97.106988</v>
      </c>
      <c r="S53" t="n">
        <v>61.596433</v>
      </c>
      <c r="T53" t="n">
        <v>61.596433</v>
      </c>
      <c r="U53" t="n">
        <v>23.699255</v>
      </c>
      <c r="V53" t="n">
        <v>23.699255</v>
      </c>
      <c r="W53" t="n">
        <v>61.455901</v>
      </c>
      <c r="X53" t="n">
        <v>98.92803000000001</v>
      </c>
    </row>
    <row r="54">
      <c r="A54" t="inlineStr">
        <is>
          <t>Carcinus maenas</t>
        </is>
      </c>
      <c r="B54" t="n">
        <v>3.5</v>
      </c>
      <c r="C54" t="n">
        <v>316.227766</v>
      </c>
      <c r="D54" t="inlineStr">
        <is>
          <t>Crustacea</t>
        </is>
      </c>
      <c r="H54" t="n">
        <v>24.212502</v>
      </c>
      <c r="I54" t="n">
        <v>19.703615</v>
      </c>
      <c r="J54" t="n">
        <v>19.736166</v>
      </c>
      <c r="K54" t="n">
        <v>15.986295</v>
      </c>
      <c r="L54" t="n">
        <v>47.671907</v>
      </c>
      <c r="M54" t="n">
        <v>28.050267</v>
      </c>
      <c r="N54" t="n">
        <v>28.050267</v>
      </c>
      <c r="O54" t="n">
        <v>17.385749</v>
      </c>
      <c r="P54" t="n">
        <v>8.183744000000001</v>
      </c>
      <c r="Q54" t="n">
        <v>28.050267</v>
      </c>
      <c r="R54" t="n">
        <v>28.050267</v>
      </c>
      <c r="S54" t="n">
        <v>17.385749</v>
      </c>
      <c r="T54" t="n">
        <v>17.385749</v>
      </c>
      <c r="U54" t="n">
        <v>8.183744000000001</v>
      </c>
      <c r="V54" t="n">
        <v>8.183744000000001</v>
      </c>
      <c r="W54" t="n">
        <v>17.597621</v>
      </c>
      <c r="X54" t="n">
        <v>27.987895</v>
      </c>
    </row>
    <row r="55">
      <c r="A55" t="inlineStr">
        <is>
          <t>Rajiformes</t>
        </is>
      </c>
      <c r="B55" t="n">
        <v>3.61</v>
      </c>
      <c r="C55" t="n">
        <v>407.380278</v>
      </c>
      <c r="D55" t="inlineStr">
        <is>
          <t>Sharks &amp; rays</t>
        </is>
      </c>
      <c r="H55" t="n">
        <v>233.624758</v>
      </c>
      <c r="I55" t="n">
        <v>492.26657</v>
      </c>
      <c r="J55" t="n">
        <v>510.78557</v>
      </c>
      <c r="K55" t="n">
        <v>219.637795</v>
      </c>
      <c r="L55" t="n">
        <v>1275.246638</v>
      </c>
      <c r="M55" t="n">
        <v>948.706608</v>
      </c>
      <c r="N55" t="n">
        <v>948.706608</v>
      </c>
      <c r="O55" t="n">
        <v>213.713009</v>
      </c>
      <c r="P55" t="n">
        <v>67.906436</v>
      </c>
      <c r="Q55" t="n">
        <v>948.706608</v>
      </c>
      <c r="R55" t="n">
        <v>948.706608</v>
      </c>
      <c r="S55" t="n">
        <v>213.713009</v>
      </c>
      <c r="T55" t="n">
        <v>213.713009</v>
      </c>
      <c r="U55" t="n">
        <v>67.906436</v>
      </c>
      <c r="V55" t="n">
        <v>67.906436</v>
      </c>
      <c r="W55" t="n">
        <v>220.688261</v>
      </c>
      <c r="X55" t="n">
        <v>981.457341</v>
      </c>
    </row>
    <row r="56">
      <c r="A56" t="inlineStr">
        <is>
          <t>Buglossidium luteum</t>
        </is>
      </c>
      <c r="B56" t="n">
        <v>3.31</v>
      </c>
      <c r="C56" t="n">
        <v>204.173794</v>
      </c>
      <c r="D56" t="inlineStr">
        <is>
          <t>Flatfishes</t>
        </is>
      </c>
      <c r="H56" t="n">
        <v>72.35890999999999</v>
      </c>
      <c r="I56" t="n">
        <v>55.101076</v>
      </c>
      <c r="J56" t="n">
        <v>56.599968</v>
      </c>
      <c r="K56" t="n">
        <v>51.50597</v>
      </c>
      <c r="L56" t="n">
        <v>114.167454</v>
      </c>
      <c r="M56" t="n">
        <v>73.440046</v>
      </c>
      <c r="N56" t="n">
        <v>73.440046</v>
      </c>
      <c r="O56" t="n">
        <v>45.479187</v>
      </c>
      <c r="P56" t="n">
        <v>17.967245</v>
      </c>
      <c r="Q56" t="n">
        <v>73.440046</v>
      </c>
      <c r="R56" t="n">
        <v>73.440046</v>
      </c>
      <c r="S56" t="n">
        <v>45.479187</v>
      </c>
      <c r="T56" t="n">
        <v>45.479187</v>
      </c>
      <c r="U56" t="n">
        <v>17.967245</v>
      </c>
      <c r="V56" t="n">
        <v>17.967245</v>
      </c>
      <c r="W56" t="n">
        <v>45.729526</v>
      </c>
      <c r="X56" t="n">
        <v>73.316087</v>
      </c>
    </row>
    <row r="57">
      <c r="A57" t="inlineStr">
        <is>
          <t>Trisopterus luscus</t>
        </is>
      </c>
      <c r="B57" t="n">
        <v>3.73</v>
      </c>
      <c r="C57" t="n">
        <v>537.031796</v>
      </c>
      <c r="D57" t="inlineStr">
        <is>
          <t>Small pelagics</t>
        </is>
      </c>
      <c r="H57" t="n">
        <v>47.986658</v>
      </c>
      <c r="I57" t="n">
        <v>23.215644</v>
      </c>
      <c r="J57" t="n">
        <v>23.303441</v>
      </c>
      <c r="K57" t="n">
        <v>20.507028</v>
      </c>
      <c r="L57" t="n">
        <v>37.444032</v>
      </c>
      <c r="M57" t="n">
        <v>31.413829</v>
      </c>
      <c r="N57" t="n">
        <v>31.413829</v>
      </c>
      <c r="O57" t="n">
        <v>21.233792</v>
      </c>
      <c r="P57" t="n">
        <v>9.36406</v>
      </c>
      <c r="Q57" t="n">
        <v>31.413829</v>
      </c>
      <c r="R57" t="n">
        <v>31.413829</v>
      </c>
      <c r="S57" t="n">
        <v>21.233792</v>
      </c>
      <c r="T57" t="n">
        <v>21.233792</v>
      </c>
      <c r="U57" t="n">
        <v>9.36406</v>
      </c>
      <c r="V57" t="n">
        <v>9.36406</v>
      </c>
      <c r="W57" t="n">
        <v>21.105884</v>
      </c>
      <c r="X57" t="n">
        <v>33.32407</v>
      </c>
    </row>
    <row r="58">
      <c r="A58" t="inlineStr">
        <is>
          <t>Miscellaneous marine crustaceans</t>
        </is>
      </c>
      <c r="B58" t="n">
        <v>2.7</v>
      </c>
      <c r="C58" t="n">
        <v>50.118723</v>
      </c>
      <c r="D58" t="inlineStr">
        <is>
          <t>Crustacea</t>
        </is>
      </c>
      <c r="H58" t="n">
        <v>24.212502</v>
      </c>
      <c r="I58" t="n">
        <v>19.703615</v>
      </c>
      <c r="J58" t="n">
        <v>19.736166</v>
      </c>
      <c r="K58" t="n">
        <v>15.986295</v>
      </c>
      <c r="L58" t="n">
        <v>47.671907</v>
      </c>
      <c r="M58" t="n">
        <v>28.050267</v>
      </c>
      <c r="N58" t="n">
        <v>28.050267</v>
      </c>
      <c r="O58" t="n">
        <v>17.385749</v>
      </c>
      <c r="P58" t="n">
        <v>8.183744000000001</v>
      </c>
      <c r="Q58" t="n">
        <v>28.050267</v>
      </c>
      <c r="R58" t="n">
        <v>28.050267</v>
      </c>
      <c r="S58" t="n">
        <v>17.385749</v>
      </c>
      <c r="T58" t="n">
        <v>17.385749</v>
      </c>
      <c r="U58" t="n">
        <v>8.183744000000001</v>
      </c>
      <c r="V58" t="n">
        <v>8.183744000000001</v>
      </c>
      <c r="W58" t="n">
        <v>17.597621</v>
      </c>
      <c r="X58" t="n">
        <v>27.987895</v>
      </c>
    </row>
    <row r="59">
      <c r="A59" t="inlineStr">
        <is>
          <t>Chelidonichthys lucerna</t>
        </is>
      </c>
      <c r="B59" t="n">
        <v>3.98</v>
      </c>
      <c r="C59" t="n">
        <v>954.992586</v>
      </c>
      <c r="D59" t="inlineStr">
        <is>
          <t>Large Dem. fish</t>
        </is>
      </c>
      <c r="H59" t="n">
        <v>257.213239</v>
      </c>
      <c r="I59" t="n">
        <v>242.020787</v>
      </c>
      <c r="J59" t="n">
        <v>251.673548</v>
      </c>
      <c r="K59" t="n">
        <v>236.573135</v>
      </c>
      <c r="L59" t="n">
        <v>461.958282</v>
      </c>
      <c r="M59" t="n">
        <v>374.891707</v>
      </c>
      <c r="N59" t="n">
        <v>374.891707</v>
      </c>
      <c r="O59" t="n">
        <v>228.730494</v>
      </c>
      <c r="P59" t="n">
        <v>73.767325</v>
      </c>
      <c r="Q59" t="n">
        <v>374.891707</v>
      </c>
      <c r="R59" t="n">
        <v>374.891707</v>
      </c>
      <c r="S59" t="n">
        <v>228.730494</v>
      </c>
      <c r="T59" t="n">
        <v>228.730494</v>
      </c>
      <c r="U59" t="n">
        <v>73.767325</v>
      </c>
      <c r="V59" t="n">
        <v>73.767325</v>
      </c>
      <c r="W59" t="n">
        <v>231.104367</v>
      </c>
      <c r="X59" t="n">
        <v>381.526081</v>
      </c>
    </row>
    <row r="60">
      <c r="A60" t="inlineStr">
        <is>
          <t>Scophthalmus rhombus</t>
        </is>
      </c>
      <c r="B60" t="n">
        <v>4.42</v>
      </c>
      <c r="C60" t="n">
        <v>2630.267992</v>
      </c>
      <c r="D60" t="inlineStr">
        <is>
          <t>Flatfishes</t>
        </is>
      </c>
      <c r="H60" t="n">
        <v>72.35890999999999</v>
      </c>
      <c r="I60" t="n">
        <v>55.101076</v>
      </c>
      <c r="J60" t="n">
        <v>56.599968</v>
      </c>
      <c r="K60" t="n">
        <v>51.50597</v>
      </c>
      <c r="L60" t="n">
        <v>114.167454</v>
      </c>
      <c r="M60" t="n">
        <v>73.440046</v>
      </c>
      <c r="N60" t="n">
        <v>73.440046</v>
      </c>
      <c r="O60" t="n">
        <v>45.479187</v>
      </c>
      <c r="P60" t="n">
        <v>17.967245</v>
      </c>
      <c r="Q60" t="n">
        <v>73.440046</v>
      </c>
      <c r="R60" t="n">
        <v>73.440046</v>
      </c>
      <c r="S60" t="n">
        <v>45.479187</v>
      </c>
      <c r="T60" t="n">
        <v>45.479187</v>
      </c>
      <c r="U60" t="n">
        <v>17.967245</v>
      </c>
      <c r="V60" t="n">
        <v>17.967245</v>
      </c>
      <c r="W60" t="n">
        <v>45.729526</v>
      </c>
      <c r="X60" t="n">
        <v>73.316087</v>
      </c>
    </row>
    <row r="61">
      <c r="A61" t="inlineStr">
        <is>
          <t>Gadidae</t>
        </is>
      </c>
      <c r="B61" t="n">
        <v>3.84</v>
      </c>
      <c r="C61" t="n">
        <v>691.830971</v>
      </c>
      <c r="D61" t="inlineStr">
        <is>
          <t>Cod | Haddock | Whiting | Saithe | Large Dem. fish | Small pelagics | Large Pelagics</t>
        </is>
      </c>
      <c r="H61" t="n">
        <v>143.216522</v>
      </c>
      <c r="I61" t="n">
        <v>95.311994</v>
      </c>
      <c r="J61" t="n">
        <v>100.222003</v>
      </c>
      <c r="K61" t="n">
        <v>89.71856099999999</v>
      </c>
      <c r="L61" t="n">
        <v>176.096118</v>
      </c>
      <c r="M61" t="n">
        <v>137.353922</v>
      </c>
      <c r="N61" t="n">
        <v>137.353922</v>
      </c>
      <c r="O61" t="n">
        <v>82.502914</v>
      </c>
      <c r="P61" t="n">
        <v>29.59354</v>
      </c>
      <c r="Q61" t="n">
        <v>137.353922</v>
      </c>
      <c r="R61" t="n">
        <v>137.353922</v>
      </c>
      <c r="S61" t="n">
        <v>82.502914</v>
      </c>
      <c r="T61" t="n">
        <v>82.502914</v>
      </c>
      <c r="U61" t="n">
        <v>29.59354</v>
      </c>
      <c r="V61" t="n">
        <v>29.59354</v>
      </c>
      <c r="W61" t="n">
        <v>82.66872499999999</v>
      </c>
      <c r="X61" t="n">
        <v>141.646002</v>
      </c>
    </row>
    <row r="62">
      <c r="A62" t="inlineStr">
        <is>
          <t>Lophiidae</t>
        </is>
      </c>
      <c r="B62" t="n">
        <v>4.46</v>
      </c>
      <c r="C62" t="n">
        <v>2884.031503</v>
      </c>
      <c r="D62" t="inlineStr">
        <is>
          <t>Monkfish</t>
        </is>
      </c>
      <c r="H62" t="n">
        <v>679.0741</v>
      </c>
      <c r="I62" t="n">
        <v>410.274318</v>
      </c>
      <c r="J62" t="n">
        <v>431.986567</v>
      </c>
      <c r="K62" t="n">
        <v>401.747507</v>
      </c>
      <c r="L62" t="n">
        <v>755.080363</v>
      </c>
      <c r="M62" t="n">
        <v>593.535437</v>
      </c>
      <c r="N62" t="n">
        <v>593.535437</v>
      </c>
      <c r="O62" t="n">
        <v>327.621545</v>
      </c>
      <c r="P62" t="n">
        <v>97.611602</v>
      </c>
      <c r="Q62" t="n">
        <v>593.535437</v>
      </c>
      <c r="R62" t="n">
        <v>593.535437</v>
      </c>
      <c r="S62" t="n">
        <v>327.621545</v>
      </c>
      <c r="T62" t="n">
        <v>327.621545</v>
      </c>
      <c r="U62" t="n">
        <v>97.611602</v>
      </c>
      <c r="V62" t="n">
        <v>97.611602</v>
      </c>
      <c r="W62" t="n">
        <v>335.435916</v>
      </c>
      <c r="X62" t="n">
        <v>599.931699</v>
      </c>
    </row>
    <row r="63">
      <c r="A63" t="inlineStr">
        <is>
          <t>Portunidae</t>
        </is>
      </c>
      <c r="B63" t="n">
        <v>3.56</v>
      </c>
      <c r="C63" t="n">
        <v>363.078055</v>
      </c>
      <c r="D63" t="inlineStr">
        <is>
          <t>Crustacea</t>
        </is>
      </c>
      <c r="H63" t="n">
        <v>24.212502</v>
      </c>
      <c r="I63" t="n">
        <v>19.703615</v>
      </c>
      <c r="J63" t="n">
        <v>19.736166</v>
      </c>
      <c r="K63" t="n">
        <v>15.986295</v>
      </c>
      <c r="L63" t="n">
        <v>47.671907</v>
      </c>
      <c r="M63" t="n">
        <v>28.050267</v>
      </c>
      <c r="N63" t="n">
        <v>28.050267</v>
      </c>
      <c r="O63" t="n">
        <v>17.385749</v>
      </c>
      <c r="P63" t="n">
        <v>8.183744000000001</v>
      </c>
      <c r="Q63" t="n">
        <v>28.050267</v>
      </c>
      <c r="R63" t="n">
        <v>28.050267</v>
      </c>
      <c r="S63" t="n">
        <v>17.385749</v>
      </c>
      <c r="T63" t="n">
        <v>17.385749</v>
      </c>
      <c r="U63" t="n">
        <v>8.183744000000001</v>
      </c>
      <c r="V63" t="n">
        <v>8.183744000000001</v>
      </c>
      <c r="W63" t="n">
        <v>17.597621</v>
      </c>
      <c r="X63" t="n">
        <v>27.987895</v>
      </c>
    </row>
    <row r="64">
      <c r="A64" t="inlineStr">
        <is>
          <t>Callionymus lyra</t>
        </is>
      </c>
      <c r="B64" t="n">
        <v>3.27</v>
      </c>
      <c r="C64" t="n">
        <v>186.208714</v>
      </c>
      <c r="D64" t="inlineStr">
        <is>
          <t>Large Dem. fish</t>
        </is>
      </c>
      <c r="H64" t="n">
        <v>257.213239</v>
      </c>
      <c r="I64" t="n">
        <v>242.020787</v>
      </c>
      <c r="J64" t="n">
        <v>251.673548</v>
      </c>
      <c r="K64" t="n">
        <v>236.573135</v>
      </c>
      <c r="L64" t="n">
        <v>461.958282</v>
      </c>
      <c r="M64" t="n">
        <v>374.891707</v>
      </c>
      <c r="N64" t="n">
        <v>374.891707</v>
      </c>
      <c r="O64" t="n">
        <v>228.730494</v>
      </c>
      <c r="P64" t="n">
        <v>73.767325</v>
      </c>
      <c r="Q64" t="n">
        <v>374.891707</v>
      </c>
      <c r="R64" t="n">
        <v>374.891707</v>
      </c>
      <c r="S64" t="n">
        <v>228.730494</v>
      </c>
      <c r="T64" t="n">
        <v>228.730494</v>
      </c>
      <c r="U64" t="n">
        <v>73.767325</v>
      </c>
      <c r="V64" t="n">
        <v>73.767325</v>
      </c>
      <c r="W64" t="n">
        <v>231.104367</v>
      </c>
      <c r="X64" t="n">
        <v>381.526081</v>
      </c>
    </row>
    <row r="65">
      <c r="A65" t="inlineStr">
        <is>
          <t>Lepidorhombus whiffiagonis</t>
        </is>
      </c>
      <c r="B65" t="n">
        <v>4.34</v>
      </c>
      <c r="C65" t="n">
        <v>2187.761624</v>
      </c>
      <c r="D65" t="inlineStr">
        <is>
          <t>Flatfishes</t>
        </is>
      </c>
      <c r="H65" t="n">
        <v>72.35890999999999</v>
      </c>
      <c r="I65" t="n">
        <v>55.101076</v>
      </c>
      <c r="J65" t="n">
        <v>56.599968</v>
      </c>
      <c r="K65" t="n">
        <v>51.50597</v>
      </c>
      <c r="L65" t="n">
        <v>114.167454</v>
      </c>
      <c r="M65" t="n">
        <v>73.440046</v>
      </c>
      <c r="N65" t="n">
        <v>73.440046</v>
      </c>
      <c r="O65" t="n">
        <v>45.479187</v>
      </c>
      <c r="P65" t="n">
        <v>17.967245</v>
      </c>
      <c r="Q65" t="n">
        <v>73.440046</v>
      </c>
      <c r="R65" t="n">
        <v>73.440046</v>
      </c>
      <c r="S65" t="n">
        <v>45.479187</v>
      </c>
      <c r="T65" t="n">
        <v>45.479187</v>
      </c>
      <c r="U65" t="n">
        <v>17.967245</v>
      </c>
      <c r="V65" t="n">
        <v>17.967245</v>
      </c>
      <c r="W65" t="n">
        <v>45.729526</v>
      </c>
      <c r="X65" t="n">
        <v>73.316087</v>
      </c>
    </row>
    <row r="66">
      <c r="A66" t="inlineStr">
        <is>
          <t>Marine groundfishes not identified</t>
        </is>
      </c>
      <c r="D66" t="inlineStr">
        <is>
          <t>Flatfishes | Monkfish | Large Dem. fish</t>
        </is>
      </c>
      <c r="H66" t="n">
        <v>106.560052</v>
      </c>
      <c r="I66" t="n">
        <v>82.572694</v>
      </c>
      <c r="J66" t="n">
        <v>85.399901</v>
      </c>
      <c r="K66" t="n">
        <v>78.66645699999999</v>
      </c>
      <c r="L66" t="n">
        <v>164.733434</v>
      </c>
      <c r="M66" t="n">
        <v>116.293474</v>
      </c>
      <c r="N66" t="n">
        <v>116.293474</v>
      </c>
      <c r="O66" t="n">
        <v>70.592995</v>
      </c>
      <c r="P66" t="n">
        <v>25.441846</v>
      </c>
      <c r="Q66" t="n">
        <v>116.293474</v>
      </c>
      <c r="R66" t="n">
        <v>116.293474</v>
      </c>
      <c r="S66" t="n">
        <v>70.592995</v>
      </c>
      <c r="T66" t="n">
        <v>70.592995</v>
      </c>
      <c r="U66" t="n">
        <v>25.441846</v>
      </c>
      <c r="V66" t="n">
        <v>25.441846</v>
      </c>
      <c r="W66" t="n">
        <v>71.252585</v>
      </c>
      <c r="X66" t="n">
        <v>116.988754</v>
      </c>
    </row>
    <row r="67">
      <c r="A67" t="inlineStr">
        <is>
          <t>Scombridae</t>
        </is>
      </c>
      <c r="B67" t="n">
        <v>4.26</v>
      </c>
      <c r="C67" t="n">
        <v>1819.700859</v>
      </c>
      <c r="D67" t="inlineStr">
        <is>
          <t>Large Pelagics</t>
        </is>
      </c>
      <c r="H67" t="n">
        <v>139.957891</v>
      </c>
      <c r="I67" t="n">
        <v>118.942542</v>
      </c>
      <c r="J67" t="n">
        <v>128.033231</v>
      </c>
      <c r="K67" t="n">
        <v>115.229908</v>
      </c>
      <c r="L67" t="n">
        <v>208.675232</v>
      </c>
      <c r="M67" t="n">
        <v>172.524137</v>
      </c>
      <c r="N67" t="n">
        <v>172.524137</v>
      </c>
      <c r="O67" t="n">
        <v>107.933606</v>
      </c>
      <c r="P67" t="n">
        <v>40.156364</v>
      </c>
      <c r="Q67" t="n">
        <v>172.524137</v>
      </c>
      <c r="R67" t="n">
        <v>172.524137</v>
      </c>
      <c r="S67" t="n">
        <v>107.933606</v>
      </c>
      <c r="T67" t="n">
        <v>107.933606</v>
      </c>
      <c r="U67" t="n">
        <v>40.156364</v>
      </c>
      <c r="V67" t="n">
        <v>40.156364</v>
      </c>
      <c r="W67" t="n">
        <v>107.778581</v>
      </c>
      <c r="X67" t="n">
        <v>174.242777</v>
      </c>
    </row>
    <row r="68">
      <c r="A68" t="inlineStr">
        <is>
          <t>Crangon</t>
        </is>
      </c>
      <c r="B68" t="n">
        <v>3.19</v>
      </c>
      <c r="C68" t="n">
        <v>154.881662</v>
      </c>
      <c r="D68" t="inlineStr">
        <is>
          <t>Crustacea</t>
        </is>
      </c>
      <c r="H68" t="n">
        <v>24.212502</v>
      </c>
      <c r="I68" t="n">
        <v>19.703615</v>
      </c>
      <c r="J68" t="n">
        <v>19.736166</v>
      </c>
      <c r="K68" t="n">
        <v>15.986295</v>
      </c>
      <c r="L68" t="n">
        <v>47.671907</v>
      </c>
      <c r="M68" t="n">
        <v>28.050267</v>
      </c>
      <c r="N68" t="n">
        <v>28.050267</v>
      </c>
      <c r="O68" t="n">
        <v>17.385749</v>
      </c>
      <c r="P68" t="n">
        <v>8.183744000000001</v>
      </c>
      <c r="Q68" t="n">
        <v>28.050267</v>
      </c>
      <c r="R68" t="n">
        <v>28.050267</v>
      </c>
      <c r="S68" t="n">
        <v>17.385749</v>
      </c>
      <c r="T68" t="n">
        <v>17.385749</v>
      </c>
      <c r="U68" t="n">
        <v>8.183744000000001</v>
      </c>
      <c r="V68" t="n">
        <v>8.183744000000001</v>
      </c>
      <c r="W68" t="n">
        <v>17.597621</v>
      </c>
      <c r="X68" t="n">
        <v>27.987895</v>
      </c>
    </row>
    <row r="69">
      <c r="A69" t="inlineStr">
        <is>
          <t>Squaliformes</t>
        </is>
      </c>
      <c r="B69" t="n">
        <v>4.19</v>
      </c>
      <c r="C69" t="n">
        <v>1548.816619</v>
      </c>
      <c r="D69" t="inlineStr">
        <is>
          <t>Sharks &amp; rays</t>
        </is>
      </c>
      <c r="H69" t="n">
        <v>233.624758</v>
      </c>
      <c r="I69" t="n">
        <v>492.26657</v>
      </c>
      <c r="J69" t="n">
        <v>510.78557</v>
      </c>
      <c r="K69" t="n">
        <v>219.637795</v>
      </c>
      <c r="L69" t="n">
        <v>1275.246638</v>
      </c>
      <c r="M69" t="n">
        <v>948.706608</v>
      </c>
      <c r="N69" t="n">
        <v>948.706608</v>
      </c>
      <c r="O69" t="n">
        <v>213.713009</v>
      </c>
      <c r="P69" t="n">
        <v>67.906436</v>
      </c>
      <c r="Q69" t="n">
        <v>948.706608</v>
      </c>
      <c r="R69" t="n">
        <v>948.706608</v>
      </c>
      <c r="S69" t="n">
        <v>213.713009</v>
      </c>
      <c r="T69" t="n">
        <v>213.713009</v>
      </c>
      <c r="U69" t="n">
        <v>67.906436</v>
      </c>
      <c r="V69" t="n">
        <v>67.906436</v>
      </c>
      <c r="W69" t="n">
        <v>220.688261</v>
      </c>
      <c r="X69" t="n">
        <v>981.457341</v>
      </c>
    </row>
    <row r="70">
      <c r="A70" t="inlineStr">
        <is>
          <t>Dicentrarchus labrax</t>
        </is>
      </c>
      <c r="B70" t="n">
        <v>3.79</v>
      </c>
      <c r="C70" t="n">
        <v>616.595002</v>
      </c>
      <c r="D70" t="inlineStr">
        <is>
          <t>Large Dem. fish</t>
        </is>
      </c>
      <c r="H70" t="n">
        <v>257.213239</v>
      </c>
      <c r="I70" t="n">
        <v>242.020787</v>
      </c>
      <c r="J70" t="n">
        <v>251.673548</v>
      </c>
      <c r="K70" t="n">
        <v>236.573135</v>
      </c>
      <c r="L70" t="n">
        <v>461.958282</v>
      </c>
      <c r="M70" t="n">
        <v>374.891707</v>
      </c>
      <c r="N70" t="n">
        <v>374.891707</v>
      </c>
      <c r="O70" t="n">
        <v>228.730494</v>
      </c>
      <c r="P70" t="n">
        <v>73.767325</v>
      </c>
      <c r="Q70" t="n">
        <v>374.891707</v>
      </c>
      <c r="R70" t="n">
        <v>374.891707</v>
      </c>
      <c r="S70" t="n">
        <v>228.730494</v>
      </c>
      <c r="T70" t="n">
        <v>228.730494</v>
      </c>
      <c r="U70" t="n">
        <v>73.767325</v>
      </c>
      <c r="V70" t="n">
        <v>73.767325</v>
      </c>
      <c r="W70" t="n">
        <v>231.104367</v>
      </c>
      <c r="X70" t="n">
        <v>381.526081</v>
      </c>
    </row>
    <row r="71">
      <c r="A71" t="inlineStr">
        <is>
          <t>Homarus gammarus</t>
        </is>
      </c>
      <c r="B71" t="n">
        <v>3.7</v>
      </c>
      <c r="C71" t="n">
        <v>501.187234</v>
      </c>
      <c r="D71" t="inlineStr">
        <is>
          <t>Crustacea</t>
        </is>
      </c>
      <c r="H71" t="n">
        <v>24.212502</v>
      </c>
      <c r="I71" t="n">
        <v>19.703615</v>
      </c>
      <c r="J71" t="n">
        <v>19.736166</v>
      </c>
      <c r="K71" t="n">
        <v>15.986295</v>
      </c>
      <c r="L71" t="n">
        <v>47.671907</v>
      </c>
      <c r="M71" t="n">
        <v>28.050267</v>
      </c>
      <c r="N71" t="n">
        <v>28.050267</v>
      </c>
      <c r="O71" t="n">
        <v>17.385749</v>
      </c>
      <c r="P71" t="n">
        <v>8.183744000000001</v>
      </c>
      <c r="Q71" t="n">
        <v>28.050267</v>
      </c>
      <c r="R71" t="n">
        <v>28.050267</v>
      </c>
      <c r="S71" t="n">
        <v>17.385749</v>
      </c>
      <c r="T71" t="n">
        <v>17.385749</v>
      </c>
      <c r="U71" t="n">
        <v>8.183744000000001</v>
      </c>
      <c r="V71" t="n">
        <v>8.183744000000001</v>
      </c>
      <c r="W71" t="n">
        <v>17.597621</v>
      </c>
      <c r="X71" t="n">
        <v>27.987895</v>
      </c>
    </row>
    <row r="72">
      <c r="A72" t="inlineStr">
        <is>
          <t>Pleuronectidae</t>
        </is>
      </c>
      <c r="B72" t="n">
        <v>3.49</v>
      </c>
      <c r="C72" t="n">
        <v>309.029543</v>
      </c>
      <c r="D72" t="inlineStr">
        <is>
          <t>Flatfishes</t>
        </is>
      </c>
      <c r="H72" t="n">
        <v>72.35890999999999</v>
      </c>
      <c r="I72" t="n">
        <v>55.101076</v>
      </c>
      <c r="J72" t="n">
        <v>56.599968</v>
      </c>
      <c r="K72" t="n">
        <v>51.50597</v>
      </c>
      <c r="L72" t="n">
        <v>114.167454</v>
      </c>
      <c r="M72" t="n">
        <v>73.440046</v>
      </c>
      <c r="N72" t="n">
        <v>73.440046</v>
      </c>
      <c r="O72" t="n">
        <v>45.479187</v>
      </c>
      <c r="P72" t="n">
        <v>17.967245</v>
      </c>
      <c r="Q72" t="n">
        <v>73.440046</v>
      </c>
      <c r="R72" t="n">
        <v>73.440046</v>
      </c>
      <c r="S72" t="n">
        <v>45.479187</v>
      </c>
      <c r="T72" t="n">
        <v>45.479187</v>
      </c>
      <c r="U72" t="n">
        <v>17.967245</v>
      </c>
      <c r="V72" t="n">
        <v>17.967245</v>
      </c>
      <c r="W72" t="n">
        <v>45.729526</v>
      </c>
      <c r="X72" t="n">
        <v>73.316087</v>
      </c>
    </row>
    <row r="73">
      <c r="A73" t="inlineStr">
        <is>
          <t>Ostrea edulis</t>
        </is>
      </c>
      <c r="B73" t="n">
        <v>2</v>
      </c>
      <c r="C73" t="n">
        <v>10</v>
      </c>
      <c r="D73" t="inlineStr">
        <is>
          <t>Epifauna</t>
        </is>
      </c>
      <c r="H73" t="n">
        <v>8.395077000000001</v>
      </c>
      <c r="I73" t="n">
        <v>5.225253</v>
      </c>
      <c r="J73" t="n">
        <v>5.225253</v>
      </c>
      <c r="K73" t="n">
        <v>4.598222</v>
      </c>
      <c r="L73" t="n">
        <v>10.950321</v>
      </c>
      <c r="M73" t="n">
        <v>5.811987</v>
      </c>
      <c r="N73" t="n">
        <v>5.811987</v>
      </c>
      <c r="O73" t="n">
        <v>4.520226</v>
      </c>
      <c r="P73" t="n">
        <v>2.746443</v>
      </c>
      <c r="Q73" t="n">
        <v>5.811987</v>
      </c>
      <c r="R73" t="n">
        <v>5.811987</v>
      </c>
      <c r="S73" t="n">
        <v>4.520226</v>
      </c>
      <c r="T73" t="n">
        <v>4.520226</v>
      </c>
      <c r="U73" t="n">
        <v>2.746443</v>
      </c>
      <c r="V73" t="n">
        <v>2.746443</v>
      </c>
      <c r="W73" t="n">
        <v>4.485747</v>
      </c>
      <c r="X73" t="n">
        <v>5.703863</v>
      </c>
    </row>
    <row r="74">
      <c r="A74" t="inlineStr">
        <is>
          <t>Argentina</t>
        </is>
      </c>
      <c r="B74" t="n">
        <v>3.35</v>
      </c>
      <c r="C74" t="n">
        <v>223.872114</v>
      </c>
      <c r="D74" t="inlineStr">
        <is>
          <t>Small pelagics</t>
        </is>
      </c>
      <c r="H74" t="n">
        <v>47.986658</v>
      </c>
      <c r="I74" t="n">
        <v>23.215644</v>
      </c>
      <c r="J74" t="n">
        <v>23.303441</v>
      </c>
      <c r="K74" t="n">
        <v>20.507028</v>
      </c>
      <c r="L74" t="n">
        <v>37.444032</v>
      </c>
      <c r="M74" t="n">
        <v>31.413829</v>
      </c>
      <c r="N74" t="n">
        <v>31.413829</v>
      </c>
      <c r="O74" t="n">
        <v>21.233792</v>
      </c>
      <c r="P74" t="n">
        <v>9.36406</v>
      </c>
      <c r="Q74" t="n">
        <v>31.413829</v>
      </c>
      <c r="R74" t="n">
        <v>31.413829</v>
      </c>
      <c r="S74" t="n">
        <v>21.233792</v>
      </c>
      <c r="T74" t="n">
        <v>21.233792</v>
      </c>
      <c r="U74" t="n">
        <v>9.36406</v>
      </c>
      <c r="V74" t="n">
        <v>9.36406</v>
      </c>
      <c r="W74" t="n">
        <v>21.105884</v>
      </c>
      <c r="X74" t="n">
        <v>33.32407</v>
      </c>
    </row>
    <row r="75">
      <c r="A75" t="inlineStr">
        <is>
          <t>Pleuronectiformes</t>
        </is>
      </c>
      <c r="B75" t="n">
        <v>3.57</v>
      </c>
      <c r="C75" t="n">
        <v>371.535229</v>
      </c>
      <c r="D75" t="inlineStr">
        <is>
          <t>Flatfishes | Turbot</t>
        </is>
      </c>
      <c r="H75" t="n">
        <v>72.949926</v>
      </c>
      <c r="I75" t="n">
        <v>55.380006</v>
      </c>
      <c r="J75" t="n">
        <v>56.857283</v>
      </c>
      <c r="K75" t="n">
        <v>51.630381</v>
      </c>
      <c r="L75" t="n">
        <v>114.747616</v>
      </c>
      <c r="M75" t="n">
        <v>73.828109</v>
      </c>
      <c r="N75" t="n">
        <v>73.828109</v>
      </c>
      <c r="O75" t="n">
        <v>45.59487</v>
      </c>
      <c r="P75" t="n">
        <v>18.001442</v>
      </c>
      <c r="Q75" t="n">
        <v>73.828109</v>
      </c>
      <c r="R75" t="n">
        <v>73.828109</v>
      </c>
      <c r="S75" t="n">
        <v>45.59487</v>
      </c>
      <c r="T75" t="n">
        <v>45.59487</v>
      </c>
      <c r="U75" t="n">
        <v>18.001442</v>
      </c>
      <c r="V75" t="n">
        <v>18.001442</v>
      </c>
      <c r="W75" t="n">
        <v>45.857163</v>
      </c>
      <c r="X75" t="n">
        <v>73.765475</v>
      </c>
    </row>
    <row r="76">
      <c r="A76" t="inlineStr">
        <is>
          <t>Anarhichas lupus</t>
        </is>
      </c>
      <c r="B76" t="n">
        <v>3.55</v>
      </c>
      <c r="C76" t="n">
        <v>354.813389</v>
      </c>
      <c r="D76" t="inlineStr">
        <is>
          <t>Large Dem. fish</t>
        </is>
      </c>
      <c r="H76" t="n">
        <v>257.213239</v>
      </c>
      <c r="I76" t="n">
        <v>242.020787</v>
      </c>
      <c r="J76" t="n">
        <v>251.673548</v>
      </c>
      <c r="K76" t="n">
        <v>236.573135</v>
      </c>
      <c r="L76" t="n">
        <v>461.958282</v>
      </c>
      <c r="M76" t="n">
        <v>374.891707</v>
      </c>
      <c r="N76" t="n">
        <v>374.891707</v>
      </c>
      <c r="O76" t="n">
        <v>228.730494</v>
      </c>
      <c r="P76" t="n">
        <v>73.767325</v>
      </c>
      <c r="Q76" t="n">
        <v>374.891707</v>
      </c>
      <c r="R76" t="n">
        <v>374.891707</v>
      </c>
      <c r="S76" t="n">
        <v>228.730494</v>
      </c>
      <c r="T76" t="n">
        <v>228.730494</v>
      </c>
      <c r="U76" t="n">
        <v>73.767325</v>
      </c>
      <c r="V76" t="n">
        <v>73.767325</v>
      </c>
      <c r="W76" t="n">
        <v>231.104367</v>
      </c>
      <c r="X76" t="n">
        <v>381.526081</v>
      </c>
    </row>
    <row r="77">
      <c r="A77" t="inlineStr">
        <is>
          <t>Merlucciidae</t>
        </is>
      </c>
      <c r="B77" t="n">
        <v>4.35</v>
      </c>
      <c r="C77" t="n">
        <v>2238.721139</v>
      </c>
      <c r="D77" t="inlineStr">
        <is>
          <t>Hake</t>
        </is>
      </c>
      <c r="H77" t="n">
        <v>744.405669</v>
      </c>
      <c r="I77" t="n">
        <v>395.125726</v>
      </c>
      <c r="J77" t="n">
        <v>424.153179</v>
      </c>
      <c r="K77" t="n">
        <v>390.220925</v>
      </c>
      <c r="L77" t="n">
        <v>696.576775</v>
      </c>
      <c r="M77" t="n">
        <v>575.1156570000001</v>
      </c>
      <c r="N77" t="n">
        <v>575.1156570000001</v>
      </c>
      <c r="O77" t="n">
        <v>330.608517</v>
      </c>
      <c r="P77" t="n">
        <v>98.41734</v>
      </c>
      <c r="Q77" t="n">
        <v>575.1156570000001</v>
      </c>
      <c r="R77" t="n">
        <v>575.1156570000001</v>
      </c>
      <c r="S77" t="n">
        <v>330.608517</v>
      </c>
      <c r="T77" t="n">
        <v>330.608517</v>
      </c>
      <c r="U77" t="n">
        <v>98.41734</v>
      </c>
      <c r="V77" t="n">
        <v>98.41734</v>
      </c>
      <c r="W77" t="n">
        <v>333.080801</v>
      </c>
      <c r="X77" t="n">
        <v>598.584395</v>
      </c>
    </row>
    <row r="78">
      <c r="A78" t="inlineStr">
        <is>
          <t>Clupeidae</t>
        </is>
      </c>
      <c r="B78" t="n">
        <v>3.16</v>
      </c>
      <c r="C78" t="n">
        <v>144.543977</v>
      </c>
      <c r="D78" t="inlineStr">
        <is>
          <t>Herring | Small pelagics</t>
        </is>
      </c>
      <c r="H78" t="n">
        <v>63.103576</v>
      </c>
      <c r="I78" t="n">
        <v>29.856654</v>
      </c>
      <c r="J78" t="n">
        <v>29.899302</v>
      </c>
      <c r="K78" t="n">
        <v>26.733469</v>
      </c>
      <c r="L78" t="n">
        <v>46.762497</v>
      </c>
      <c r="M78" t="n">
        <v>40.767348</v>
      </c>
      <c r="N78" t="n">
        <v>40.767348</v>
      </c>
      <c r="O78" t="n">
        <v>27.500447</v>
      </c>
      <c r="P78" t="n">
        <v>11.762695</v>
      </c>
      <c r="Q78" t="n">
        <v>40.767348</v>
      </c>
      <c r="R78" t="n">
        <v>40.767348</v>
      </c>
      <c r="S78" t="n">
        <v>27.500447</v>
      </c>
      <c r="T78" t="n">
        <v>27.500447</v>
      </c>
      <c r="U78" t="n">
        <v>11.762695</v>
      </c>
      <c r="V78" t="n">
        <v>11.762695</v>
      </c>
      <c r="W78" t="n">
        <v>28.066803</v>
      </c>
      <c r="X78" t="n">
        <v>43.443418</v>
      </c>
    </row>
    <row r="79">
      <c r="A79" t="inlineStr">
        <is>
          <t>Molva</t>
        </is>
      </c>
      <c r="B79" t="n">
        <v>4.19</v>
      </c>
      <c r="C79" t="n">
        <v>1548.816619</v>
      </c>
      <c r="D79" t="inlineStr">
        <is>
          <t>Ling</t>
        </is>
      </c>
      <c r="H79" t="n">
        <v>671.869338</v>
      </c>
      <c r="I79" t="n">
        <v>262.915833</v>
      </c>
      <c r="J79" t="n">
        <v>272.883721</v>
      </c>
      <c r="K79" t="n">
        <v>256.510697</v>
      </c>
      <c r="L79" t="n">
        <v>491.495581</v>
      </c>
      <c r="M79" t="n">
        <v>376.80735</v>
      </c>
      <c r="N79" t="n">
        <v>376.80735</v>
      </c>
      <c r="O79" t="n">
        <v>212.716202</v>
      </c>
      <c r="P79" t="n">
        <v>60.875963</v>
      </c>
      <c r="Q79" t="n">
        <v>376.80735</v>
      </c>
      <c r="R79" t="n">
        <v>376.80735</v>
      </c>
      <c r="S79" t="n">
        <v>212.716202</v>
      </c>
      <c r="T79" t="n">
        <v>212.716202</v>
      </c>
      <c r="U79" t="n">
        <v>60.875963</v>
      </c>
      <c r="V79" t="n">
        <v>60.875963</v>
      </c>
      <c r="W79" t="n">
        <v>216.736367</v>
      </c>
      <c r="X79" t="n">
        <v>419.755062</v>
      </c>
    </row>
    <row r="80">
      <c r="A80" t="inlineStr">
        <is>
          <t>Cetorhinus maximus</t>
        </is>
      </c>
      <c r="D80" t="inlineStr">
        <is>
          <t>Sharks &amp; rays</t>
        </is>
      </c>
      <c r="H80" t="n">
        <v>233.624758</v>
      </c>
      <c r="I80" t="n">
        <v>492.26657</v>
      </c>
      <c r="J80" t="n">
        <v>510.78557</v>
      </c>
      <c r="K80" t="n">
        <v>219.637795</v>
      </c>
      <c r="L80" t="n">
        <v>1275.246638</v>
      </c>
      <c r="M80" t="n">
        <v>948.706608</v>
      </c>
      <c r="N80" t="n">
        <v>948.706608</v>
      </c>
      <c r="O80" t="n">
        <v>213.713009</v>
      </c>
      <c r="P80" t="n">
        <v>67.906436</v>
      </c>
      <c r="Q80" t="n">
        <v>948.706608</v>
      </c>
      <c r="R80" t="n">
        <v>948.706608</v>
      </c>
      <c r="S80" t="n">
        <v>213.713009</v>
      </c>
      <c r="T80" t="n">
        <v>213.713009</v>
      </c>
      <c r="U80" t="n">
        <v>67.906436</v>
      </c>
      <c r="V80" t="n">
        <v>67.906436</v>
      </c>
      <c r="W80" t="n">
        <v>220.688261</v>
      </c>
      <c r="X80" t="n">
        <v>981.457341</v>
      </c>
    </row>
    <row r="81">
      <c r="A81" t="inlineStr">
        <is>
          <t>Trachinus draco</t>
        </is>
      </c>
      <c r="B81" t="n">
        <v>4.18</v>
      </c>
      <c r="C81" t="n">
        <v>1513.561248</v>
      </c>
      <c r="D81" t="inlineStr">
        <is>
          <t>Large Dem. fish</t>
        </is>
      </c>
      <c r="H81" t="n">
        <v>257.213239</v>
      </c>
      <c r="I81" t="n">
        <v>242.020787</v>
      </c>
      <c r="J81" t="n">
        <v>251.673548</v>
      </c>
      <c r="K81" t="n">
        <v>236.573135</v>
      </c>
      <c r="L81" t="n">
        <v>461.958282</v>
      </c>
      <c r="M81" t="n">
        <v>374.891707</v>
      </c>
      <c r="N81" t="n">
        <v>374.891707</v>
      </c>
      <c r="O81" t="n">
        <v>228.730494</v>
      </c>
      <c r="P81" t="n">
        <v>73.767325</v>
      </c>
      <c r="Q81" t="n">
        <v>374.891707</v>
      </c>
      <c r="R81" t="n">
        <v>374.891707</v>
      </c>
      <c r="S81" t="n">
        <v>228.730494</v>
      </c>
      <c r="T81" t="n">
        <v>228.730494</v>
      </c>
      <c r="U81" t="n">
        <v>73.767325</v>
      </c>
      <c r="V81" t="n">
        <v>73.767325</v>
      </c>
      <c r="W81" t="n">
        <v>231.104367</v>
      </c>
      <c r="X81" t="n">
        <v>381.526081</v>
      </c>
    </row>
    <row r="82">
      <c r="A82" t="inlineStr">
        <is>
          <t>Belone belone</t>
        </is>
      </c>
      <c r="B82" t="n">
        <v>4.16</v>
      </c>
      <c r="C82" t="n">
        <v>1445.439771</v>
      </c>
      <c r="D82" t="inlineStr">
        <is>
          <t>Large Pelagics</t>
        </is>
      </c>
      <c r="H82" t="n">
        <v>139.957891</v>
      </c>
      <c r="I82" t="n">
        <v>118.942542</v>
      </c>
      <c r="J82" t="n">
        <v>128.033231</v>
      </c>
      <c r="K82" t="n">
        <v>115.229908</v>
      </c>
      <c r="L82" t="n">
        <v>208.675232</v>
      </c>
      <c r="M82" t="n">
        <v>172.524137</v>
      </c>
      <c r="N82" t="n">
        <v>172.524137</v>
      </c>
      <c r="O82" t="n">
        <v>107.933606</v>
      </c>
      <c r="P82" t="n">
        <v>40.156364</v>
      </c>
      <c r="Q82" t="n">
        <v>172.524137</v>
      </c>
      <c r="R82" t="n">
        <v>172.524137</v>
      </c>
      <c r="S82" t="n">
        <v>107.933606</v>
      </c>
      <c r="T82" t="n">
        <v>107.933606</v>
      </c>
      <c r="U82" t="n">
        <v>40.156364</v>
      </c>
      <c r="V82" t="n">
        <v>40.156364</v>
      </c>
      <c r="W82" t="n">
        <v>107.778581</v>
      </c>
      <c r="X82" t="n">
        <v>174.242777</v>
      </c>
    </row>
    <row r="83">
      <c r="A83" t="inlineStr">
        <is>
          <t>Lamna nasus</t>
        </is>
      </c>
      <c r="B83" t="n">
        <v>4.57</v>
      </c>
      <c r="C83" t="n">
        <v>3715.352291</v>
      </c>
      <c r="D83" t="inlineStr">
        <is>
          <t>Sharks &amp; rays</t>
        </is>
      </c>
      <c r="H83" t="n">
        <v>233.624758</v>
      </c>
      <c r="I83" t="n">
        <v>492.26657</v>
      </c>
      <c r="J83" t="n">
        <v>510.78557</v>
      </c>
      <c r="K83" t="n">
        <v>219.637795</v>
      </c>
      <c r="L83" t="n">
        <v>1275.246638</v>
      </c>
      <c r="M83" t="n">
        <v>948.706608</v>
      </c>
      <c r="N83" t="n">
        <v>948.706608</v>
      </c>
      <c r="O83" t="n">
        <v>213.713009</v>
      </c>
      <c r="P83" t="n">
        <v>67.906436</v>
      </c>
      <c r="Q83" t="n">
        <v>948.706608</v>
      </c>
      <c r="R83" t="n">
        <v>948.706608</v>
      </c>
      <c r="S83" t="n">
        <v>213.713009</v>
      </c>
      <c r="T83" t="n">
        <v>213.713009</v>
      </c>
      <c r="U83" t="n">
        <v>67.906436</v>
      </c>
      <c r="V83" t="n">
        <v>67.906436</v>
      </c>
      <c r="W83" t="n">
        <v>220.688261</v>
      </c>
      <c r="X83" t="n">
        <v>981.457341</v>
      </c>
    </row>
    <row r="84">
      <c r="A84" t="inlineStr">
        <is>
          <t>Crangonidae</t>
        </is>
      </c>
      <c r="B84" t="n">
        <v>3.19</v>
      </c>
      <c r="C84" t="n">
        <v>154.881662</v>
      </c>
      <c r="D84" t="inlineStr">
        <is>
          <t>Crustacea</t>
        </is>
      </c>
      <c r="H84" t="n">
        <v>24.212502</v>
      </c>
      <c r="I84" t="n">
        <v>19.703615</v>
      </c>
      <c r="J84" t="n">
        <v>19.736166</v>
      </c>
      <c r="K84" t="n">
        <v>15.986295</v>
      </c>
      <c r="L84" t="n">
        <v>47.671907</v>
      </c>
      <c r="M84" t="n">
        <v>28.050267</v>
      </c>
      <c r="N84" t="n">
        <v>28.050267</v>
      </c>
      <c r="O84" t="n">
        <v>17.385749</v>
      </c>
      <c r="P84" t="n">
        <v>8.183744000000001</v>
      </c>
      <c r="Q84" t="n">
        <v>28.050267</v>
      </c>
      <c r="R84" t="n">
        <v>28.050267</v>
      </c>
      <c r="S84" t="n">
        <v>17.385749</v>
      </c>
      <c r="T84" t="n">
        <v>17.385749</v>
      </c>
      <c r="U84" t="n">
        <v>8.183744000000001</v>
      </c>
      <c r="V84" t="n">
        <v>8.183744000000001</v>
      </c>
      <c r="W84" t="n">
        <v>17.597621</v>
      </c>
      <c r="X84" t="n">
        <v>27.987895</v>
      </c>
    </row>
    <row r="85">
      <c r="A85" t="inlineStr">
        <is>
          <t>Soleidae</t>
        </is>
      </c>
      <c r="B85" t="n">
        <v>3.15</v>
      </c>
      <c r="C85" t="n">
        <v>141.253754</v>
      </c>
      <c r="D85" t="inlineStr">
        <is>
          <t>Flatfishes</t>
        </is>
      </c>
      <c r="H85" t="n">
        <v>72.35890999999999</v>
      </c>
      <c r="I85" t="n">
        <v>55.101076</v>
      </c>
      <c r="J85" t="n">
        <v>56.599968</v>
      </c>
      <c r="K85" t="n">
        <v>51.50597</v>
      </c>
      <c r="L85" t="n">
        <v>114.167454</v>
      </c>
      <c r="M85" t="n">
        <v>73.440046</v>
      </c>
      <c r="N85" t="n">
        <v>73.440046</v>
      </c>
      <c r="O85" t="n">
        <v>45.479187</v>
      </c>
      <c r="P85" t="n">
        <v>17.967245</v>
      </c>
      <c r="Q85" t="n">
        <v>73.440046</v>
      </c>
      <c r="R85" t="n">
        <v>73.440046</v>
      </c>
      <c r="S85" t="n">
        <v>45.479187</v>
      </c>
      <c r="T85" t="n">
        <v>45.479187</v>
      </c>
      <c r="U85" t="n">
        <v>17.967245</v>
      </c>
      <c r="V85" t="n">
        <v>17.967245</v>
      </c>
      <c r="W85" t="n">
        <v>45.729526</v>
      </c>
      <c r="X85" t="n">
        <v>73.316087</v>
      </c>
    </row>
    <row r="86">
      <c r="A86" t="inlineStr">
        <is>
          <t>Sebastidae</t>
        </is>
      </c>
      <c r="B86" t="n">
        <v>3.74</v>
      </c>
      <c r="C86" t="n">
        <v>549.540874</v>
      </c>
      <c r="D86" t="inlineStr">
        <is>
          <t>Large Dem. fish</t>
        </is>
      </c>
      <c r="H86" t="n">
        <v>257.213239</v>
      </c>
      <c r="I86" t="n">
        <v>242.020787</v>
      </c>
      <c r="J86" t="n">
        <v>251.673548</v>
      </c>
      <c r="K86" t="n">
        <v>236.573135</v>
      </c>
      <c r="L86" t="n">
        <v>461.958282</v>
      </c>
      <c r="M86" t="n">
        <v>374.891707</v>
      </c>
      <c r="N86" t="n">
        <v>374.891707</v>
      </c>
      <c r="O86" t="n">
        <v>228.730494</v>
      </c>
      <c r="P86" t="n">
        <v>73.767325</v>
      </c>
      <c r="Q86" t="n">
        <v>374.891707</v>
      </c>
      <c r="R86" t="n">
        <v>374.891707</v>
      </c>
      <c r="S86" t="n">
        <v>228.730494</v>
      </c>
      <c r="T86" t="n">
        <v>228.730494</v>
      </c>
      <c r="U86" t="n">
        <v>73.767325</v>
      </c>
      <c r="V86" t="n">
        <v>73.767325</v>
      </c>
      <c r="W86" t="n">
        <v>231.104367</v>
      </c>
      <c r="X86" t="n">
        <v>381.526081</v>
      </c>
    </row>
    <row r="87">
      <c r="A87" t="inlineStr">
        <is>
          <t>Loliginidae</t>
        </is>
      </c>
      <c r="B87" t="n">
        <v>3.9</v>
      </c>
      <c r="C87" t="n">
        <v>794.3282349999999</v>
      </c>
      <c r="D87" t="inlineStr">
        <is>
          <t>Squid &amp; Octopus</t>
        </is>
      </c>
      <c r="H87" t="n">
        <v>62.376626</v>
      </c>
      <c r="I87" t="n">
        <v>51.428785</v>
      </c>
      <c r="J87" t="n">
        <v>51.639947</v>
      </c>
      <c r="K87" t="n">
        <v>49.05795</v>
      </c>
      <c r="L87" t="n">
        <v>94.097724</v>
      </c>
      <c r="M87" t="n">
        <v>69.667844</v>
      </c>
      <c r="N87" t="n">
        <v>69.667844</v>
      </c>
      <c r="O87" t="n">
        <v>47.704772</v>
      </c>
      <c r="P87" t="n">
        <v>19.528933</v>
      </c>
      <c r="Q87" t="n">
        <v>69.667844</v>
      </c>
      <c r="R87" t="n">
        <v>69.667844</v>
      </c>
      <c r="S87" t="n">
        <v>47.704772</v>
      </c>
      <c r="T87" t="n">
        <v>47.704772</v>
      </c>
      <c r="U87" t="n">
        <v>19.528933</v>
      </c>
      <c r="V87" t="n">
        <v>19.528933</v>
      </c>
      <c r="W87" t="n">
        <v>48.333282</v>
      </c>
      <c r="X87" t="n">
        <v>72.484779</v>
      </c>
    </row>
    <row r="88">
      <c r="A88" t="inlineStr">
        <is>
          <t>Carangidae</t>
        </is>
      </c>
      <c r="B88" t="n">
        <v>4.05</v>
      </c>
      <c r="C88" t="n">
        <v>1122.018454</v>
      </c>
      <c r="D88" t="inlineStr">
        <is>
          <t>Large Pelagics</t>
        </is>
      </c>
      <c r="H88" t="n">
        <v>139.957891</v>
      </c>
      <c r="I88" t="n">
        <v>118.942542</v>
      </c>
      <c r="J88" t="n">
        <v>128.033231</v>
      </c>
      <c r="K88" t="n">
        <v>115.229908</v>
      </c>
      <c r="L88" t="n">
        <v>208.675232</v>
      </c>
      <c r="M88" t="n">
        <v>172.524137</v>
      </c>
      <c r="N88" t="n">
        <v>172.524137</v>
      </c>
      <c r="O88" t="n">
        <v>107.933606</v>
      </c>
      <c r="P88" t="n">
        <v>40.156364</v>
      </c>
      <c r="Q88" t="n">
        <v>172.524137</v>
      </c>
      <c r="R88" t="n">
        <v>172.524137</v>
      </c>
      <c r="S88" t="n">
        <v>107.933606</v>
      </c>
      <c r="T88" t="n">
        <v>107.933606</v>
      </c>
      <c r="U88" t="n">
        <v>40.156364</v>
      </c>
      <c r="V88" t="n">
        <v>40.156364</v>
      </c>
      <c r="W88" t="n">
        <v>107.778581</v>
      </c>
      <c r="X88" t="n">
        <v>174.242777</v>
      </c>
    </row>
    <row r="89">
      <c r="A89" t="inlineStr">
        <is>
          <t>Lophius</t>
        </is>
      </c>
      <c r="B89" t="n">
        <v>4.46</v>
      </c>
      <c r="C89" t="n">
        <v>2884.031503</v>
      </c>
      <c r="D89" t="inlineStr">
        <is>
          <t>Monkfish</t>
        </is>
      </c>
      <c r="H89" t="n">
        <v>679.0741</v>
      </c>
      <c r="I89" t="n">
        <v>410.274318</v>
      </c>
      <c r="J89" t="n">
        <v>431.986567</v>
      </c>
      <c r="K89" t="n">
        <v>401.747507</v>
      </c>
      <c r="L89" t="n">
        <v>755.080363</v>
      </c>
      <c r="M89" t="n">
        <v>593.535437</v>
      </c>
      <c r="N89" t="n">
        <v>593.535437</v>
      </c>
      <c r="O89" t="n">
        <v>327.621545</v>
      </c>
      <c r="P89" t="n">
        <v>97.611602</v>
      </c>
      <c r="Q89" t="n">
        <v>593.535437</v>
      </c>
      <c r="R89" t="n">
        <v>593.535437</v>
      </c>
      <c r="S89" t="n">
        <v>327.621545</v>
      </c>
      <c r="T89" t="n">
        <v>327.621545</v>
      </c>
      <c r="U89" t="n">
        <v>97.611602</v>
      </c>
      <c r="V89" t="n">
        <v>97.611602</v>
      </c>
      <c r="W89" t="n">
        <v>335.435916</v>
      </c>
      <c r="X89" t="n">
        <v>599.931699</v>
      </c>
    </row>
    <row r="90">
      <c r="A90" t="inlineStr">
        <is>
          <t>Brachyura</t>
        </is>
      </c>
      <c r="B90" t="n">
        <v>2.6</v>
      </c>
      <c r="C90" t="n">
        <v>39.810717</v>
      </c>
      <c r="D90" t="inlineStr">
        <is>
          <t>Crustacea</t>
        </is>
      </c>
      <c r="H90" t="n">
        <v>24.212502</v>
      </c>
      <c r="I90" t="n">
        <v>19.703615</v>
      </c>
      <c r="J90" t="n">
        <v>19.736166</v>
      </c>
      <c r="K90" t="n">
        <v>15.986295</v>
      </c>
      <c r="L90" t="n">
        <v>47.671907</v>
      </c>
      <c r="M90" t="n">
        <v>28.050267</v>
      </c>
      <c r="N90" t="n">
        <v>28.050267</v>
      </c>
      <c r="O90" t="n">
        <v>17.385749</v>
      </c>
      <c r="P90" t="n">
        <v>8.183744000000001</v>
      </c>
      <c r="Q90" t="n">
        <v>28.050267</v>
      </c>
      <c r="R90" t="n">
        <v>28.050267</v>
      </c>
      <c r="S90" t="n">
        <v>17.385749</v>
      </c>
      <c r="T90" t="n">
        <v>17.385749</v>
      </c>
      <c r="U90" t="n">
        <v>8.183744000000001</v>
      </c>
      <c r="V90" t="n">
        <v>8.183744000000001</v>
      </c>
      <c r="W90" t="n">
        <v>17.597621</v>
      </c>
      <c r="X90" t="n">
        <v>27.987895</v>
      </c>
    </row>
    <row r="91">
      <c r="A91" t="inlineStr">
        <is>
          <t>Hippoglossoides platessoides</t>
        </is>
      </c>
      <c r="B91" t="n">
        <v>4.08</v>
      </c>
      <c r="C91" t="n">
        <v>1202.264435</v>
      </c>
      <c r="D91" t="inlineStr">
        <is>
          <t>Flatfishes</t>
        </is>
      </c>
      <c r="H91" t="n">
        <v>72.35890999999999</v>
      </c>
      <c r="I91" t="n">
        <v>55.101076</v>
      </c>
      <c r="J91" t="n">
        <v>56.599968</v>
      </c>
      <c r="K91" t="n">
        <v>51.50597</v>
      </c>
      <c r="L91" t="n">
        <v>114.167454</v>
      </c>
      <c r="M91" t="n">
        <v>73.440046</v>
      </c>
      <c r="N91" t="n">
        <v>73.440046</v>
      </c>
      <c r="O91" t="n">
        <v>45.479187</v>
      </c>
      <c r="P91" t="n">
        <v>17.967245</v>
      </c>
      <c r="Q91" t="n">
        <v>73.440046</v>
      </c>
      <c r="R91" t="n">
        <v>73.440046</v>
      </c>
      <c r="S91" t="n">
        <v>45.479187</v>
      </c>
      <c r="T91" t="n">
        <v>45.479187</v>
      </c>
      <c r="U91" t="n">
        <v>17.967245</v>
      </c>
      <c r="V91" t="n">
        <v>17.967245</v>
      </c>
      <c r="W91" t="n">
        <v>45.729526</v>
      </c>
      <c r="X91" t="n">
        <v>73.316087</v>
      </c>
    </row>
    <row r="92">
      <c r="A92" t="inlineStr">
        <is>
          <t>Ensis siliqua</t>
        </is>
      </c>
      <c r="B92" t="n">
        <v>2</v>
      </c>
      <c r="C92" t="n">
        <v>10</v>
      </c>
      <c r="D92" t="inlineStr">
        <is>
          <t>Infauna</t>
        </is>
      </c>
      <c r="H92" t="n">
        <v>1.695379</v>
      </c>
      <c r="I92" t="n">
        <v>1.315556</v>
      </c>
      <c r="J92" t="n">
        <v>1.315556</v>
      </c>
      <c r="K92" t="n">
        <v>1.184</v>
      </c>
      <c r="L92" t="n">
        <v>3.864936</v>
      </c>
      <c r="M92" t="n">
        <v>1.321429</v>
      </c>
      <c r="N92" t="n">
        <v>1.321429</v>
      </c>
      <c r="O92" t="n">
        <v>1.188755</v>
      </c>
      <c r="P92" t="n">
        <v>0.950241</v>
      </c>
      <c r="Q92" t="n">
        <v>1.321429</v>
      </c>
      <c r="R92" t="n">
        <v>1.321429</v>
      </c>
      <c r="S92" t="n">
        <v>1.188755</v>
      </c>
      <c r="T92" t="n">
        <v>1.188755</v>
      </c>
      <c r="U92" t="n">
        <v>0.950241</v>
      </c>
      <c r="V92" t="n">
        <v>0.950241</v>
      </c>
      <c r="W92" t="n">
        <v>1.170683</v>
      </c>
      <c r="X92" t="n">
        <v>1.343305</v>
      </c>
    </row>
    <row r="93">
      <c r="A93" t="inlineStr">
        <is>
          <t>Scophthalmidae</t>
        </is>
      </c>
      <c r="B93" t="n">
        <v>3.71</v>
      </c>
      <c r="C93" t="n">
        <v>512.861384</v>
      </c>
      <c r="D93" t="inlineStr">
        <is>
          <t>Flatfishes | Turbot</t>
        </is>
      </c>
      <c r="H93" t="n">
        <v>72.949926</v>
      </c>
      <c r="I93" t="n">
        <v>55.380006</v>
      </c>
      <c r="J93" t="n">
        <v>56.857283</v>
      </c>
      <c r="K93" t="n">
        <v>51.630381</v>
      </c>
      <c r="L93" t="n">
        <v>114.747616</v>
      </c>
      <c r="M93" t="n">
        <v>73.828109</v>
      </c>
      <c r="N93" t="n">
        <v>73.828109</v>
      </c>
      <c r="O93" t="n">
        <v>45.59487</v>
      </c>
      <c r="P93" t="n">
        <v>18.001442</v>
      </c>
      <c r="Q93" t="n">
        <v>73.828109</v>
      </c>
      <c r="R93" t="n">
        <v>73.828109</v>
      </c>
      <c r="S93" t="n">
        <v>45.59487</v>
      </c>
      <c r="T93" t="n">
        <v>45.59487</v>
      </c>
      <c r="U93" t="n">
        <v>18.001442</v>
      </c>
      <c r="V93" t="n">
        <v>18.001442</v>
      </c>
      <c r="W93" t="n">
        <v>45.857163</v>
      </c>
      <c r="X93" t="n">
        <v>73.765475</v>
      </c>
    </row>
    <row r="94">
      <c r="A94" t="inlineStr">
        <is>
          <t>Reinhardtius hippoglossoides</t>
        </is>
      </c>
      <c r="B94" t="n">
        <v>4.38</v>
      </c>
      <c r="C94" t="n">
        <v>2398.832919</v>
      </c>
      <c r="D94" t="inlineStr">
        <is>
          <t>Flatfishes</t>
        </is>
      </c>
      <c r="H94" t="n">
        <v>72.35890999999999</v>
      </c>
      <c r="I94" t="n">
        <v>55.101076</v>
      </c>
      <c r="J94" t="n">
        <v>56.599968</v>
      </c>
      <c r="K94" t="n">
        <v>51.50597</v>
      </c>
      <c r="L94" t="n">
        <v>114.167454</v>
      </c>
      <c r="M94" t="n">
        <v>73.440046</v>
      </c>
      <c r="N94" t="n">
        <v>73.440046</v>
      </c>
      <c r="O94" t="n">
        <v>45.479187</v>
      </c>
      <c r="P94" t="n">
        <v>17.967245</v>
      </c>
      <c r="Q94" t="n">
        <v>73.440046</v>
      </c>
      <c r="R94" t="n">
        <v>73.440046</v>
      </c>
      <c r="S94" t="n">
        <v>45.479187</v>
      </c>
      <c r="T94" t="n">
        <v>45.479187</v>
      </c>
      <c r="U94" t="n">
        <v>17.967245</v>
      </c>
      <c r="V94" t="n">
        <v>17.967245</v>
      </c>
      <c r="W94" t="n">
        <v>45.729526</v>
      </c>
      <c r="X94" t="n">
        <v>73.316087</v>
      </c>
    </row>
    <row r="95">
      <c r="A95" t="inlineStr">
        <is>
          <t>Engraulis encrasicolus</t>
        </is>
      </c>
      <c r="B95" t="n">
        <v>3.11</v>
      </c>
      <c r="C95" t="n">
        <v>128.824955</v>
      </c>
      <c r="D95" t="inlineStr">
        <is>
          <t>Small pelagics</t>
        </is>
      </c>
      <c r="H95" t="n">
        <v>47.986658</v>
      </c>
      <c r="I95" t="n">
        <v>23.215644</v>
      </c>
      <c r="J95" t="n">
        <v>23.303441</v>
      </c>
      <c r="K95" t="n">
        <v>20.507028</v>
      </c>
      <c r="L95" t="n">
        <v>37.444032</v>
      </c>
      <c r="M95" t="n">
        <v>31.413829</v>
      </c>
      <c r="N95" t="n">
        <v>31.413829</v>
      </c>
      <c r="O95" t="n">
        <v>21.233792</v>
      </c>
      <c r="P95" t="n">
        <v>9.36406</v>
      </c>
      <c r="Q95" t="n">
        <v>31.413829</v>
      </c>
      <c r="R95" t="n">
        <v>31.413829</v>
      </c>
      <c r="S95" t="n">
        <v>21.233792</v>
      </c>
      <c r="T95" t="n">
        <v>21.233792</v>
      </c>
      <c r="U95" t="n">
        <v>9.36406</v>
      </c>
      <c r="V95" t="n">
        <v>9.36406</v>
      </c>
      <c r="W95" t="n">
        <v>21.105884</v>
      </c>
      <c r="X95" t="n">
        <v>33.32407</v>
      </c>
    </row>
    <row r="96">
      <c r="A96" t="inlineStr">
        <is>
          <t>Salmo salar</t>
        </is>
      </c>
      <c r="B96" t="n">
        <v>4.5</v>
      </c>
      <c r="C96" t="n">
        <v>3162.27766</v>
      </c>
      <c r="D96" t="inlineStr">
        <is>
          <t>Unresolved</t>
        </is>
      </c>
    </row>
    <row r="97">
      <c r="A97" t="inlineStr">
        <is>
          <t>Bivalvia</t>
        </is>
      </c>
      <c r="B97" t="n">
        <v>2.23</v>
      </c>
      <c r="C97" t="n">
        <v>16.982437</v>
      </c>
      <c r="D97" t="inlineStr">
        <is>
          <t>Infauna | Epifauna</t>
        </is>
      </c>
      <c r="H97" t="n">
        <v>8.314472</v>
      </c>
      <c r="I97" t="n">
        <v>5.178214</v>
      </c>
      <c r="J97" t="n">
        <v>5.178214</v>
      </c>
      <c r="K97" t="n">
        <v>4.557145</v>
      </c>
      <c r="L97" t="n">
        <v>10.865076</v>
      </c>
      <c r="M97" t="n">
        <v>5.757961</v>
      </c>
      <c r="N97" t="n">
        <v>5.757961</v>
      </c>
      <c r="O97" t="n">
        <v>4.480145</v>
      </c>
      <c r="P97" t="n">
        <v>2.724832</v>
      </c>
      <c r="Q97" t="n">
        <v>5.757961</v>
      </c>
      <c r="R97" t="n">
        <v>5.757961</v>
      </c>
      <c r="S97" t="n">
        <v>4.480145</v>
      </c>
      <c r="T97" t="n">
        <v>4.480145</v>
      </c>
      <c r="U97" t="n">
        <v>2.724832</v>
      </c>
      <c r="V97" t="n">
        <v>2.724832</v>
      </c>
      <c r="W97" t="n">
        <v>4.445863</v>
      </c>
      <c r="X97" t="n">
        <v>5.651401</v>
      </c>
    </row>
    <row r="98">
      <c r="A98" t="inlineStr">
        <is>
          <t>Agonus cataphractus</t>
        </is>
      </c>
      <c r="B98" t="n">
        <v>3.43</v>
      </c>
      <c r="C98" t="n">
        <v>269.15348</v>
      </c>
      <c r="D98" t="inlineStr">
        <is>
          <t>Large Dem. fish</t>
        </is>
      </c>
      <c r="H98" t="n">
        <v>257.213239</v>
      </c>
      <c r="I98" t="n">
        <v>242.020787</v>
      </c>
      <c r="J98" t="n">
        <v>251.673548</v>
      </c>
      <c r="K98" t="n">
        <v>236.573135</v>
      </c>
      <c r="L98" t="n">
        <v>461.958282</v>
      </c>
      <c r="M98" t="n">
        <v>374.891707</v>
      </c>
      <c r="N98" t="n">
        <v>374.891707</v>
      </c>
      <c r="O98" t="n">
        <v>228.730494</v>
      </c>
      <c r="P98" t="n">
        <v>73.767325</v>
      </c>
      <c r="Q98" t="n">
        <v>374.891707</v>
      </c>
      <c r="R98" t="n">
        <v>374.891707</v>
      </c>
      <c r="S98" t="n">
        <v>228.730494</v>
      </c>
      <c r="T98" t="n">
        <v>228.730494</v>
      </c>
      <c r="U98" t="n">
        <v>73.767325</v>
      </c>
      <c r="V98" t="n">
        <v>73.767325</v>
      </c>
      <c r="W98" t="n">
        <v>231.104367</v>
      </c>
      <c r="X98" t="n">
        <v>381.526081</v>
      </c>
    </row>
    <row r="99">
      <c r="A99" t="inlineStr">
        <is>
          <t>Anarhichas</t>
        </is>
      </c>
      <c r="B99" t="n">
        <v>3.35</v>
      </c>
      <c r="C99" t="n">
        <v>223.872114</v>
      </c>
      <c r="D99" t="inlineStr">
        <is>
          <t>Large Dem. fish</t>
        </is>
      </c>
      <c r="H99" t="n">
        <v>257.213239</v>
      </c>
      <c r="I99" t="n">
        <v>242.020787</v>
      </c>
      <c r="J99" t="n">
        <v>251.673548</v>
      </c>
      <c r="K99" t="n">
        <v>236.573135</v>
      </c>
      <c r="L99" t="n">
        <v>461.958282</v>
      </c>
      <c r="M99" t="n">
        <v>374.891707</v>
      </c>
      <c r="N99" t="n">
        <v>374.891707</v>
      </c>
      <c r="O99" t="n">
        <v>228.730494</v>
      </c>
      <c r="P99" t="n">
        <v>73.767325</v>
      </c>
      <c r="Q99" t="n">
        <v>374.891707</v>
      </c>
      <c r="R99" t="n">
        <v>374.891707</v>
      </c>
      <c r="S99" t="n">
        <v>228.730494</v>
      </c>
      <c r="T99" t="n">
        <v>228.730494</v>
      </c>
      <c r="U99" t="n">
        <v>73.767325</v>
      </c>
      <c r="V99" t="n">
        <v>73.767325</v>
      </c>
      <c r="W99" t="n">
        <v>231.104367</v>
      </c>
      <c r="X99" t="n">
        <v>381.526081</v>
      </c>
    </row>
    <row r="100">
      <c r="A100" t="inlineStr">
        <is>
          <t>Asteroidea</t>
        </is>
      </c>
      <c r="D100" t="inlineStr">
        <is>
          <t>Epifauna</t>
        </is>
      </c>
      <c r="H100" t="n">
        <v>8.395077000000001</v>
      </c>
      <c r="I100" t="n">
        <v>5.225253</v>
      </c>
      <c r="J100" t="n">
        <v>5.225253</v>
      </c>
      <c r="K100" t="n">
        <v>4.598222</v>
      </c>
      <c r="L100" t="n">
        <v>10.950321</v>
      </c>
      <c r="M100" t="n">
        <v>5.811987</v>
      </c>
      <c r="N100" t="n">
        <v>5.811987</v>
      </c>
      <c r="O100" t="n">
        <v>4.520226</v>
      </c>
      <c r="P100" t="n">
        <v>2.746443</v>
      </c>
      <c r="Q100" t="n">
        <v>5.811987</v>
      </c>
      <c r="R100" t="n">
        <v>5.811987</v>
      </c>
      <c r="S100" t="n">
        <v>4.520226</v>
      </c>
      <c r="T100" t="n">
        <v>4.520226</v>
      </c>
      <c r="U100" t="n">
        <v>2.746443</v>
      </c>
      <c r="V100" t="n">
        <v>2.746443</v>
      </c>
      <c r="W100" t="n">
        <v>4.485747</v>
      </c>
      <c r="X100" t="n">
        <v>5.703863</v>
      </c>
    </row>
    <row r="101">
      <c r="A101" t="inlineStr">
        <is>
          <t>Anarhichadidae</t>
        </is>
      </c>
      <c r="B101" t="n">
        <v>3.47</v>
      </c>
      <c r="C101" t="n">
        <v>295.120923</v>
      </c>
      <c r="D101" t="inlineStr">
        <is>
          <t>Large Dem. fish</t>
        </is>
      </c>
      <c r="H101" t="n">
        <v>257.213239</v>
      </c>
      <c r="I101" t="n">
        <v>242.020787</v>
      </c>
      <c r="J101" t="n">
        <v>251.673548</v>
      </c>
      <c r="K101" t="n">
        <v>236.573135</v>
      </c>
      <c r="L101" t="n">
        <v>461.958282</v>
      </c>
      <c r="M101" t="n">
        <v>374.891707</v>
      </c>
      <c r="N101" t="n">
        <v>374.891707</v>
      </c>
      <c r="O101" t="n">
        <v>228.730494</v>
      </c>
      <c r="P101" t="n">
        <v>73.767325</v>
      </c>
      <c r="Q101" t="n">
        <v>374.891707</v>
      </c>
      <c r="R101" t="n">
        <v>374.891707</v>
      </c>
      <c r="S101" t="n">
        <v>228.730494</v>
      </c>
      <c r="T101" t="n">
        <v>228.730494</v>
      </c>
      <c r="U101" t="n">
        <v>73.767325</v>
      </c>
      <c r="V101" t="n">
        <v>73.767325</v>
      </c>
      <c r="W101" t="n">
        <v>231.104367</v>
      </c>
      <c r="X101" t="n">
        <v>381.526081</v>
      </c>
    </row>
    <row r="102">
      <c r="A102" t="inlineStr">
        <is>
          <t>Amblyraja radiata</t>
        </is>
      </c>
      <c r="B102" t="n">
        <v>4.2</v>
      </c>
      <c r="C102" t="n">
        <v>1584.893192</v>
      </c>
      <c r="D102" t="inlineStr">
        <is>
          <t>Sharks &amp; rays</t>
        </is>
      </c>
      <c r="H102" t="n">
        <v>233.624758</v>
      </c>
      <c r="I102" t="n">
        <v>492.26657</v>
      </c>
      <c r="J102" t="n">
        <v>510.78557</v>
      </c>
      <c r="K102" t="n">
        <v>219.637795</v>
      </c>
      <c r="L102" t="n">
        <v>1275.246638</v>
      </c>
      <c r="M102" t="n">
        <v>948.706608</v>
      </c>
      <c r="N102" t="n">
        <v>948.706608</v>
      </c>
      <c r="O102" t="n">
        <v>213.713009</v>
      </c>
      <c r="P102" t="n">
        <v>67.906436</v>
      </c>
      <c r="Q102" t="n">
        <v>948.706608</v>
      </c>
      <c r="R102" t="n">
        <v>948.706608</v>
      </c>
      <c r="S102" t="n">
        <v>213.713009</v>
      </c>
      <c r="T102" t="n">
        <v>213.713009</v>
      </c>
      <c r="U102" t="n">
        <v>67.906436</v>
      </c>
      <c r="V102" t="n">
        <v>67.906436</v>
      </c>
      <c r="W102" t="n">
        <v>220.688261</v>
      </c>
      <c r="X102" t="n">
        <v>981.457341</v>
      </c>
    </row>
    <row r="103">
      <c r="A103" t="inlineStr">
        <is>
          <t>Osmerus eperlanus</t>
        </is>
      </c>
      <c r="B103" t="n">
        <v>3.46</v>
      </c>
      <c r="C103" t="n">
        <v>288.40315</v>
      </c>
      <c r="D103" t="inlineStr">
        <is>
          <t>Unresolved</t>
        </is>
      </c>
    </row>
    <row r="104">
      <c r="A104" t="inlineStr">
        <is>
          <t>Congridae</t>
        </is>
      </c>
      <c r="B104" t="n">
        <v>4.18</v>
      </c>
      <c r="C104" t="n">
        <v>1513.561248</v>
      </c>
      <c r="D104" t="inlineStr">
        <is>
          <t>Large Dem. fish</t>
        </is>
      </c>
      <c r="H104" t="n">
        <v>257.213239</v>
      </c>
      <c r="I104" t="n">
        <v>242.020787</v>
      </c>
      <c r="J104" t="n">
        <v>251.673548</v>
      </c>
      <c r="K104" t="n">
        <v>236.573135</v>
      </c>
      <c r="L104" t="n">
        <v>461.958282</v>
      </c>
      <c r="M104" t="n">
        <v>374.891707</v>
      </c>
      <c r="N104" t="n">
        <v>374.891707</v>
      </c>
      <c r="O104" t="n">
        <v>228.730494</v>
      </c>
      <c r="P104" t="n">
        <v>73.767325</v>
      </c>
      <c r="Q104" t="n">
        <v>374.891707</v>
      </c>
      <c r="R104" t="n">
        <v>374.891707</v>
      </c>
      <c r="S104" t="n">
        <v>228.730494</v>
      </c>
      <c r="T104" t="n">
        <v>228.730494</v>
      </c>
      <c r="U104" t="n">
        <v>73.767325</v>
      </c>
      <c r="V104" t="n">
        <v>73.767325</v>
      </c>
      <c r="W104" t="n">
        <v>231.104367</v>
      </c>
      <c r="X104" t="n">
        <v>381.526081</v>
      </c>
    </row>
    <row r="105">
      <c r="A105" t="inlineStr">
        <is>
          <t>Sebastes norvegicus</t>
        </is>
      </c>
      <c r="B105" t="n">
        <v>4.04</v>
      </c>
      <c r="C105" t="n">
        <v>1096.478196</v>
      </c>
      <c r="D105" t="inlineStr">
        <is>
          <t>Large Dem. fish</t>
        </is>
      </c>
      <c r="H105" t="n">
        <v>257.213239</v>
      </c>
      <c r="I105" t="n">
        <v>242.020787</v>
      </c>
      <c r="J105" t="n">
        <v>251.673548</v>
      </c>
      <c r="K105" t="n">
        <v>236.573135</v>
      </c>
      <c r="L105" t="n">
        <v>461.958282</v>
      </c>
      <c r="M105" t="n">
        <v>374.891707</v>
      </c>
      <c r="N105" t="n">
        <v>374.891707</v>
      </c>
      <c r="O105" t="n">
        <v>228.730494</v>
      </c>
      <c r="P105" t="n">
        <v>73.767325</v>
      </c>
      <c r="Q105" t="n">
        <v>374.891707</v>
      </c>
      <c r="R105" t="n">
        <v>374.891707</v>
      </c>
      <c r="S105" t="n">
        <v>228.730494</v>
      </c>
      <c r="T105" t="n">
        <v>228.730494</v>
      </c>
      <c r="U105" t="n">
        <v>73.767325</v>
      </c>
      <c r="V105" t="n">
        <v>73.767325</v>
      </c>
      <c r="W105" t="n">
        <v>231.104367</v>
      </c>
      <c r="X105" t="n">
        <v>381.526081</v>
      </c>
    </row>
    <row r="106">
      <c r="A106" t="inlineStr">
        <is>
          <t>Macrouridae</t>
        </is>
      </c>
      <c r="B106" t="n">
        <v>3.88</v>
      </c>
      <c r="C106" t="n">
        <v>758.577575</v>
      </c>
      <c r="D106" t="inlineStr">
        <is>
          <t>Unresolved</t>
        </is>
      </c>
    </row>
    <row r="107">
      <c r="A107" t="inlineStr">
        <is>
          <t>Chelidonichthys cuculus</t>
        </is>
      </c>
      <c r="B107" t="n">
        <v>3.81</v>
      </c>
      <c r="C107" t="n">
        <v>645.654229</v>
      </c>
      <c r="D107" t="inlineStr">
        <is>
          <t>Large Dem. fish</t>
        </is>
      </c>
      <c r="H107" t="n">
        <v>257.213239</v>
      </c>
      <c r="I107" t="n">
        <v>242.020787</v>
      </c>
      <c r="J107" t="n">
        <v>251.673548</v>
      </c>
      <c r="K107" t="n">
        <v>236.573135</v>
      </c>
      <c r="L107" t="n">
        <v>461.958282</v>
      </c>
      <c r="M107" t="n">
        <v>374.891707</v>
      </c>
      <c r="N107" t="n">
        <v>374.891707</v>
      </c>
      <c r="O107" t="n">
        <v>228.730494</v>
      </c>
      <c r="P107" t="n">
        <v>73.767325</v>
      </c>
      <c r="Q107" t="n">
        <v>374.891707</v>
      </c>
      <c r="R107" t="n">
        <v>374.891707</v>
      </c>
      <c r="S107" t="n">
        <v>228.730494</v>
      </c>
      <c r="T107" t="n">
        <v>228.730494</v>
      </c>
      <c r="U107" t="n">
        <v>73.767325</v>
      </c>
      <c r="V107" t="n">
        <v>73.767325</v>
      </c>
      <c r="W107" t="n">
        <v>231.104367</v>
      </c>
      <c r="X107" t="n">
        <v>381.526081</v>
      </c>
    </row>
    <row r="108">
      <c r="A108" t="inlineStr">
        <is>
          <t>Perciformes</t>
        </is>
      </c>
      <c r="B108" t="n">
        <v>3.53</v>
      </c>
      <c r="C108" t="n">
        <v>338.844156</v>
      </c>
      <c r="D108" t="inlineStr">
        <is>
          <t>Large Dem. fish</t>
        </is>
      </c>
      <c r="H108" t="n">
        <v>257.213239</v>
      </c>
      <c r="I108" t="n">
        <v>242.020787</v>
      </c>
      <c r="J108" t="n">
        <v>251.673548</v>
      </c>
      <c r="K108" t="n">
        <v>236.573135</v>
      </c>
      <c r="L108" t="n">
        <v>461.958282</v>
      </c>
      <c r="M108" t="n">
        <v>374.891707</v>
      </c>
      <c r="N108" t="n">
        <v>374.891707</v>
      </c>
      <c r="O108" t="n">
        <v>228.730494</v>
      </c>
      <c r="P108" t="n">
        <v>73.767325</v>
      </c>
      <c r="Q108" t="n">
        <v>374.891707</v>
      </c>
      <c r="R108" t="n">
        <v>374.891707</v>
      </c>
      <c r="S108" t="n">
        <v>228.730494</v>
      </c>
      <c r="T108" t="n">
        <v>228.730494</v>
      </c>
      <c r="U108" t="n">
        <v>73.767325</v>
      </c>
      <c r="V108" t="n">
        <v>73.767325</v>
      </c>
      <c r="W108" t="n">
        <v>231.104367</v>
      </c>
      <c r="X108" t="n">
        <v>381.526081</v>
      </c>
    </row>
    <row r="109">
      <c r="A109" t="inlineStr">
        <is>
          <t>Littorina</t>
        </is>
      </c>
      <c r="B109" t="n">
        <v>2</v>
      </c>
      <c r="C109" t="n">
        <v>10</v>
      </c>
      <c r="D109" t="inlineStr">
        <is>
          <t>Epifauna</t>
        </is>
      </c>
      <c r="H109" t="n">
        <v>8.395077000000001</v>
      </c>
      <c r="I109" t="n">
        <v>5.225253</v>
      </c>
      <c r="J109" t="n">
        <v>5.225253</v>
      </c>
      <c r="K109" t="n">
        <v>4.598222</v>
      </c>
      <c r="L109" t="n">
        <v>10.950321</v>
      </c>
      <c r="M109" t="n">
        <v>5.811987</v>
      </c>
      <c r="N109" t="n">
        <v>5.811987</v>
      </c>
      <c r="O109" t="n">
        <v>4.520226</v>
      </c>
      <c r="P109" t="n">
        <v>2.746443</v>
      </c>
      <c r="Q109" t="n">
        <v>5.811987</v>
      </c>
      <c r="R109" t="n">
        <v>5.811987</v>
      </c>
      <c r="S109" t="n">
        <v>4.520226</v>
      </c>
      <c r="T109" t="n">
        <v>4.520226</v>
      </c>
      <c r="U109" t="n">
        <v>2.746443</v>
      </c>
      <c r="V109" t="n">
        <v>2.746443</v>
      </c>
      <c r="W109" t="n">
        <v>4.485747</v>
      </c>
      <c r="X109" t="n">
        <v>5.703863</v>
      </c>
    </row>
    <row r="110">
      <c r="A110" t="inlineStr">
        <is>
          <t>Hippoglossus hippoglossus</t>
        </is>
      </c>
      <c r="B110" t="n">
        <v>4</v>
      </c>
      <c r="C110" t="n">
        <v>1000</v>
      </c>
      <c r="D110" t="inlineStr">
        <is>
          <t>Flatfishes</t>
        </is>
      </c>
      <c r="H110" t="n">
        <v>72.35890999999999</v>
      </c>
      <c r="I110" t="n">
        <v>55.101076</v>
      </c>
      <c r="J110" t="n">
        <v>56.599968</v>
      </c>
      <c r="K110" t="n">
        <v>51.50597</v>
      </c>
      <c r="L110" t="n">
        <v>114.167454</v>
      </c>
      <c r="M110" t="n">
        <v>73.440046</v>
      </c>
      <c r="N110" t="n">
        <v>73.440046</v>
      </c>
      <c r="O110" t="n">
        <v>45.479187</v>
      </c>
      <c r="P110" t="n">
        <v>17.967245</v>
      </c>
      <c r="Q110" t="n">
        <v>73.440046</v>
      </c>
      <c r="R110" t="n">
        <v>73.440046</v>
      </c>
      <c r="S110" t="n">
        <v>45.479187</v>
      </c>
      <c r="T110" t="n">
        <v>45.479187</v>
      </c>
      <c r="U110" t="n">
        <v>17.967245</v>
      </c>
      <c r="V110" t="n">
        <v>17.967245</v>
      </c>
      <c r="W110" t="n">
        <v>45.729526</v>
      </c>
      <c r="X110" t="n">
        <v>73.316087</v>
      </c>
    </row>
    <row r="111">
      <c r="A111" t="inlineStr">
        <is>
          <t>Raja clavata</t>
        </is>
      </c>
      <c r="B111" t="n">
        <v>3.84</v>
      </c>
      <c r="C111" t="n">
        <v>691.830971</v>
      </c>
      <c r="D111" t="inlineStr">
        <is>
          <t>Sharks &amp; rays</t>
        </is>
      </c>
      <c r="H111" t="n">
        <v>233.624758</v>
      </c>
      <c r="I111" t="n">
        <v>492.26657</v>
      </c>
      <c r="J111" t="n">
        <v>510.78557</v>
      </c>
      <c r="K111" t="n">
        <v>219.637795</v>
      </c>
      <c r="L111" t="n">
        <v>1275.246638</v>
      </c>
      <c r="M111" t="n">
        <v>948.706608</v>
      </c>
      <c r="N111" t="n">
        <v>948.706608</v>
      </c>
      <c r="O111" t="n">
        <v>213.713009</v>
      </c>
      <c r="P111" t="n">
        <v>67.906436</v>
      </c>
      <c r="Q111" t="n">
        <v>948.706608</v>
      </c>
      <c r="R111" t="n">
        <v>948.706608</v>
      </c>
      <c r="S111" t="n">
        <v>213.713009</v>
      </c>
      <c r="T111" t="n">
        <v>213.713009</v>
      </c>
      <c r="U111" t="n">
        <v>67.906436</v>
      </c>
      <c r="V111" t="n">
        <v>67.906436</v>
      </c>
      <c r="W111" t="n">
        <v>220.688261</v>
      </c>
      <c r="X111" t="n">
        <v>981.457341</v>
      </c>
    </row>
    <row r="112">
      <c r="A112" t="inlineStr">
        <is>
          <t>Gadiformes</t>
        </is>
      </c>
      <c r="B112" t="n">
        <v>3.91</v>
      </c>
      <c r="C112" t="n">
        <v>812.830516</v>
      </c>
      <c r="D112" t="inlineStr">
        <is>
          <t>Cod | Ling | Haddock | Whiting | Hake | Saithe | Large Dem. fish | Small pelagics | Large Pelagics</t>
        </is>
      </c>
      <c r="H112" t="n">
        <v>150.618536</v>
      </c>
      <c r="I112" t="n">
        <v>98.155033</v>
      </c>
      <c r="J112" t="n">
        <v>103.219321</v>
      </c>
      <c r="K112" t="n">
        <v>92.557559</v>
      </c>
      <c r="L112" t="n">
        <v>181.24754</v>
      </c>
      <c r="M112" t="n">
        <v>141.458551</v>
      </c>
      <c r="N112" t="n">
        <v>141.458551</v>
      </c>
      <c r="O112" t="n">
        <v>84.78067299999999</v>
      </c>
      <c r="P112" t="n">
        <v>30.182643</v>
      </c>
      <c r="Q112" t="n">
        <v>141.458551</v>
      </c>
      <c r="R112" t="n">
        <v>141.458551</v>
      </c>
      <c r="S112" t="n">
        <v>84.78067299999999</v>
      </c>
      <c r="T112" t="n">
        <v>84.78067299999999</v>
      </c>
      <c r="U112" t="n">
        <v>30.182643</v>
      </c>
      <c r="V112" t="n">
        <v>30.182643</v>
      </c>
      <c r="W112" t="n">
        <v>84.991013</v>
      </c>
      <c r="X112" t="n">
        <v>146.17925</v>
      </c>
    </row>
    <row r="113">
      <c r="A113" t="inlineStr">
        <is>
          <t>Molva dypterygia</t>
        </is>
      </c>
      <c r="B113" t="n">
        <v>4.49</v>
      </c>
      <c r="C113" t="n">
        <v>3090.295433</v>
      </c>
      <c r="D113" t="inlineStr">
        <is>
          <t>Ling</t>
        </is>
      </c>
      <c r="H113" t="n">
        <v>671.869338</v>
      </c>
      <c r="I113" t="n">
        <v>262.915833</v>
      </c>
      <c r="J113" t="n">
        <v>272.883721</v>
      </c>
      <c r="K113" t="n">
        <v>256.510697</v>
      </c>
      <c r="L113" t="n">
        <v>491.495581</v>
      </c>
      <c r="M113" t="n">
        <v>376.80735</v>
      </c>
      <c r="N113" t="n">
        <v>376.80735</v>
      </c>
      <c r="O113" t="n">
        <v>212.716202</v>
      </c>
      <c r="P113" t="n">
        <v>60.875963</v>
      </c>
      <c r="Q113" t="n">
        <v>376.80735</v>
      </c>
      <c r="R113" t="n">
        <v>376.80735</v>
      </c>
      <c r="S113" t="n">
        <v>212.716202</v>
      </c>
      <c r="T113" t="n">
        <v>212.716202</v>
      </c>
      <c r="U113" t="n">
        <v>60.875963</v>
      </c>
      <c r="V113" t="n">
        <v>60.875963</v>
      </c>
      <c r="W113" t="n">
        <v>216.736367</v>
      </c>
      <c r="X113" t="n">
        <v>419.755062</v>
      </c>
    </row>
    <row r="114">
      <c r="A114" t="inlineStr">
        <is>
          <t>Sciaenidae</t>
        </is>
      </c>
      <c r="B114" t="n">
        <v>3.76</v>
      </c>
      <c r="C114" t="n">
        <v>575.439937</v>
      </c>
      <c r="D114" t="inlineStr">
        <is>
          <t>Large Dem. fish</t>
        </is>
      </c>
      <c r="H114" t="n">
        <v>257.213239</v>
      </c>
      <c r="I114" t="n">
        <v>242.020787</v>
      </c>
      <c r="J114" t="n">
        <v>251.673548</v>
      </c>
      <c r="K114" t="n">
        <v>236.573135</v>
      </c>
      <c r="L114" t="n">
        <v>461.958282</v>
      </c>
      <c r="M114" t="n">
        <v>374.891707</v>
      </c>
      <c r="N114" t="n">
        <v>374.891707</v>
      </c>
      <c r="O114" t="n">
        <v>228.730494</v>
      </c>
      <c r="P114" t="n">
        <v>73.767325</v>
      </c>
      <c r="Q114" t="n">
        <v>374.891707</v>
      </c>
      <c r="R114" t="n">
        <v>374.891707</v>
      </c>
      <c r="S114" t="n">
        <v>228.730494</v>
      </c>
      <c r="T114" t="n">
        <v>228.730494</v>
      </c>
      <c r="U114" t="n">
        <v>73.767325</v>
      </c>
      <c r="V114" t="n">
        <v>73.767325</v>
      </c>
      <c r="W114" t="n">
        <v>231.104367</v>
      </c>
      <c r="X114" t="n">
        <v>381.526081</v>
      </c>
    </row>
    <row r="115">
      <c r="A115" t="inlineStr">
        <is>
          <t>Callionymus maculatus</t>
        </is>
      </c>
      <c r="B115" t="n">
        <v>3.25</v>
      </c>
      <c r="C115" t="n">
        <v>177.827941</v>
      </c>
      <c r="D115" t="inlineStr">
        <is>
          <t>Large Dem. fish</t>
        </is>
      </c>
      <c r="H115" t="n">
        <v>257.213239</v>
      </c>
      <c r="I115" t="n">
        <v>242.020787</v>
      </c>
      <c r="J115" t="n">
        <v>251.673548</v>
      </c>
      <c r="K115" t="n">
        <v>236.573135</v>
      </c>
      <c r="L115" t="n">
        <v>461.958282</v>
      </c>
      <c r="M115" t="n">
        <v>374.891707</v>
      </c>
      <c r="N115" t="n">
        <v>374.891707</v>
      </c>
      <c r="O115" t="n">
        <v>228.730494</v>
      </c>
      <c r="P115" t="n">
        <v>73.767325</v>
      </c>
      <c r="Q115" t="n">
        <v>374.891707</v>
      </c>
      <c r="R115" t="n">
        <v>374.891707</v>
      </c>
      <c r="S115" t="n">
        <v>228.730494</v>
      </c>
      <c r="T115" t="n">
        <v>228.730494</v>
      </c>
      <c r="U115" t="n">
        <v>73.767325</v>
      </c>
      <c r="V115" t="n">
        <v>73.767325</v>
      </c>
      <c r="W115" t="n">
        <v>231.104367</v>
      </c>
      <c r="X115" t="n">
        <v>381.526081</v>
      </c>
    </row>
    <row r="116">
      <c r="A116" t="inlineStr">
        <is>
          <t>Lepidorhombus</t>
        </is>
      </c>
      <c r="B116" t="n">
        <v>3.96</v>
      </c>
      <c r="C116" t="n">
        <v>912.010839</v>
      </c>
      <c r="D116" t="inlineStr">
        <is>
          <t>Flatfishes</t>
        </is>
      </c>
      <c r="H116" t="n">
        <v>72.35890999999999</v>
      </c>
      <c r="I116" t="n">
        <v>55.101076</v>
      </c>
      <c r="J116" t="n">
        <v>56.599968</v>
      </c>
      <c r="K116" t="n">
        <v>51.50597</v>
      </c>
      <c r="L116" t="n">
        <v>114.167454</v>
      </c>
      <c r="M116" t="n">
        <v>73.440046</v>
      </c>
      <c r="N116" t="n">
        <v>73.440046</v>
      </c>
      <c r="O116" t="n">
        <v>45.479187</v>
      </c>
      <c r="P116" t="n">
        <v>17.967245</v>
      </c>
      <c r="Q116" t="n">
        <v>73.440046</v>
      </c>
      <c r="R116" t="n">
        <v>73.440046</v>
      </c>
      <c r="S116" t="n">
        <v>45.479187</v>
      </c>
      <c r="T116" t="n">
        <v>45.479187</v>
      </c>
      <c r="U116" t="n">
        <v>17.967245</v>
      </c>
      <c r="V116" t="n">
        <v>17.967245</v>
      </c>
      <c r="W116" t="n">
        <v>45.729526</v>
      </c>
      <c r="X116" t="n">
        <v>73.316087</v>
      </c>
    </row>
    <row r="117">
      <c r="A117" t="inlineStr">
        <is>
          <t>Solen</t>
        </is>
      </c>
      <c r="B117" t="n">
        <v>2</v>
      </c>
      <c r="C117" t="n">
        <v>10</v>
      </c>
      <c r="D117" t="inlineStr">
        <is>
          <t>Infauna</t>
        </is>
      </c>
      <c r="H117" t="n">
        <v>1.695379</v>
      </c>
      <c r="I117" t="n">
        <v>1.315556</v>
      </c>
      <c r="J117" t="n">
        <v>1.315556</v>
      </c>
      <c r="K117" t="n">
        <v>1.184</v>
      </c>
      <c r="L117" t="n">
        <v>3.864936</v>
      </c>
      <c r="M117" t="n">
        <v>1.321429</v>
      </c>
      <c r="N117" t="n">
        <v>1.321429</v>
      </c>
      <c r="O117" t="n">
        <v>1.188755</v>
      </c>
      <c r="P117" t="n">
        <v>0.950241</v>
      </c>
      <c r="Q117" t="n">
        <v>1.321429</v>
      </c>
      <c r="R117" t="n">
        <v>1.321429</v>
      </c>
      <c r="S117" t="n">
        <v>1.188755</v>
      </c>
      <c r="T117" t="n">
        <v>1.188755</v>
      </c>
      <c r="U117" t="n">
        <v>0.950241</v>
      </c>
      <c r="V117" t="n">
        <v>0.950241</v>
      </c>
      <c r="W117" t="n">
        <v>1.170683</v>
      </c>
      <c r="X117" t="n">
        <v>1.343305</v>
      </c>
    </row>
    <row r="118">
      <c r="A118" t="inlineStr">
        <is>
          <t>Scyliorhinus canicula</t>
        </is>
      </c>
      <c r="B118" t="n">
        <v>3.82</v>
      </c>
      <c r="C118" t="n">
        <v>660.693448</v>
      </c>
      <c r="D118" t="inlineStr">
        <is>
          <t>Sharks &amp; rays</t>
        </is>
      </c>
      <c r="H118" t="n">
        <v>233.624758</v>
      </c>
      <c r="I118" t="n">
        <v>492.26657</v>
      </c>
      <c r="J118" t="n">
        <v>510.78557</v>
      </c>
      <c r="K118" t="n">
        <v>219.637795</v>
      </c>
      <c r="L118" t="n">
        <v>1275.246638</v>
      </c>
      <c r="M118" t="n">
        <v>948.706608</v>
      </c>
      <c r="N118" t="n">
        <v>948.706608</v>
      </c>
      <c r="O118" t="n">
        <v>213.713009</v>
      </c>
      <c r="P118" t="n">
        <v>67.906436</v>
      </c>
      <c r="Q118" t="n">
        <v>948.706608</v>
      </c>
      <c r="R118" t="n">
        <v>948.706608</v>
      </c>
      <c r="S118" t="n">
        <v>213.713009</v>
      </c>
      <c r="T118" t="n">
        <v>213.713009</v>
      </c>
      <c r="U118" t="n">
        <v>67.906436</v>
      </c>
      <c r="V118" t="n">
        <v>67.906436</v>
      </c>
      <c r="W118" t="n">
        <v>220.688261</v>
      </c>
      <c r="X118" t="n">
        <v>981.457341</v>
      </c>
    </row>
    <row r="119">
      <c r="A119" t="inlineStr">
        <is>
          <t>Aequipecten opercularis</t>
        </is>
      </c>
      <c r="B119" t="n">
        <v>2</v>
      </c>
      <c r="C119" t="n">
        <v>10</v>
      </c>
      <c r="D119" t="inlineStr">
        <is>
          <t>Epifauna</t>
        </is>
      </c>
      <c r="H119" t="n">
        <v>8.395077000000001</v>
      </c>
      <c r="I119" t="n">
        <v>5.225253</v>
      </c>
      <c r="J119" t="n">
        <v>5.225253</v>
      </c>
      <c r="K119" t="n">
        <v>4.598222</v>
      </c>
      <c r="L119" t="n">
        <v>10.950321</v>
      </c>
      <c r="M119" t="n">
        <v>5.811987</v>
      </c>
      <c r="N119" t="n">
        <v>5.811987</v>
      </c>
      <c r="O119" t="n">
        <v>4.520226</v>
      </c>
      <c r="P119" t="n">
        <v>2.746443</v>
      </c>
      <c r="Q119" t="n">
        <v>5.811987</v>
      </c>
      <c r="R119" t="n">
        <v>5.811987</v>
      </c>
      <c r="S119" t="n">
        <v>4.520226</v>
      </c>
      <c r="T119" t="n">
        <v>4.520226</v>
      </c>
      <c r="U119" t="n">
        <v>2.746443</v>
      </c>
      <c r="V119" t="n">
        <v>2.746443</v>
      </c>
      <c r="W119" t="n">
        <v>4.485747</v>
      </c>
      <c r="X119" t="n">
        <v>5.703863</v>
      </c>
    </row>
    <row r="120">
      <c r="A120" t="inlineStr">
        <is>
          <t>Gobiidae</t>
        </is>
      </c>
      <c r="B120" t="n">
        <v>3.11</v>
      </c>
      <c r="C120" t="n">
        <v>128.824955</v>
      </c>
      <c r="D120" t="inlineStr">
        <is>
          <t>Large Dem. fish</t>
        </is>
      </c>
      <c r="H120" t="n">
        <v>257.213239</v>
      </c>
      <c r="I120" t="n">
        <v>242.020787</v>
      </c>
      <c r="J120" t="n">
        <v>251.673548</v>
      </c>
      <c r="K120" t="n">
        <v>236.573135</v>
      </c>
      <c r="L120" t="n">
        <v>461.958282</v>
      </c>
      <c r="M120" t="n">
        <v>374.891707</v>
      </c>
      <c r="N120" t="n">
        <v>374.891707</v>
      </c>
      <c r="O120" t="n">
        <v>228.730494</v>
      </c>
      <c r="P120" t="n">
        <v>73.767325</v>
      </c>
      <c r="Q120" t="n">
        <v>374.891707</v>
      </c>
      <c r="R120" t="n">
        <v>374.891707</v>
      </c>
      <c r="S120" t="n">
        <v>228.730494</v>
      </c>
      <c r="T120" t="n">
        <v>228.730494</v>
      </c>
      <c r="U120" t="n">
        <v>73.767325</v>
      </c>
      <c r="V120" t="n">
        <v>73.767325</v>
      </c>
      <c r="W120" t="n">
        <v>231.104367</v>
      </c>
      <c r="X120" t="n">
        <v>381.526081</v>
      </c>
    </row>
    <row r="121">
      <c r="A121" t="inlineStr">
        <is>
          <t>Cephalopoda</t>
        </is>
      </c>
      <c r="B121" t="n">
        <v>3.81</v>
      </c>
      <c r="C121" t="n">
        <v>645.654229</v>
      </c>
      <c r="D121" t="inlineStr">
        <is>
          <t>Squid &amp; Octopus</t>
        </is>
      </c>
      <c r="H121" t="n">
        <v>62.376626</v>
      </c>
      <c r="I121" t="n">
        <v>51.428785</v>
      </c>
      <c r="J121" t="n">
        <v>51.639947</v>
      </c>
      <c r="K121" t="n">
        <v>49.05795</v>
      </c>
      <c r="L121" t="n">
        <v>94.097724</v>
      </c>
      <c r="M121" t="n">
        <v>69.667844</v>
      </c>
      <c r="N121" t="n">
        <v>69.667844</v>
      </c>
      <c r="O121" t="n">
        <v>47.704772</v>
      </c>
      <c r="P121" t="n">
        <v>19.528933</v>
      </c>
      <c r="Q121" t="n">
        <v>69.667844</v>
      </c>
      <c r="R121" t="n">
        <v>69.667844</v>
      </c>
      <c r="S121" t="n">
        <v>47.704772</v>
      </c>
      <c r="T121" t="n">
        <v>47.704772</v>
      </c>
      <c r="U121" t="n">
        <v>19.528933</v>
      </c>
      <c r="V121" t="n">
        <v>19.528933</v>
      </c>
      <c r="W121" t="n">
        <v>48.333282</v>
      </c>
      <c r="X121" t="n">
        <v>72.484779</v>
      </c>
    </row>
    <row r="122">
      <c r="A122" t="inlineStr">
        <is>
          <t>Mollusca</t>
        </is>
      </c>
      <c r="B122" t="n">
        <v>2.1</v>
      </c>
      <c r="C122" t="n">
        <v>12.589254</v>
      </c>
      <c r="D122" t="inlineStr">
        <is>
          <t>Infauna | Epifauna</t>
        </is>
      </c>
      <c r="H122" t="n">
        <v>8.314472</v>
      </c>
      <c r="I122" t="n">
        <v>5.178214</v>
      </c>
      <c r="J122" t="n">
        <v>5.178214</v>
      </c>
      <c r="K122" t="n">
        <v>4.557145</v>
      </c>
      <c r="L122" t="n">
        <v>10.865076</v>
      </c>
      <c r="M122" t="n">
        <v>5.757961</v>
      </c>
      <c r="N122" t="n">
        <v>5.757961</v>
      </c>
      <c r="O122" t="n">
        <v>4.480145</v>
      </c>
      <c r="P122" t="n">
        <v>2.724832</v>
      </c>
      <c r="Q122" t="n">
        <v>5.757961</v>
      </c>
      <c r="R122" t="n">
        <v>5.757961</v>
      </c>
      <c r="S122" t="n">
        <v>4.480145</v>
      </c>
      <c r="T122" t="n">
        <v>4.480145</v>
      </c>
      <c r="U122" t="n">
        <v>2.724832</v>
      </c>
      <c r="V122" t="n">
        <v>2.724832</v>
      </c>
      <c r="W122" t="n">
        <v>4.445863</v>
      </c>
      <c r="X122" t="n">
        <v>5.651401</v>
      </c>
    </row>
    <row r="123">
      <c r="A123" t="inlineStr">
        <is>
          <t>Gastropoda</t>
        </is>
      </c>
      <c r="B123" t="n">
        <v>3.06</v>
      </c>
      <c r="C123" t="n">
        <v>114.815362</v>
      </c>
      <c r="D123" t="inlineStr">
        <is>
          <t>Epifauna</t>
        </is>
      </c>
      <c r="H123" t="n">
        <v>8.395077000000001</v>
      </c>
      <c r="I123" t="n">
        <v>5.225253</v>
      </c>
      <c r="J123" t="n">
        <v>5.225253</v>
      </c>
      <c r="K123" t="n">
        <v>4.598222</v>
      </c>
      <c r="L123" t="n">
        <v>10.950321</v>
      </c>
      <c r="M123" t="n">
        <v>5.811987</v>
      </c>
      <c r="N123" t="n">
        <v>5.811987</v>
      </c>
      <c r="O123" t="n">
        <v>4.520226</v>
      </c>
      <c r="P123" t="n">
        <v>2.746443</v>
      </c>
      <c r="Q123" t="n">
        <v>5.811987</v>
      </c>
      <c r="R123" t="n">
        <v>5.811987</v>
      </c>
      <c r="S123" t="n">
        <v>4.520226</v>
      </c>
      <c r="T123" t="n">
        <v>4.520226</v>
      </c>
      <c r="U123" t="n">
        <v>2.746443</v>
      </c>
      <c r="V123" t="n">
        <v>2.746443</v>
      </c>
      <c r="W123" t="n">
        <v>4.485747</v>
      </c>
      <c r="X123" t="n">
        <v>5.703863</v>
      </c>
    </row>
    <row r="124">
      <c r="A124" t="inlineStr">
        <is>
          <t>Necora puber</t>
        </is>
      </c>
      <c r="B124" t="n">
        <v>2.6</v>
      </c>
      <c r="C124" t="n">
        <v>39.810717</v>
      </c>
      <c r="D124" t="inlineStr">
        <is>
          <t>Crustacea</t>
        </is>
      </c>
      <c r="H124" t="n">
        <v>24.212502</v>
      </c>
      <c r="I124" t="n">
        <v>19.703615</v>
      </c>
      <c r="J124" t="n">
        <v>19.736166</v>
      </c>
      <c r="K124" t="n">
        <v>15.986295</v>
      </c>
      <c r="L124" t="n">
        <v>47.671907</v>
      </c>
      <c r="M124" t="n">
        <v>28.050267</v>
      </c>
      <c r="N124" t="n">
        <v>28.050267</v>
      </c>
      <c r="O124" t="n">
        <v>17.385749</v>
      </c>
      <c r="P124" t="n">
        <v>8.183744000000001</v>
      </c>
      <c r="Q124" t="n">
        <v>28.050267</v>
      </c>
      <c r="R124" t="n">
        <v>28.050267</v>
      </c>
      <c r="S124" t="n">
        <v>17.385749</v>
      </c>
      <c r="T124" t="n">
        <v>17.385749</v>
      </c>
      <c r="U124" t="n">
        <v>8.183744000000001</v>
      </c>
      <c r="V124" t="n">
        <v>8.183744000000001</v>
      </c>
      <c r="W124" t="n">
        <v>17.597621</v>
      </c>
      <c r="X124" t="n">
        <v>27.987895</v>
      </c>
    </row>
    <row r="125">
      <c r="A125" t="inlineStr">
        <is>
          <t>Pectinidae</t>
        </is>
      </c>
      <c r="B125" t="n">
        <v>2</v>
      </c>
      <c r="C125" t="n">
        <v>10</v>
      </c>
      <c r="D125" t="inlineStr">
        <is>
          <t>Epifauna</t>
        </is>
      </c>
      <c r="H125" t="n">
        <v>8.395077000000001</v>
      </c>
      <c r="I125" t="n">
        <v>5.225253</v>
      </c>
      <c r="J125" t="n">
        <v>5.225253</v>
      </c>
      <c r="K125" t="n">
        <v>4.598222</v>
      </c>
      <c r="L125" t="n">
        <v>10.950321</v>
      </c>
      <c r="M125" t="n">
        <v>5.811987</v>
      </c>
      <c r="N125" t="n">
        <v>5.811987</v>
      </c>
      <c r="O125" t="n">
        <v>4.520226</v>
      </c>
      <c r="P125" t="n">
        <v>2.746443</v>
      </c>
      <c r="Q125" t="n">
        <v>5.811987</v>
      </c>
      <c r="R125" t="n">
        <v>5.811987</v>
      </c>
      <c r="S125" t="n">
        <v>4.520226</v>
      </c>
      <c r="T125" t="n">
        <v>4.520226</v>
      </c>
      <c r="U125" t="n">
        <v>2.746443</v>
      </c>
      <c r="V125" t="n">
        <v>2.746443</v>
      </c>
      <c r="W125" t="n">
        <v>4.485747</v>
      </c>
      <c r="X125" t="n">
        <v>5.703863</v>
      </c>
    </row>
    <row r="126">
      <c r="A126" t="inlineStr">
        <is>
          <t>Arnoglossus laterna</t>
        </is>
      </c>
      <c r="B126" t="n">
        <v>3.59</v>
      </c>
      <c r="C126" t="n">
        <v>389.045145</v>
      </c>
      <c r="D126" t="inlineStr">
        <is>
          <t>Flatfishes</t>
        </is>
      </c>
      <c r="H126" t="n">
        <v>72.35890999999999</v>
      </c>
      <c r="I126" t="n">
        <v>55.101076</v>
      </c>
      <c r="J126" t="n">
        <v>56.599968</v>
      </c>
      <c r="K126" t="n">
        <v>51.50597</v>
      </c>
      <c r="L126" t="n">
        <v>114.167454</v>
      </c>
      <c r="M126" t="n">
        <v>73.440046</v>
      </c>
      <c r="N126" t="n">
        <v>73.440046</v>
      </c>
      <c r="O126" t="n">
        <v>45.479187</v>
      </c>
      <c r="P126" t="n">
        <v>17.967245</v>
      </c>
      <c r="Q126" t="n">
        <v>73.440046</v>
      </c>
      <c r="R126" t="n">
        <v>73.440046</v>
      </c>
      <c r="S126" t="n">
        <v>45.479187</v>
      </c>
      <c r="T126" t="n">
        <v>45.479187</v>
      </c>
      <c r="U126" t="n">
        <v>17.967245</v>
      </c>
      <c r="V126" t="n">
        <v>17.967245</v>
      </c>
      <c r="W126" t="n">
        <v>45.729526</v>
      </c>
      <c r="X126" t="n">
        <v>73.316087</v>
      </c>
    </row>
    <row r="127">
      <c r="A127" t="inlineStr">
        <is>
          <t>Salmo trutta</t>
        </is>
      </c>
      <c r="B127" t="n">
        <v>3.36</v>
      </c>
      <c r="C127" t="n">
        <v>229.086765</v>
      </c>
      <c r="D127" t="inlineStr">
        <is>
          <t>Unresolved</t>
        </is>
      </c>
    </row>
    <row r="128">
      <c r="A128" t="inlineStr">
        <is>
          <t>Zoarces viviparus</t>
        </is>
      </c>
      <c r="B128" t="n">
        <v>3.47</v>
      </c>
      <c r="C128" t="n">
        <v>295.120923</v>
      </c>
      <c r="D128" t="inlineStr">
        <is>
          <t>Large Dem. fish</t>
        </is>
      </c>
      <c r="H128" t="n">
        <v>257.213239</v>
      </c>
      <c r="I128" t="n">
        <v>242.020787</v>
      </c>
      <c r="J128" t="n">
        <v>251.673548</v>
      </c>
      <c r="K128" t="n">
        <v>236.573135</v>
      </c>
      <c r="L128" t="n">
        <v>461.958282</v>
      </c>
      <c r="M128" t="n">
        <v>374.891707</v>
      </c>
      <c r="N128" t="n">
        <v>374.891707</v>
      </c>
      <c r="O128" t="n">
        <v>228.730494</v>
      </c>
      <c r="P128" t="n">
        <v>73.767325</v>
      </c>
      <c r="Q128" t="n">
        <v>374.891707</v>
      </c>
      <c r="R128" t="n">
        <v>374.891707</v>
      </c>
      <c r="S128" t="n">
        <v>228.730494</v>
      </c>
      <c r="T128" t="n">
        <v>228.730494</v>
      </c>
      <c r="U128" t="n">
        <v>73.767325</v>
      </c>
      <c r="V128" t="n">
        <v>73.767325</v>
      </c>
      <c r="W128" t="n">
        <v>231.104367</v>
      </c>
      <c r="X128" t="n">
        <v>381.526081</v>
      </c>
    </row>
    <row r="129">
      <c r="A129" t="inlineStr">
        <is>
          <t>Centroscymnus coelolepis</t>
        </is>
      </c>
      <c r="D129" t="inlineStr">
        <is>
          <t>Sharks &amp; rays</t>
        </is>
      </c>
      <c r="H129" t="n">
        <v>233.624758</v>
      </c>
      <c r="I129" t="n">
        <v>492.26657</v>
      </c>
      <c r="J129" t="n">
        <v>510.78557</v>
      </c>
      <c r="K129" t="n">
        <v>219.637795</v>
      </c>
      <c r="L129" t="n">
        <v>1275.246638</v>
      </c>
      <c r="M129" t="n">
        <v>948.706608</v>
      </c>
      <c r="N129" t="n">
        <v>948.706608</v>
      </c>
      <c r="O129" t="n">
        <v>213.713009</v>
      </c>
      <c r="P129" t="n">
        <v>67.906436</v>
      </c>
      <c r="Q129" t="n">
        <v>948.706608</v>
      </c>
      <c r="R129" t="n">
        <v>948.706608</v>
      </c>
      <c r="S129" t="n">
        <v>213.713009</v>
      </c>
      <c r="T129" t="n">
        <v>213.713009</v>
      </c>
      <c r="U129" t="n">
        <v>67.906436</v>
      </c>
      <c r="V129" t="n">
        <v>67.906436</v>
      </c>
      <c r="W129" t="n">
        <v>220.688261</v>
      </c>
      <c r="X129" t="n">
        <v>981.457341</v>
      </c>
    </row>
    <row r="130">
      <c r="A130" t="inlineStr">
        <is>
          <t>Leucoraja naevus</t>
        </is>
      </c>
      <c r="B130" t="n">
        <v>4.21</v>
      </c>
      <c r="C130" t="n">
        <v>1621.810097</v>
      </c>
      <c r="D130" t="inlineStr">
        <is>
          <t>Sharks &amp; rays</t>
        </is>
      </c>
      <c r="H130" t="n">
        <v>233.624758</v>
      </c>
      <c r="I130" t="n">
        <v>492.26657</v>
      </c>
      <c r="J130" t="n">
        <v>510.78557</v>
      </c>
      <c r="K130" t="n">
        <v>219.637795</v>
      </c>
      <c r="L130" t="n">
        <v>1275.246638</v>
      </c>
      <c r="M130" t="n">
        <v>948.706608</v>
      </c>
      <c r="N130" t="n">
        <v>948.706608</v>
      </c>
      <c r="O130" t="n">
        <v>213.713009</v>
      </c>
      <c r="P130" t="n">
        <v>67.906436</v>
      </c>
      <c r="Q130" t="n">
        <v>948.706608</v>
      </c>
      <c r="R130" t="n">
        <v>948.706608</v>
      </c>
      <c r="S130" t="n">
        <v>213.713009</v>
      </c>
      <c r="T130" t="n">
        <v>213.713009</v>
      </c>
      <c r="U130" t="n">
        <v>67.906436</v>
      </c>
      <c r="V130" t="n">
        <v>67.906436</v>
      </c>
      <c r="W130" t="n">
        <v>220.688261</v>
      </c>
      <c r="X130" t="n">
        <v>981.457341</v>
      </c>
    </row>
    <row r="131">
      <c r="A131" t="inlineStr">
        <is>
          <t>Trisopterus minutus</t>
        </is>
      </c>
      <c r="B131" t="n">
        <v>3.73</v>
      </c>
      <c r="C131" t="n">
        <v>537.031796</v>
      </c>
      <c r="D131" t="inlineStr">
        <is>
          <t>Small pelagics</t>
        </is>
      </c>
      <c r="H131" t="n">
        <v>47.986658</v>
      </c>
      <c r="I131" t="n">
        <v>23.215644</v>
      </c>
      <c r="J131" t="n">
        <v>23.303441</v>
      </c>
      <c r="K131" t="n">
        <v>20.507028</v>
      </c>
      <c r="L131" t="n">
        <v>37.444032</v>
      </c>
      <c r="M131" t="n">
        <v>31.413829</v>
      </c>
      <c r="N131" t="n">
        <v>31.413829</v>
      </c>
      <c r="O131" t="n">
        <v>21.233792</v>
      </c>
      <c r="P131" t="n">
        <v>9.36406</v>
      </c>
      <c r="Q131" t="n">
        <v>31.413829</v>
      </c>
      <c r="R131" t="n">
        <v>31.413829</v>
      </c>
      <c r="S131" t="n">
        <v>21.233792</v>
      </c>
      <c r="T131" t="n">
        <v>21.233792</v>
      </c>
      <c r="U131" t="n">
        <v>9.36406</v>
      </c>
      <c r="V131" t="n">
        <v>9.36406</v>
      </c>
      <c r="W131" t="n">
        <v>21.105884</v>
      </c>
      <c r="X131" t="n">
        <v>33.32407</v>
      </c>
    </row>
    <row r="132">
      <c r="A132" t="inlineStr">
        <is>
          <t>Chondrichthyes</t>
        </is>
      </c>
      <c r="B132" t="n">
        <v>4</v>
      </c>
      <c r="C132" t="n">
        <v>1000</v>
      </c>
      <c r="D132" t="inlineStr">
        <is>
          <t>Unresolved</t>
        </is>
      </c>
    </row>
    <row r="133">
      <c r="A133" t="inlineStr">
        <is>
          <t>Macrourus berglax</t>
        </is>
      </c>
      <c r="B133" t="n">
        <v>4.48</v>
      </c>
      <c r="C133" t="n">
        <v>3019.95172</v>
      </c>
      <c r="D133" t="inlineStr">
        <is>
          <t>Unresolved</t>
        </is>
      </c>
    </row>
    <row r="134">
      <c r="A134" t="inlineStr">
        <is>
          <t>Malacostraca</t>
        </is>
      </c>
      <c r="B134" t="n">
        <v>3</v>
      </c>
      <c r="C134" t="n">
        <v>100</v>
      </c>
      <c r="D134" t="inlineStr">
        <is>
          <t>Crustacea</t>
        </is>
      </c>
      <c r="H134" t="n">
        <v>24.212502</v>
      </c>
      <c r="I134" t="n">
        <v>19.703615</v>
      </c>
      <c r="J134" t="n">
        <v>19.736166</v>
      </c>
      <c r="K134" t="n">
        <v>15.986295</v>
      </c>
      <c r="L134" t="n">
        <v>47.671907</v>
      </c>
      <c r="M134" t="n">
        <v>28.050267</v>
      </c>
      <c r="N134" t="n">
        <v>28.050267</v>
      </c>
      <c r="O134" t="n">
        <v>17.385749</v>
      </c>
      <c r="P134" t="n">
        <v>8.183744000000001</v>
      </c>
      <c r="Q134" t="n">
        <v>28.050267</v>
      </c>
      <c r="R134" t="n">
        <v>28.050267</v>
      </c>
      <c r="S134" t="n">
        <v>17.385749</v>
      </c>
      <c r="T134" t="n">
        <v>17.385749</v>
      </c>
      <c r="U134" t="n">
        <v>8.183744000000001</v>
      </c>
      <c r="V134" t="n">
        <v>8.183744000000001</v>
      </c>
      <c r="W134" t="n">
        <v>17.597621</v>
      </c>
      <c r="X134" t="n">
        <v>27.987895</v>
      </c>
    </row>
    <row r="135">
      <c r="A135" t="inlineStr">
        <is>
          <t>Raja brachyura</t>
        </is>
      </c>
      <c r="B135" t="n">
        <v>3.89</v>
      </c>
      <c r="C135" t="n">
        <v>776.247117</v>
      </c>
      <c r="D135" t="inlineStr">
        <is>
          <t>Sharks &amp; rays</t>
        </is>
      </c>
      <c r="H135" t="n">
        <v>233.624758</v>
      </c>
      <c r="I135" t="n">
        <v>492.26657</v>
      </c>
      <c r="J135" t="n">
        <v>510.78557</v>
      </c>
      <c r="K135" t="n">
        <v>219.637795</v>
      </c>
      <c r="L135" t="n">
        <v>1275.246638</v>
      </c>
      <c r="M135" t="n">
        <v>948.706608</v>
      </c>
      <c r="N135" t="n">
        <v>948.706608</v>
      </c>
      <c r="O135" t="n">
        <v>213.713009</v>
      </c>
      <c r="P135" t="n">
        <v>67.906436</v>
      </c>
      <c r="Q135" t="n">
        <v>948.706608</v>
      </c>
      <c r="R135" t="n">
        <v>948.706608</v>
      </c>
      <c r="S135" t="n">
        <v>213.713009</v>
      </c>
      <c r="T135" t="n">
        <v>213.713009</v>
      </c>
      <c r="U135" t="n">
        <v>67.906436</v>
      </c>
      <c r="V135" t="n">
        <v>67.906436</v>
      </c>
      <c r="W135" t="n">
        <v>220.688261</v>
      </c>
      <c r="X135" t="n">
        <v>981.457341</v>
      </c>
    </row>
    <row r="136">
      <c r="A136" t="inlineStr">
        <is>
          <t>Spisula solida</t>
        </is>
      </c>
      <c r="B136" t="n">
        <v>2</v>
      </c>
      <c r="C136" t="n">
        <v>10</v>
      </c>
      <c r="D136" t="inlineStr">
        <is>
          <t>Infauna</t>
        </is>
      </c>
      <c r="H136" t="n">
        <v>1.695379</v>
      </c>
      <c r="I136" t="n">
        <v>1.315556</v>
      </c>
      <c r="J136" t="n">
        <v>1.315556</v>
      </c>
      <c r="K136" t="n">
        <v>1.184</v>
      </c>
      <c r="L136" t="n">
        <v>3.864936</v>
      </c>
      <c r="M136" t="n">
        <v>1.321429</v>
      </c>
      <c r="N136" t="n">
        <v>1.321429</v>
      </c>
      <c r="O136" t="n">
        <v>1.188755</v>
      </c>
      <c r="P136" t="n">
        <v>0.950241</v>
      </c>
      <c r="Q136" t="n">
        <v>1.321429</v>
      </c>
      <c r="R136" t="n">
        <v>1.321429</v>
      </c>
      <c r="S136" t="n">
        <v>1.188755</v>
      </c>
      <c r="T136" t="n">
        <v>1.188755</v>
      </c>
      <c r="U136" t="n">
        <v>0.950241</v>
      </c>
      <c r="V136" t="n">
        <v>0.950241</v>
      </c>
      <c r="W136" t="n">
        <v>1.170683</v>
      </c>
      <c r="X136" t="n">
        <v>1.343305</v>
      </c>
    </row>
    <row r="137">
      <c r="A137" t="inlineStr">
        <is>
          <t>Aphanopus carbo</t>
        </is>
      </c>
      <c r="B137" t="n">
        <v>4.48</v>
      </c>
      <c r="C137" t="n">
        <v>3019.95172</v>
      </c>
      <c r="D137" t="inlineStr">
        <is>
          <t>Unresolved</t>
        </is>
      </c>
    </row>
    <row r="138">
      <c r="A138" t="inlineStr">
        <is>
          <t>Sebastes</t>
        </is>
      </c>
      <c r="B138" t="n">
        <v>3.79</v>
      </c>
      <c r="C138" t="n">
        <v>616.595002</v>
      </c>
      <c r="D138" t="inlineStr">
        <is>
          <t>Large Dem. fish</t>
        </is>
      </c>
      <c r="H138" t="n">
        <v>257.213239</v>
      </c>
      <c r="I138" t="n">
        <v>242.020787</v>
      </c>
      <c r="J138" t="n">
        <v>251.673548</v>
      </c>
      <c r="K138" t="n">
        <v>236.573135</v>
      </c>
      <c r="L138" t="n">
        <v>461.958282</v>
      </c>
      <c r="M138" t="n">
        <v>374.891707</v>
      </c>
      <c r="N138" t="n">
        <v>374.891707</v>
      </c>
      <c r="O138" t="n">
        <v>228.730494</v>
      </c>
      <c r="P138" t="n">
        <v>73.767325</v>
      </c>
      <c r="Q138" t="n">
        <v>374.891707</v>
      </c>
      <c r="R138" t="n">
        <v>374.891707</v>
      </c>
      <c r="S138" t="n">
        <v>228.730494</v>
      </c>
      <c r="T138" t="n">
        <v>228.730494</v>
      </c>
      <c r="U138" t="n">
        <v>73.767325</v>
      </c>
      <c r="V138" t="n">
        <v>73.767325</v>
      </c>
      <c r="W138" t="n">
        <v>231.104367</v>
      </c>
      <c r="X138" t="n">
        <v>381.526081</v>
      </c>
    </row>
    <row r="139">
      <c r="A139" t="inlineStr">
        <is>
          <t>Trigla</t>
        </is>
      </c>
      <c r="B139" t="n">
        <v>3.51</v>
      </c>
      <c r="C139" t="n">
        <v>323.593657</v>
      </c>
      <c r="D139" t="inlineStr">
        <is>
          <t>Large Dem. fish</t>
        </is>
      </c>
      <c r="H139" t="n">
        <v>257.213239</v>
      </c>
      <c r="I139" t="n">
        <v>242.020787</v>
      </c>
      <c r="J139" t="n">
        <v>251.673548</v>
      </c>
      <c r="K139" t="n">
        <v>236.573135</v>
      </c>
      <c r="L139" t="n">
        <v>461.958282</v>
      </c>
      <c r="M139" t="n">
        <v>374.891707</v>
      </c>
      <c r="N139" t="n">
        <v>374.891707</v>
      </c>
      <c r="O139" t="n">
        <v>228.730494</v>
      </c>
      <c r="P139" t="n">
        <v>73.767325</v>
      </c>
      <c r="Q139" t="n">
        <v>374.891707</v>
      </c>
      <c r="R139" t="n">
        <v>374.891707</v>
      </c>
      <c r="S139" t="n">
        <v>228.730494</v>
      </c>
      <c r="T139" t="n">
        <v>228.730494</v>
      </c>
      <c r="U139" t="n">
        <v>73.767325</v>
      </c>
      <c r="V139" t="n">
        <v>73.767325</v>
      </c>
      <c r="W139" t="n">
        <v>231.104367</v>
      </c>
      <c r="X139" t="n">
        <v>381.526081</v>
      </c>
    </row>
    <row r="140">
      <c r="A140" t="inlineStr">
        <is>
          <t>Sparidae</t>
        </is>
      </c>
      <c r="B140" t="n">
        <v>3.31</v>
      </c>
      <c r="C140" t="n">
        <v>204.173794</v>
      </c>
      <c r="D140" t="inlineStr">
        <is>
          <t>Large Dem. fish</t>
        </is>
      </c>
      <c r="H140" t="n">
        <v>257.213239</v>
      </c>
      <c r="I140" t="n">
        <v>242.020787</v>
      </c>
      <c r="J140" t="n">
        <v>251.673548</v>
      </c>
      <c r="K140" t="n">
        <v>236.573135</v>
      </c>
      <c r="L140" t="n">
        <v>461.958282</v>
      </c>
      <c r="M140" t="n">
        <v>374.891707</v>
      </c>
      <c r="N140" t="n">
        <v>374.891707</v>
      </c>
      <c r="O140" t="n">
        <v>228.730494</v>
      </c>
      <c r="P140" t="n">
        <v>73.767325</v>
      </c>
      <c r="Q140" t="n">
        <v>374.891707</v>
      </c>
      <c r="R140" t="n">
        <v>374.891707</v>
      </c>
      <c r="S140" t="n">
        <v>228.730494</v>
      </c>
      <c r="T140" t="n">
        <v>228.730494</v>
      </c>
      <c r="U140" t="n">
        <v>73.767325</v>
      </c>
      <c r="V140" t="n">
        <v>73.767325</v>
      </c>
      <c r="W140" t="n">
        <v>231.104367</v>
      </c>
      <c r="X140" t="n">
        <v>381.526081</v>
      </c>
    </row>
    <row r="141">
      <c r="A141" t="inlineStr">
        <is>
          <t>Mullus barbatus</t>
        </is>
      </c>
      <c r="B141" t="n">
        <v>3.14</v>
      </c>
      <c r="C141" t="n">
        <v>138.038426</v>
      </c>
      <c r="D141" t="inlineStr">
        <is>
          <t>Large Dem. fish</t>
        </is>
      </c>
      <c r="H141" t="n">
        <v>257.213239</v>
      </c>
      <c r="I141" t="n">
        <v>242.020787</v>
      </c>
      <c r="J141" t="n">
        <v>251.673548</v>
      </c>
      <c r="K141" t="n">
        <v>236.573135</v>
      </c>
      <c r="L141" t="n">
        <v>461.958282</v>
      </c>
      <c r="M141" t="n">
        <v>374.891707</v>
      </c>
      <c r="N141" t="n">
        <v>374.891707</v>
      </c>
      <c r="O141" t="n">
        <v>228.730494</v>
      </c>
      <c r="P141" t="n">
        <v>73.767325</v>
      </c>
      <c r="Q141" t="n">
        <v>374.891707</v>
      </c>
      <c r="R141" t="n">
        <v>374.891707</v>
      </c>
      <c r="S141" t="n">
        <v>228.730494</v>
      </c>
      <c r="T141" t="n">
        <v>228.730494</v>
      </c>
      <c r="U141" t="n">
        <v>73.767325</v>
      </c>
      <c r="V141" t="n">
        <v>73.767325</v>
      </c>
      <c r="W141" t="n">
        <v>231.104367</v>
      </c>
      <c r="X141" t="n">
        <v>381.526081</v>
      </c>
    </row>
    <row r="142">
      <c r="A142" t="inlineStr">
        <is>
          <t>Teuthida</t>
        </is>
      </c>
      <c r="B142" t="n">
        <v>4.13</v>
      </c>
      <c r="C142" t="n">
        <v>1348.962883</v>
      </c>
      <c r="D142" t="inlineStr">
        <is>
          <t>Squid &amp; Octopus</t>
        </is>
      </c>
      <c r="H142" t="n">
        <v>62.376626</v>
      </c>
      <c r="I142" t="n">
        <v>51.428785</v>
      </c>
      <c r="J142" t="n">
        <v>51.639947</v>
      </c>
      <c r="K142" t="n">
        <v>49.05795</v>
      </c>
      <c r="L142" t="n">
        <v>94.097724</v>
      </c>
      <c r="M142" t="n">
        <v>69.667844</v>
      </c>
      <c r="N142" t="n">
        <v>69.667844</v>
      </c>
      <c r="O142" t="n">
        <v>47.704772</v>
      </c>
      <c r="P142" t="n">
        <v>19.528933</v>
      </c>
      <c r="Q142" t="n">
        <v>69.667844</v>
      </c>
      <c r="R142" t="n">
        <v>69.667844</v>
      </c>
      <c r="S142" t="n">
        <v>47.704772</v>
      </c>
      <c r="T142" t="n">
        <v>47.704772</v>
      </c>
      <c r="U142" t="n">
        <v>19.528933</v>
      </c>
      <c r="V142" t="n">
        <v>19.528933</v>
      </c>
      <c r="W142" t="n">
        <v>48.333282</v>
      </c>
      <c r="X142" t="n">
        <v>72.484779</v>
      </c>
    </row>
    <row r="143">
      <c r="A143" t="inlineStr">
        <is>
          <t>Trachurus</t>
        </is>
      </c>
      <c r="B143" t="n">
        <v>3.69</v>
      </c>
      <c r="C143" t="n">
        <v>489.778819</v>
      </c>
      <c r="D143" t="inlineStr">
        <is>
          <t>Large Pelagics</t>
        </is>
      </c>
      <c r="H143" t="n">
        <v>139.957891</v>
      </c>
      <c r="I143" t="n">
        <v>118.942542</v>
      </c>
      <c r="J143" t="n">
        <v>128.033231</v>
      </c>
      <c r="K143" t="n">
        <v>115.229908</v>
      </c>
      <c r="L143" t="n">
        <v>208.675232</v>
      </c>
      <c r="M143" t="n">
        <v>172.524137</v>
      </c>
      <c r="N143" t="n">
        <v>172.524137</v>
      </c>
      <c r="O143" t="n">
        <v>107.933606</v>
      </c>
      <c r="P143" t="n">
        <v>40.156364</v>
      </c>
      <c r="Q143" t="n">
        <v>172.524137</v>
      </c>
      <c r="R143" t="n">
        <v>172.524137</v>
      </c>
      <c r="S143" t="n">
        <v>107.933606</v>
      </c>
      <c r="T143" t="n">
        <v>107.933606</v>
      </c>
      <c r="U143" t="n">
        <v>40.156364</v>
      </c>
      <c r="V143" t="n">
        <v>40.156364</v>
      </c>
      <c r="W143" t="n">
        <v>107.778581</v>
      </c>
      <c r="X143" t="n">
        <v>174.242777</v>
      </c>
    </row>
    <row r="144">
      <c r="A144" t="inlineStr">
        <is>
          <t>Argentina silus</t>
        </is>
      </c>
      <c r="B144" t="n">
        <v>3.32</v>
      </c>
      <c r="C144" t="n">
        <v>208.929613</v>
      </c>
      <c r="D144" t="inlineStr">
        <is>
          <t>Small pelagics</t>
        </is>
      </c>
      <c r="H144" t="n">
        <v>47.986658</v>
      </c>
      <c r="I144" t="n">
        <v>23.215644</v>
      </c>
      <c r="J144" t="n">
        <v>23.303441</v>
      </c>
      <c r="K144" t="n">
        <v>20.507028</v>
      </c>
      <c r="L144" t="n">
        <v>37.444032</v>
      </c>
      <c r="M144" t="n">
        <v>31.413829</v>
      </c>
      <c r="N144" t="n">
        <v>31.413829</v>
      </c>
      <c r="O144" t="n">
        <v>21.233792</v>
      </c>
      <c r="P144" t="n">
        <v>9.36406</v>
      </c>
      <c r="Q144" t="n">
        <v>31.413829</v>
      </c>
      <c r="R144" t="n">
        <v>31.413829</v>
      </c>
      <c r="S144" t="n">
        <v>21.233792</v>
      </c>
      <c r="T144" t="n">
        <v>21.233792</v>
      </c>
      <c r="U144" t="n">
        <v>9.36406</v>
      </c>
      <c r="V144" t="n">
        <v>9.36406</v>
      </c>
      <c r="W144" t="n">
        <v>21.105884</v>
      </c>
      <c r="X144" t="n">
        <v>33.32407</v>
      </c>
    </row>
    <row r="145">
      <c r="A145" t="inlineStr">
        <is>
          <t>Raja montagui</t>
        </is>
      </c>
      <c r="B145" t="n">
        <v>3.88</v>
      </c>
      <c r="C145" t="n">
        <v>758.577575</v>
      </c>
      <c r="D145" t="inlineStr">
        <is>
          <t>Sharks &amp; rays</t>
        </is>
      </c>
      <c r="H145" t="n">
        <v>233.624758</v>
      </c>
      <c r="I145" t="n">
        <v>492.26657</v>
      </c>
      <c r="J145" t="n">
        <v>510.78557</v>
      </c>
      <c r="K145" t="n">
        <v>219.637795</v>
      </c>
      <c r="L145" t="n">
        <v>1275.246638</v>
      </c>
      <c r="M145" t="n">
        <v>948.706608</v>
      </c>
      <c r="N145" t="n">
        <v>948.706608</v>
      </c>
      <c r="O145" t="n">
        <v>213.713009</v>
      </c>
      <c r="P145" t="n">
        <v>67.906436</v>
      </c>
      <c r="Q145" t="n">
        <v>948.706608</v>
      </c>
      <c r="R145" t="n">
        <v>948.706608</v>
      </c>
      <c r="S145" t="n">
        <v>213.713009</v>
      </c>
      <c r="T145" t="n">
        <v>213.713009</v>
      </c>
      <c r="U145" t="n">
        <v>67.906436</v>
      </c>
      <c r="V145" t="n">
        <v>67.906436</v>
      </c>
      <c r="W145" t="n">
        <v>220.688261</v>
      </c>
      <c r="X145" t="n">
        <v>981.457341</v>
      </c>
    </row>
    <row r="146">
      <c r="A146" t="inlineStr">
        <is>
          <t>Conger conger</t>
        </is>
      </c>
      <c r="B146" t="n">
        <v>4.31</v>
      </c>
      <c r="C146" t="n">
        <v>2041.737945</v>
      </c>
      <c r="D146" t="inlineStr">
        <is>
          <t>Large Dem. fish</t>
        </is>
      </c>
      <c r="H146" t="n">
        <v>257.213239</v>
      </c>
      <c r="I146" t="n">
        <v>242.020787</v>
      </c>
      <c r="J146" t="n">
        <v>251.673548</v>
      </c>
      <c r="K146" t="n">
        <v>236.573135</v>
      </c>
      <c r="L146" t="n">
        <v>461.958282</v>
      </c>
      <c r="M146" t="n">
        <v>374.891707</v>
      </c>
      <c r="N146" t="n">
        <v>374.891707</v>
      </c>
      <c r="O146" t="n">
        <v>228.730494</v>
      </c>
      <c r="P146" t="n">
        <v>73.767325</v>
      </c>
      <c r="Q146" t="n">
        <v>374.891707</v>
      </c>
      <c r="R146" t="n">
        <v>374.891707</v>
      </c>
      <c r="S146" t="n">
        <v>228.730494</v>
      </c>
      <c r="T146" t="n">
        <v>228.730494</v>
      </c>
      <c r="U146" t="n">
        <v>73.767325</v>
      </c>
      <c r="V146" t="n">
        <v>73.767325</v>
      </c>
      <c r="W146" t="n">
        <v>231.104367</v>
      </c>
      <c r="X146" t="n">
        <v>381.526081</v>
      </c>
    </row>
    <row r="147">
      <c r="A147" t="inlineStr">
        <is>
          <t>Sepia officinalis</t>
        </is>
      </c>
      <c r="B147" t="n">
        <v>4.27</v>
      </c>
      <c r="C147" t="n">
        <v>1862.087137</v>
      </c>
      <c r="D147" t="inlineStr">
        <is>
          <t>Squid &amp; Octopus</t>
        </is>
      </c>
      <c r="H147" t="n">
        <v>62.376626</v>
      </c>
      <c r="I147" t="n">
        <v>51.428785</v>
      </c>
      <c r="J147" t="n">
        <v>51.639947</v>
      </c>
      <c r="K147" t="n">
        <v>49.05795</v>
      </c>
      <c r="L147" t="n">
        <v>94.097724</v>
      </c>
      <c r="M147" t="n">
        <v>69.667844</v>
      </c>
      <c r="N147" t="n">
        <v>69.667844</v>
      </c>
      <c r="O147" t="n">
        <v>47.704772</v>
      </c>
      <c r="P147" t="n">
        <v>19.528933</v>
      </c>
      <c r="Q147" t="n">
        <v>69.667844</v>
      </c>
      <c r="R147" t="n">
        <v>69.667844</v>
      </c>
      <c r="S147" t="n">
        <v>47.704772</v>
      </c>
      <c r="T147" t="n">
        <v>47.704772</v>
      </c>
      <c r="U147" t="n">
        <v>19.528933</v>
      </c>
      <c r="V147" t="n">
        <v>19.528933</v>
      </c>
      <c r="W147" t="n">
        <v>48.333282</v>
      </c>
      <c r="X147" t="n">
        <v>72.484779</v>
      </c>
    </row>
    <row r="148">
      <c r="A148" t="inlineStr">
        <is>
          <t>Balistidae</t>
        </is>
      </c>
      <c r="B148" t="n">
        <v>3.25</v>
      </c>
      <c r="C148" t="n">
        <v>177.827941</v>
      </c>
      <c r="D148" t="inlineStr">
        <is>
          <t>Large Dem. fish</t>
        </is>
      </c>
      <c r="H148" t="n">
        <v>257.213239</v>
      </c>
      <c r="I148" t="n">
        <v>242.020787</v>
      </c>
      <c r="J148" t="n">
        <v>251.673548</v>
      </c>
      <c r="K148" t="n">
        <v>236.573135</v>
      </c>
      <c r="L148" t="n">
        <v>461.958282</v>
      </c>
      <c r="M148" t="n">
        <v>374.891707</v>
      </c>
      <c r="N148" t="n">
        <v>374.891707</v>
      </c>
      <c r="O148" t="n">
        <v>228.730494</v>
      </c>
      <c r="P148" t="n">
        <v>73.767325</v>
      </c>
      <c r="Q148" t="n">
        <v>374.891707</v>
      </c>
      <c r="R148" t="n">
        <v>374.891707</v>
      </c>
      <c r="S148" t="n">
        <v>228.730494</v>
      </c>
      <c r="T148" t="n">
        <v>228.730494</v>
      </c>
      <c r="U148" t="n">
        <v>73.767325</v>
      </c>
      <c r="V148" t="n">
        <v>73.767325</v>
      </c>
      <c r="W148" t="n">
        <v>231.104367</v>
      </c>
      <c r="X148" t="n">
        <v>381.526081</v>
      </c>
    </row>
    <row r="149">
      <c r="A149" t="inlineStr">
        <is>
          <t>Cardiidae</t>
        </is>
      </c>
      <c r="D149" t="inlineStr">
        <is>
          <t>Epifauna</t>
        </is>
      </c>
      <c r="H149" t="n">
        <v>8.395077000000001</v>
      </c>
      <c r="I149" t="n">
        <v>5.225253</v>
      </c>
      <c r="J149" t="n">
        <v>5.225253</v>
      </c>
      <c r="K149" t="n">
        <v>4.598222</v>
      </c>
      <c r="L149" t="n">
        <v>10.950321</v>
      </c>
      <c r="M149" t="n">
        <v>5.811987</v>
      </c>
      <c r="N149" t="n">
        <v>5.811987</v>
      </c>
      <c r="O149" t="n">
        <v>4.520226</v>
      </c>
      <c r="P149" t="n">
        <v>2.746443</v>
      </c>
      <c r="Q149" t="n">
        <v>5.811987</v>
      </c>
      <c r="R149" t="n">
        <v>5.811987</v>
      </c>
      <c r="S149" t="n">
        <v>4.520226</v>
      </c>
      <c r="T149" t="n">
        <v>4.520226</v>
      </c>
      <c r="U149" t="n">
        <v>2.746443</v>
      </c>
      <c r="V149" t="n">
        <v>2.746443</v>
      </c>
      <c r="W149" t="n">
        <v>4.485747</v>
      </c>
      <c r="X149" t="n">
        <v>5.703863</v>
      </c>
    </row>
    <row r="150">
      <c r="A150" t="inlineStr">
        <is>
          <t>Sepiidae</t>
        </is>
      </c>
      <c r="B150" t="n">
        <v>3.6</v>
      </c>
      <c r="C150" t="n">
        <v>398.107171</v>
      </c>
      <c r="D150" t="inlineStr">
        <is>
          <t>Squid &amp; Octopus</t>
        </is>
      </c>
      <c r="H150" t="n">
        <v>62.376626</v>
      </c>
      <c r="I150" t="n">
        <v>51.428785</v>
      </c>
      <c r="J150" t="n">
        <v>51.639947</v>
      </c>
      <c r="K150" t="n">
        <v>49.05795</v>
      </c>
      <c r="L150" t="n">
        <v>94.097724</v>
      </c>
      <c r="M150" t="n">
        <v>69.667844</v>
      </c>
      <c r="N150" t="n">
        <v>69.667844</v>
      </c>
      <c r="O150" t="n">
        <v>47.704772</v>
      </c>
      <c r="P150" t="n">
        <v>19.528933</v>
      </c>
      <c r="Q150" t="n">
        <v>69.667844</v>
      </c>
      <c r="R150" t="n">
        <v>69.667844</v>
      </c>
      <c r="S150" t="n">
        <v>47.704772</v>
      </c>
      <c r="T150" t="n">
        <v>47.704772</v>
      </c>
      <c r="U150" t="n">
        <v>19.528933</v>
      </c>
      <c r="V150" t="n">
        <v>19.528933</v>
      </c>
      <c r="W150" t="n">
        <v>48.333282</v>
      </c>
      <c r="X150" t="n">
        <v>72.484779</v>
      </c>
    </row>
    <row r="151">
      <c r="A151" t="inlineStr">
        <is>
          <t>Palaemon serratus</t>
        </is>
      </c>
      <c r="B151" t="n">
        <v>2.69</v>
      </c>
      <c r="C151" t="n">
        <v>48.977882</v>
      </c>
      <c r="D151" t="inlineStr">
        <is>
          <t>Crustacea</t>
        </is>
      </c>
      <c r="H151" t="n">
        <v>24.212502</v>
      </c>
      <c r="I151" t="n">
        <v>19.703615</v>
      </c>
      <c r="J151" t="n">
        <v>19.736166</v>
      </c>
      <c r="K151" t="n">
        <v>15.986295</v>
      </c>
      <c r="L151" t="n">
        <v>47.671907</v>
      </c>
      <c r="M151" t="n">
        <v>28.050267</v>
      </c>
      <c r="N151" t="n">
        <v>28.050267</v>
      </c>
      <c r="O151" t="n">
        <v>17.385749</v>
      </c>
      <c r="P151" t="n">
        <v>8.183744000000001</v>
      </c>
      <c r="Q151" t="n">
        <v>28.050267</v>
      </c>
      <c r="R151" t="n">
        <v>28.050267</v>
      </c>
      <c r="S151" t="n">
        <v>17.385749</v>
      </c>
      <c r="T151" t="n">
        <v>17.385749</v>
      </c>
      <c r="U151" t="n">
        <v>8.183744000000001</v>
      </c>
      <c r="V151" t="n">
        <v>8.183744000000001</v>
      </c>
      <c r="W151" t="n">
        <v>17.597621</v>
      </c>
      <c r="X151" t="n">
        <v>27.987895</v>
      </c>
    </row>
    <row r="152">
      <c r="A152" t="inlineStr">
        <is>
          <t>Mugilidae</t>
        </is>
      </c>
      <c r="B152" t="n">
        <v>2.53</v>
      </c>
      <c r="C152" t="n">
        <v>33.884416</v>
      </c>
      <c r="D152" t="inlineStr">
        <is>
          <t>Large Dem. fish</t>
        </is>
      </c>
      <c r="H152" t="n">
        <v>257.213239</v>
      </c>
      <c r="I152" t="n">
        <v>242.020787</v>
      </c>
      <c r="J152" t="n">
        <v>251.673548</v>
      </c>
      <c r="K152" t="n">
        <v>236.573135</v>
      </c>
      <c r="L152" t="n">
        <v>461.958282</v>
      </c>
      <c r="M152" t="n">
        <v>374.891707</v>
      </c>
      <c r="N152" t="n">
        <v>374.891707</v>
      </c>
      <c r="O152" t="n">
        <v>228.730494</v>
      </c>
      <c r="P152" t="n">
        <v>73.767325</v>
      </c>
      <c r="Q152" t="n">
        <v>374.891707</v>
      </c>
      <c r="R152" t="n">
        <v>374.891707</v>
      </c>
      <c r="S152" t="n">
        <v>228.730494</v>
      </c>
      <c r="T152" t="n">
        <v>228.730494</v>
      </c>
      <c r="U152" t="n">
        <v>73.767325</v>
      </c>
      <c r="V152" t="n">
        <v>73.767325</v>
      </c>
      <c r="W152" t="n">
        <v>231.104367</v>
      </c>
      <c r="X152" t="n">
        <v>381.526081</v>
      </c>
    </row>
    <row r="153">
      <c r="A153" t="inlineStr">
        <is>
          <t>Mullus surmuletus</t>
        </is>
      </c>
      <c r="B153" t="n">
        <v>3.45</v>
      </c>
      <c r="C153" t="n">
        <v>281.838293</v>
      </c>
      <c r="D153" t="inlineStr">
        <is>
          <t>Large Dem. fish</t>
        </is>
      </c>
      <c r="H153" t="n">
        <v>257.213239</v>
      </c>
      <c r="I153" t="n">
        <v>242.020787</v>
      </c>
      <c r="J153" t="n">
        <v>251.673548</v>
      </c>
      <c r="K153" t="n">
        <v>236.573135</v>
      </c>
      <c r="L153" t="n">
        <v>461.958282</v>
      </c>
      <c r="M153" t="n">
        <v>374.891707</v>
      </c>
      <c r="N153" t="n">
        <v>374.891707</v>
      </c>
      <c r="O153" t="n">
        <v>228.730494</v>
      </c>
      <c r="P153" t="n">
        <v>73.767325</v>
      </c>
      <c r="Q153" t="n">
        <v>374.891707</v>
      </c>
      <c r="R153" t="n">
        <v>374.891707</v>
      </c>
      <c r="S153" t="n">
        <v>228.730494</v>
      </c>
      <c r="T153" t="n">
        <v>228.730494</v>
      </c>
      <c r="U153" t="n">
        <v>73.767325</v>
      </c>
      <c r="V153" t="n">
        <v>73.767325</v>
      </c>
      <c r="W153" t="n">
        <v>231.104367</v>
      </c>
      <c r="X153" t="n">
        <v>381.526081</v>
      </c>
    </row>
    <row r="154">
      <c r="A154" t="inlineStr">
        <is>
          <t>Pandalus</t>
        </is>
      </c>
      <c r="B154" t="n">
        <v>2.6</v>
      </c>
      <c r="C154" t="n">
        <v>39.810717</v>
      </c>
      <c r="D154" t="inlineStr">
        <is>
          <t>Crustacea</t>
        </is>
      </c>
      <c r="H154" t="n">
        <v>24.212502</v>
      </c>
      <c r="I154" t="n">
        <v>19.703615</v>
      </c>
      <c r="J154" t="n">
        <v>19.736166</v>
      </c>
      <c r="K154" t="n">
        <v>15.986295</v>
      </c>
      <c r="L154" t="n">
        <v>47.671907</v>
      </c>
      <c r="M154" t="n">
        <v>28.050267</v>
      </c>
      <c r="N154" t="n">
        <v>28.050267</v>
      </c>
      <c r="O154" t="n">
        <v>17.385749</v>
      </c>
      <c r="P154" t="n">
        <v>8.183744000000001</v>
      </c>
      <c r="Q154" t="n">
        <v>28.050267</v>
      </c>
      <c r="R154" t="n">
        <v>28.050267</v>
      </c>
      <c r="S154" t="n">
        <v>17.385749</v>
      </c>
      <c r="T154" t="n">
        <v>17.385749</v>
      </c>
      <c r="U154" t="n">
        <v>8.183744000000001</v>
      </c>
      <c r="V154" t="n">
        <v>8.183744000000001</v>
      </c>
      <c r="W154" t="n">
        <v>17.597621</v>
      </c>
      <c r="X154" t="n">
        <v>27.987895</v>
      </c>
    </row>
    <row r="155">
      <c r="A155" t="inlineStr">
        <is>
          <t>Gasterosteus aculeatus</t>
        </is>
      </c>
      <c r="B155" t="n">
        <v>3.31</v>
      </c>
      <c r="C155" t="n">
        <v>204.173794</v>
      </c>
      <c r="D155" t="inlineStr">
        <is>
          <t>Large Dem. fish</t>
        </is>
      </c>
      <c r="H155" t="n">
        <v>257.213239</v>
      </c>
      <c r="I155" t="n">
        <v>242.020787</v>
      </c>
      <c r="J155" t="n">
        <v>251.673548</v>
      </c>
      <c r="K155" t="n">
        <v>236.573135</v>
      </c>
      <c r="L155" t="n">
        <v>461.958282</v>
      </c>
      <c r="M155" t="n">
        <v>374.891707</v>
      </c>
      <c r="N155" t="n">
        <v>374.891707</v>
      </c>
      <c r="O155" t="n">
        <v>228.730494</v>
      </c>
      <c r="P155" t="n">
        <v>73.767325</v>
      </c>
      <c r="Q155" t="n">
        <v>374.891707</v>
      </c>
      <c r="R155" t="n">
        <v>374.891707</v>
      </c>
      <c r="S155" t="n">
        <v>228.730494</v>
      </c>
      <c r="T155" t="n">
        <v>228.730494</v>
      </c>
      <c r="U155" t="n">
        <v>73.767325</v>
      </c>
      <c r="V155" t="n">
        <v>73.767325</v>
      </c>
      <c r="W155" t="n">
        <v>231.104367</v>
      </c>
      <c r="X155" t="n">
        <v>381.526081</v>
      </c>
    </row>
    <row r="156">
      <c r="A156" t="inlineStr">
        <is>
          <t>Buccinidae</t>
        </is>
      </c>
      <c r="D156" t="inlineStr">
        <is>
          <t>Epifauna</t>
        </is>
      </c>
      <c r="H156" t="n">
        <v>8.395077000000001</v>
      </c>
      <c r="I156" t="n">
        <v>5.225253</v>
      </c>
      <c r="J156" t="n">
        <v>5.225253</v>
      </c>
      <c r="K156" t="n">
        <v>4.598222</v>
      </c>
      <c r="L156" t="n">
        <v>10.950321</v>
      </c>
      <c r="M156" t="n">
        <v>5.811987</v>
      </c>
      <c r="N156" t="n">
        <v>5.811987</v>
      </c>
      <c r="O156" t="n">
        <v>4.520226</v>
      </c>
      <c r="P156" t="n">
        <v>2.746443</v>
      </c>
      <c r="Q156" t="n">
        <v>5.811987</v>
      </c>
      <c r="R156" t="n">
        <v>5.811987</v>
      </c>
      <c r="S156" t="n">
        <v>4.520226</v>
      </c>
      <c r="T156" t="n">
        <v>4.520226</v>
      </c>
      <c r="U156" t="n">
        <v>2.746443</v>
      </c>
      <c r="V156" t="n">
        <v>2.746443</v>
      </c>
      <c r="W156" t="n">
        <v>4.485747</v>
      </c>
      <c r="X156" t="n">
        <v>5.703863</v>
      </c>
    </row>
    <row r="157">
      <c r="A157" t="inlineStr">
        <is>
          <t>Mullidae</t>
        </is>
      </c>
      <c r="B157" t="n">
        <v>3.46</v>
      </c>
      <c r="C157" t="n">
        <v>288.40315</v>
      </c>
      <c r="D157" t="inlineStr">
        <is>
          <t>Large Dem. fish</t>
        </is>
      </c>
      <c r="H157" t="n">
        <v>257.213239</v>
      </c>
      <c r="I157" t="n">
        <v>242.020787</v>
      </c>
      <c r="J157" t="n">
        <v>251.673548</v>
      </c>
      <c r="K157" t="n">
        <v>236.573135</v>
      </c>
      <c r="L157" t="n">
        <v>461.958282</v>
      </c>
      <c r="M157" t="n">
        <v>374.891707</v>
      </c>
      <c r="N157" t="n">
        <v>374.891707</v>
      </c>
      <c r="O157" t="n">
        <v>228.730494</v>
      </c>
      <c r="P157" t="n">
        <v>73.767325</v>
      </c>
      <c r="Q157" t="n">
        <v>374.891707</v>
      </c>
      <c r="R157" t="n">
        <v>374.891707</v>
      </c>
      <c r="S157" t="n">
        <v>228.730494</v>
      </c>
      <c r="T157" t="n">
        <v>228.730494</v>
      </c>
      <c r="U157" t="n">
        <v>73.767325</v>
      </c>
      <c r="V157" t="n">
        <v>73.767325</v>
      </c>
      <c r="W157" t="n">
        <v>231.104367</v>
      </c>
      <c r="X157" t="n">
        <v>381.526081</v>
      </c>
    </row>
    <row r="158">
      <c r="A158" t="inlineStr">
        <is>
          <t>Littorina littorea</t>
        </is>
      </c>
      <c r="B158" t="n">
        <v>2</v>
      </c>
      <c r="C158" t="n">
        <v>10</v>
      </c>
      <c r="D158" t="inlineStr">
        <is>
          <t>Epifauna</t>
        </is>
      </c>
      <c r="H158" t="n">
        <v>8.395077000000001</v>
      </c>
      <c r="I158" t="n">
        <v>5.225253</v>
      </c>
      <c r="J158" t="n">
        <v>5.225253</v>
      </c>
      <c r="K158" t="n">
        <v>4.598222</v>
      </c>
      <c r="L158" t="n">
        <v>10.950321</v>
      </c>
      <c r="M158" t="n">
        <v>5.811987</v>
      </c>
      <c r="N158" t="n">
        <v>5.811987</v>
      </c>
      <c r="O158" t="n">
        <v>4.520226</v>
      </c>
      <c r="P158" t="n">
        <v>2.746443</v>
      </c>
      <c r="Q158" t="n">
        <v>5.811987</v>
      </c>
      <c r="R158" t="n">
        <v>5.811987</v>
      </c>
      <c r="S158" t="n">
        <v>4.520226</v>
      </c>
      <c r="T158" t="n">
        <v>4.520226</v>
      </c>
      <c r="U158" t="n">
        <v>2.746443</v>
      </c>
      <c r="V158" t="n">
        <v>2.746443</v>
      </c>
      <c r="W158" t="n">
        <v>4.485747</v>
      </c>
      <c r="X158" t="n">
        <v>5.703863</v>
      </c>
    </row>
    <row r="159">
      <c r="A159" t="inlineStr">
        <is>
          <t>Spondyliosoma cantharus</t>
        </is>
      </c>
      <c r="B159" t="n">
        <v>3.34</v>
      </c>
      <c r="C159" t="n">
        <v>218.776162</v>
      </c>
      <c r="D159" t="inlineStr">
        <is>
          <t>Large Dem. fish</t>
        </is>
      </c>
      <c r="H159" t="n">
        <v>257.213239</v>
      </c>
      <c r="I159" t="n">
        <v>242.020787</v>
      </c>
      <c r="J159" t="n">
        <v>251.673548</v>
      </c>
      <c r="K159" t="n">
        <v>236.573135</v>
      </c>
      <c r="L159" t="n">
        <v>461.958282</v>
      </c>
      <c r="M159" t="n">
        <v>374.891707</v>
      </c>
      <c r="N159" t="n">
        <v>374.891707</v>
      </c>
      <c r="O159" t="n">
        <v>228.730494</v>
      </c>
      <c r="P159" t="n">
        <v>73.767325</v>
      </c>
      <c r="Q159" t="n">
        <v>374.891707</v>
      </c>
      <c r="R159" t="n">
        <v>374.891707</v>
      </c>
      <c r="S159" t="n">
        <v>228.730494</v>
      </c>
      <c r="T159" t="n">
        <v>228.730494</v>
      </c>
      <c r="U159" t="n">
        <v>73.767325</v>
      </c>
      <c r="V159" t="n">
        <v>73.767325</v>
      </c>
      <c r="W159" t="n">
        <v>231.104367</v>
      </c>
      <c r="X159" t="n">
        <v>381.526081</v>
      </c>
    </row>
    <row r="160">
      <c r="A160" t="inlineStr">
        <is>
          <t>Chamelea gallina</t>
        </is>
      </c>
      <c r="B160" t="n">
        <v>2.1</v>
      </c>
      <c r="C160" t="n">
        <v>12.589254</v>
      </c>
      <c r="D160" t="inlineStr">
        <is>
          <t>Infauna</t>
        </is>
      </c>
      <c r="H160" t="n">
        <v>1.695379</v>
      </c>
      <c r="I160" t="n">
        <v>1.315556</v>
      </c>
      <c r="J160" t="n">
        <v>1.315556</v>
      </c>
      <c r="K160" t="n">
        <v>1.184</v>
      </c>
      <c r="L160" t="n">
        <v>3.864936</v>
      </c>
      <c r="M160" t="n">
        <v>1.321429</v>
      </c>
      <c r="N160" t="n">
        <v>1.321429</v>
      </c>
      <c r="O160" t="n">
        <v>1.188755</v>
      </c>
      <c r="P160" t="n">
        <v>0.950241</v>
      </c>
      <c r="Q160" t="n">
        <v>1.321429</v>
      </c>
      <c r="R160" t="n">
        <v>1.321429</v>
      </c>
      <c r="S160" t="n">
        <v>1.188755</v>
      </c>
      <c r="T160" t="n">
        <v>1.188755</v>
      </c>
      <c r="U160" t="n">
        <v>0.950241</v>
      </c>
      <c r="V160" t="n">
        <v>0.950241</v>
      </c>
      <c r="W160" t="n">
        <v>1.170683</v>
      </c>
      <c r="X160" t="n">
        <v>1.343305</v>
      </c>
    </row>
    <row r="161">
      <c r="A161" t="inlineStr">
        <is>
          <t>Loligo</t>
        </is>
      </c>
      <c r="B161" t="n">
        <v>3.99</v>
      </c>
      <c r="C161" t="n">
        <v>977.237221</v>
      </c>
      <c r="D161" t="inlineStr">
        <is>
          <t>Squid &amp; Octopus</t>
        </is>
      </c>
      <c r="H161" t="n">
        <v>62.376626</v>
      </c>
      <c r="I161" t="n">
        <v>51.428785</v>
      </c>
      <c r="J161" t="n">
        <v>51.639947</v>
      </c>
      <c r="K161" t="n">
        <v>49.05795</v>
      </c>
      <c r="L161" t="n">
        <v>94.097724</v>
      </c>
      <c r="M161" t="n">
        <v>69.667844</v>
      </c>
      <c r="N161" t="n">
        <v>69.667844</v>
      </c>
      <c r="O161" t="n">
        <v>47.704772</v>
      </c>
      <c r="P161" t="n">
        <v>19.528933</v>
      </c>
      <c r="Q161" t="n">
        <v>69.667844</v>
      </c>
      <c r="R161" t="n">
        <v>69.667844</v>
      </c>
      <c r="S161" t="n">
        <v>47.704772</v>
      </c>
      <c r="T161" t="n">
        <v>47.704772</v>
      </c>
      <c r="U161" t="n">
        <v>19.528933</v>
      </c>
      <c r="V161" t="n">
        <v>19.528933</v>
      </c>
      <c r="W161" t="n">
        <v>48.333282</v>
      </c>
      <c r="X161" t="n">
        <v>72.484779</v>
      </c>
    </row>
    <row r="162">
      <c r="A162" t="inlineStr">
        <is>
          <t>Rajidae</t>
        </is>
      </c>
      <c r="B162" t="n">
        <v>3.82</v>
      </c>
      <c r="C162" t="n">
        <v>660.693448</v>
      </c>
      <c r="D162" t="inlineStr">
        <is>
          <t>Sharks &amp; rays</t>
        </is>
      </c>
      <c r="H162" t="n">
        <v>233.624758</v>
      </c>
      <c r="I162" t="n">
        <v>492.26657</v>
      </c>
      <c r="J162" t="n">
        <v>510.78557</v>
      </c>
      <c r="K162" t="n">
        <v>219.637795</v>
      </c>
      <c r="L162" t="n">
        <v>1275.246638</v>
      </c>
      <c r="M162" t="n">
        <v>948.706608</v>
      </c>
      <c r="N162" t="n">
        <v>948.706608</v>
      </c>
      <c r="O162" t="n">
        <v>213.713009</v>
      </c>
      <c r="P162" t="n">
        <v>67.906436</v>
      </c>
      <c r="Q162" t="n">
        <v>948.706608</v>
      </c>
      <c r="R162" t="n">
        <v>948.706608</v>
      </c>
      <c r="S162" t="n">
        <v>213.713009</v>
      </c>
      <c r="T162" t="n">
        <v>213.713009</v>
      </c>
      <c r="U162" t="n">
        <v>67.906436</v>
      </c>
      <c r="V162" t="n">
        <v>67.906436</v>
      </c>
      <c r="W162" t="n">
        <v>220.688261</v>
      </c>
      <c r="X162" t="n">
        <v>981.457341</v>
      </c>
    </row>
    <row r="163">
      <c r="A163" t="inlineStr">
        <is>
          <t>Mustelus mustelus</t>
        </is>
      </c>
      <c r="B163" t="n">
        <v>3.75</v>
      </c>
      <c r="C163" t="n">
        <v>562.341325</v>
      </c>
      <c r="D163" t="inlineStr">
        <is>
          <t>Sharks &amp; rays</t>
        </is>
      </c>
      <c r="H163" t="n">
        <v>233.624758</v>
      </c>
      <c r="I163" t="n">
        <v>492.26657</v>
      </c>
      <c r="J163" t="n">
        <v>510.78557</v>
      </c>
      <c r="K163" t="n">
        <v>219.637795</v>
      </c>
      <c r="L163" t="n">
        <v>1275.246638</v>
      </c>
      <c r="M163" t="n">
        <v>948.706608</v>
      </c>
      <c r="N163" t="n">
        <v>948.706608</v>
      </c>
      <c r="O163" t="n">
        <v>213.713009</v>
      </c>
      <c r="P163" t="n">
        <v>67.906436</v>
      </c>
      <c r="Q163" t="n">
        <v>948.706608</v>
      </c>
      <c r="R163" t="n">
        <v>948.706608</v>
      </c>
      <c r="S163" t="n">
        <v>213.713009</v>
      </c>
      <c r="T163" t="n">
        <v>213.713009</v>
      </c>
      <c r="U163" t="n">
        <v>67.906436</v>
      </c>
      <c r="V163" t="n">
        <v>67.906436</v>
      </c>
      <c r="W163" t="n">
        <v>220.688261</v>
      </c>
      <c r="X163" t="n">
        <v>981.457341</v>
      </c>
    </row>
    <row r="164">
      <c r="A164" t="inlineStr">
        <is>
          <t>Raja microocellata</t>
        </is>
      </c>
      <c r="B164" t="n">
        <v>3.94</v>
      </c>
      <c r="C164" t="n">
        <v>870.96359</v>
      </c>
      <c r="D164" t="inlineStr">
        <is>
          <t>Sharks &amp; rays</t>
        </is>
      </c>
      <c r="H164" t="n">
        <v>233.624758</v>
      </c>
      <c r="I164" t="n">
        <v>492.26657</v>
      </c>
      <c r="J164" t="n">
        <v>510.78557</v>
      </c>
      <c r="K164" t="n">
        <v>219.637795</v>
      </c>
      <c r="L164" t="n">
        <v>1275.246638</v>
      </c>
      <c r="M164" t="n">
        <v>948.706608</v>
      </c>
      <c r="N164" t="n">
        <v>948.706608</v>
      </c>
      <c r="O164" t="n">
        <v>213.713009</v>
      </c>
      <c r="P164" t="n">
        <v>67.906436</v>
      </c>
      <c r="Q164" t="n">
        <v>948.706608</v>
      </c>
      <c r="R164" t="n">
        <v>948.706608</v>
      </c>
      <c r="S164" t="n">
        <v>213.713009</v>
      </c>
      <c r="T164" t="n">
        <v>213.713009</v>
      </c>
      <c r="U164" t="n">
        <v>67.906436</v>
      </c>
      <c r="V164" t="n">
        <v>67.906436</v>
      </c>
      <c r="W164" t="n">
        <v>220.688261</v>
      </c>
      <c r="X164" t="n">
        <v>981.457341</v>
      </c>
    </row>
    <row r="165">
      <c r="A165" t="inlineStr">
        <is>
          <t>Clupeiformes</t>
        </is>
      </c>
      <c r="B165" t="n">
        <v>3.24</v>
      </c>
      <c r="C165" t="n">
        <v>173.780083</v>
      </c>
      <c r="D165" t="inlineStr">
        <is>
          <t>Herring | Small pelagics</t>
        </is>
      </c>
      <c r="H165" t="n">
        <v>63.103576</v>
      </c>
      <c r="I165" t="n">
        <v>29.856654</v>
      </c>
      <c r="J165" t="n">
        <v>29.899302</v>
      </c>
      <c r="K165" t="n">
        <v>26.733469</v>
      </c>
      <c r="L165" t="n">
        <v>46.762497</v>
      </c>
      <c r="M165" t="n">
        <v>40.767348</v>
      </c>
      <c r="N165" t="n">
        <v>40.767348</v>
      </c>
      <c r="O165" t="n">
        <v>27.500447</v>
      </c>
      <c r="P165" t="n">
        <v>11.762695</v>
      </c>
      <c r="Q165" t="n">
        <v>40.767348</v>
      </c>
      <c r="R165" t="n">
        <v>40.767348</v>
      </c>
      <c r="S165" t="n">
        <v>27.500447</v>
      </c>
      <c r="T165" t="n">
        <v>27.500447</v>
      </c>
      <c r="U165" t="n">
        <v>11.762695</v>
      </c>
      <c r="V165" t="n">
        <v>11.762695</v>
      </c>
      <c r="W165" t="n">
        <v>28.066803</v>
      </c>
      <c r="X165" t="n">
        <v>43.443418</v>
      </c>
    </row>
    <row r="166">
      <c r="A166" t="inlineStr">
        <is>
          <t>Capros aper</t>
        </is>
      </c>
      <c r="B166" t="n">
        <v>3.14</v>
      </c>
      <c r="C166" t="n">
        <v>138.038426</v>
      </c>
      <c r="D166" t="inlineStr">
        <is>
          <t>Large Dem. fish</t>
        </is>
      </c>
      <c r="H166" t="n">
        <v>257.213239</v>
      </c>
      <c r="I166" t="n">
        <v>242.020787</v>
      </c>
      <c r="J166" t="n">
        <v>251.673548</v>
      </c>
      <c r="K166" t="n">
        <v>236.573135</v>
      </c>
      <c r="L166" t="n">
        <v>461.958282</v>
      </c>
      <c r="M166" t="n">
        <v>374.891707</v>
      </c>
      <c r="N166" t="n">
        <v>374.891707</v>
      </c>
      <c r="O166" t="n">
        <v>228.730494</v>
      </c>
      <c r="P166" t="n">
        <v>73.767325</v>
      </c>
      <c r="Q166" t="n">
        <v>374.891707</v>
      </c>
      <c r="R166" t="n">
        <v>374.891707</v>
      </c>
      <c r="S166" t="n">
        <v>228.730494</v>
      </c>
      <c r="T166" t="n">
        <v>228.730494</v>
      </c>
      <c r="U166" t="n">
        <v>73.767325</v>
      </c>
      <c r="V166" t="n">
        <v>73.767325</v>
      </c>
      <c r="W166" t="n">
        <v>231.104367</v>
      </c>
      <c r="X166" t="n">
        <v>381.526081</v>
      </c>
    </row>
    <row r="167">
      <c r="A167" t="inlineStr">
        <is>
          <t>Argentina sphyraena</t>
        </is>
      </c>
      <c r="B167" t="n">
        <v>3.62</v>
      </c>
      <c r="C167" t="n">
        <v>416.869383</v>
      </c>
      <c r="D167" t="inlineStr">
        <is>
          <t>Small pelagics</t>
        </is>
      </c>
      <c r="H167" t="n">
        <v>47.986658</v>
      </c>
      <c r="I167" t="n">
        <v>23.215644</v>
      </c>
      <c r="J167" t="n">
        <v>23.303441</v>
      </c>
      <c r="K167" t="n">
        <v>20.507028</v>
      </c>
      <c r="L167" t="n">
        <v>37.444032</v>
      </c>
      <c r="M167" t="n">
        <v>31.413829</v>
      </c>
      <c r="N167" t="n">
        <v>31.413829</v>
      </c>
      <c r="O167" t="n">
        <v>21.233792</v>
      </c>
      <c r="P167" t="n">
        <v>9.36406</v>
      </c>
      <c r="Q167" t="n">
        <v>31.413829</v>
      </c>
      <c r="R167" t="n">
        <v>31.413829</v>
      </c>
      <c r="S167" t="n">
        <v>21.233792</v>
      </c>
      <c r="T167" t="n">
        <v>21.233792</v>
      </c>
      <c r="U167" t="n">
        <v>9.36406</v>
      </c>
      <c r="V167" t="n">
        <v>9.36406</v>
      </c>
      <c r="W167" t="n">
        <v>21.105884</v>
      </c>
      <c r="X167" t="n">
        <v>33.32407</v>
      </c>
    </row>
    <row r="168">
      <c r="A168" t="inlineStr">
        <is>
          <t>Coregonus</t>
        </is>
      </c>
      <c r="B168" t="n">
        <v>3.3</v>
      </c>
      <c r="C168" t="n">
        <v>199.526231</v>
      </c>
      <c r="D168" t="inlineStr">
        <is>
          <t>Unresolved</t>
        </is>
      </c>
    </row>
    <row r="169">
      <c r="A169" t="inlineStr">
        <is>
          <t>Brama brama</t>
        </is>
      </c>
      <c r="B169" t="n">
        <v>4.08</v>
      </c>
      <c r="C169" t="n">
        <v>1202.264435</v>
      </c>
      <c r="D169" t="inlineStr">
        <is>
          <t>Unresolved</t>
        </is>
      </c>
    </row>
    <row r="170">
      <c r="A170" t="inlineStr">
        <is>
          <t>Leucoraja fullonica</t>
        </is>
      </c>
      <c r="B170" t="n">
        <v>3.5</v>
      </c>
      <c r="C170" t="n">
        <v>316.227766</v>
      </c>
      <c r="D170" t="inlineStr">
        <is>
          <t>Sharks &amp; rays</t>
        </is>
      </c>
      <c r="H170" t="n">
        <v>233.624758</v>
      </c>
      <c r="I170" t="n">
        <v>492.26657</v>
      </c>
      <c r="J170" t="n">
        <v>510.78557</v>
      </c>
      <c r="K170" t="n">
        <v>219.637795</v>
      </c>
      <c r="L170" t="n">
        <v>1275.246638</v>
      </c>
      <c r="M170" t="n">
        <v>948.706608</v>
      </c>
      <c r="N170" t="n">
        <v>948.706608</v>
      </c>
      <c r="O170" t="n">
        <v>213.713009</v>
      </c>
      <c r="P170" t="n">
        <v>67.906436</v>
      </c>
      <c r="Q170" t="n">
        <v>948.706608</v>
      </c>
      <c r="R170" t="n">
        <v>948.706608</v>
      </c>
      <c r="S170" t="n">
        <v>213.713009</v>
      </c>
      <c r="T170" t="n">
        <v>213.713009</v>
      </c>
      <c r="U170" t="n">
        <v>67.906436</v>
      </c>
      <c r="V170" t="n">
        <v>67.906436</v>
      </c>
      <c r="W170" t="n">
        <v>220.688261</v>
      </c>
      <c r="X170" t="n">
        <v>981.457341</v>
      </c>
    </row>
    <row r="171">
      <c r="A171" t="inlineStr">
        <is>
          <t>Magallana gigas</t>
        </is>
      </c>
      <c r="B171" t="n">
        <v>2</v>
      </c>
      <c r="C171" t="n">
        <v>10</v>
      </c>
      <c r="D171" t="inlineStr">
        <is>
          <t>Epifauna</t>
        </is>
      </c>
      <c r="H171" t="n">
        <v>8.395077000000001</v>
      </c>
      <c r="I171" t="n">
        <v>5.225253</v>
      </c>
      <c r="J171" t="n">
        <v>5.225253</v>
      </c>
      <c r="K171" t="n">
        <v>4.598222</v>
      </c>
      <c r="L171" t="n">
        <v>10.950321</v>
      </c>
      <c r="M171" t="n">
        <v>5.811987</v>
      </c>
      <c r="N171" t="n">
        <v>5.811987</v>
      </c>
      <c r="O171" t="n">
        <v>4.520226</v>
      </c>
      <c r="P171" t="n">
        <v>2.746443</v>
      </c>
      <c r="Q171" t="n">
        <v>5.811987</v>
      </c>
      <c r="R171" t="n">
        <v>5.811987</v>
      </c>
      <c r="S171" t="n">
        <v>4.520226</v>
      </c>
      <c r="T171" t="n">
        <v>4.520226</v>
      </c>
      <c r="U171" t="n">
        <v>2.746443</v>
      </c>
      <c r="V171" t="n">
        <v>2.746443</v>
      </c>
      <c r="W171" t="n">
        <v>4.485747</v>
      </c>
      <c r="X171" t="n">
        <v>5.703863</v>
      </c>
    </row>
    <row r="172">
      <c r="A172" t="inlineStr">
        <is>
          <t>Perca fluviatilis</t>
        </is>
      </c>
      <c r="B172" t="n">
        <v>4.35</v>
      </c>
      <c r="C172" t="n">
        <v>2238.721139</v>
      </c>
      <c r="D172" t="inlineStr">
        <is>
          <t>Unresolved</t>
        </is>
      </c>
    </row>
    <row r="173">
      <c r="A173" t="inlineStr">
        <is>
          <t>Esox lucius</t>
        </is>
      </c>
      <c r="B173" t="n">
        <v>4.07</v>
      </c>
      <c r="C173" t="n">
        <v>1174.897555</v>
      </c>
      <c r="D173" t="inlineStr">
        <is>
          <t>Unresolved</t>
        </is>
      </c>
    </row>
    <row r="174">
      <c r="A174" t="inlineStr">
        <is>
          <t>Scyliorhinus</t>
        </is>
      </c>
      <c r="B174" t="n">
        <v>3.86</v>
      </c>
      <c r="C174" t="n">
        <v>724.43596</v>
      </c>
      <c r="D174" t="inlineStr">
        <is>
          <t>Sharks &amp; rays</t>
        </is>
      </c>
      <c r="H174" t="n">
        <v>233.624758</v>
      </c>
      <c r="I174" t="n">
        <v>492.26657</v>
      </c>
      <c r="J174" t="n">
        <v>510.78557</v>
      </c>
      <c r="K174" t="n">
        <v>219.637795</v>
      </c>
      <c r="L174" t="n">
        <v>1275.246638</v>
      </c>
      <c r="M174" t="n">
        <v>948.706608</v>
      </c>
      <c r="N174" t="n">
        <v>948.706608</v>
      </c>
      <c r="O174" t="n">
        <v>213.713009</v>
      </c>
      <c r="P174" t="n">
        <v>67.906436</v>
      </c>
      <c r="Q174" t="n">
        <v>948.706608</v>
      </c>
      <c r="R174" t="n">
        <v>948.706608</v>
      </c>
      <c r="S174" t="n">
        <v>213.713009</v>
      </c>
      <c r="T174" t="n">
        <v>213.713009</v>
      </c>
      <c r="U174" t="n">
        <v>67.906436</v>
      </c>
      <c r="V174" t="n">
        <v>67.906436</v>
      </c>
      <c r="W174" t="n">
        <v>220.688261</v>
      </c>
      <c r="X174" t="n">
        <v>981.457341</v>
      </c>
    </row>
    <row r="175">
      <c r="A175" t="inlineStr">
        <is>
          <t>Sepiida</t>
        </is>
      </c>
      <c r="B175" t="n">
        <v>3.7</v>
      </c>
      <c r="C175" t="n">
        <v>501.187234</v>
      </c>
      <c r="D175" t="inlineStr">
        <is>
          <t>Squid &amp; Octopus</t>
        </is>
      </c>
      <c r="H175" t="n">
        <v>62.376626</v>
      </c>
      <c r="I175" t="n">
        <v>51.428785</v>
      </c>
      <c r="J175" t="n">
        <v>51.639947</v>
      </c>
      <c r="K175" t="n">
        <v>49.05795</v>
      </c>
      <c r="L175" t="n">
        <v>94.097724</v>
      </c>
      <c r="M175" t="n">
        <v>69.667844</v>
      </c>
      <c r="N175" t="n">
        <v>69.667844</v>
      </c>
      <c r="O175" t="n">
        <v>47.704772</v>
      </c>
      <c r="P175" t="n">
        <v>19.528933</v>
      </c>
      <c r="Q175" t="n">
        <v>69.667844</v>
      </c>
      <c r="R175" t="n">
        <v>69.667844</v>
      </c>
      <c r="S175" t="n">
        <v>47.704772</v>
      </c>
      <c r="T175" t="n">
        <v>47.704772</v>
      </c>
      <c r="U175" t="n">
        <v>19.528933</v>
      </c>
      <c r="V175" t="n">
        <v>19.528933</v>
      </c>
      <c r="W175" t="n">
        <v>48.333282</v>
      </c>
      <c r="X175" t="n">
        <v>72.484779</v>
      </c>
    </row>
    <row r="176">
      <c r="A176" t="inlineStr">
        <is>
          <t>Bothidae</t>
        </is>
      </c>
      <c r="D176" t="inlineStr">
        <is>
          <t>Flatfishes</t>
        </is>
      </c>
      <c r="H176" t="n">
        <v>72.35890999999999</v>
      </c>
      <c r="I176" t="n">
        <v>55.101076</v>
      </c>
      <c r="J176" t="n">
        <v>56.599968</v>
      </c>
      <c r="K176" t="n">
        <v>51.50597</v>
      </c>
      <c r="L176" t="n">
        <v>114.167454</v>
      </c>
      <c r="M176" t="n">
        <v>73.440046</v>
      </c>
      <c r="N176" t="n">
        <v>73.440046</v>
      </c>
      <c r="O176" t="n">
        <v>45.479187</v>
      </c>
      <c r="P176" t="n">
        <v>17.967245</v>
      </c>
      <c r="Q176" t="n">
        <v>73.440046</v>
      </c>
      <c r="R176" t="n">
        <v>73.440046</v>
      </c>
      <c r="S176" t="n">
        <v>45.479187</v>
      </c>
      <c r="T176" t="n">
        <v>45.479187</v>
      </c>
      <c r="U176" t="n">
        <v>17.967245</v>
      </c>
      <c r="V176" t="n">
        <v>17.967245</v>
      </c>
      <c r="W176" t="n">
        <v>45.729526</v>
      </c>
      <c r="X176" t="n">
        <v>73.316087</v>
      </c>
    </row>
    <row r="177">
      <c r="A177" t="inlineStr">
        <is>
          <t>Dicentrarchus</t>
        </is>
      </c>
      <c r="B177" t="n">
        <v>3.94</v>
      </c>
      <c r="C177" t="n">
        <v>870.96359</v>
      </c>
      <c r="D177" t="inlineStr">
        <is>
          <t>Large Dem. fish</t>
        </is>
      </c>
      <c r="H177" t="n">
        <v>257.213239</v>
      </c>
      <c r="I177" t="n">
        <v>242.020787</v>
      </c>
      <c r="J177" t="n">
        <v>251.673548</v>
      </c>
      <c r="K177" t="n">
        <v>236.573135</v>
      </c>
      <c r="L177" t="n">
        <v>461.958282</v>
      </c>
      <c r="M177" t="n">
        <v>374.891707</v>
      </c>
      <c r="N177" t="n">
        <v>374.891707</v>
      </c>
      <c r="O177" t="n">
        <v>228.730494</v>
      </c>
      <c r="P177" t="n">
        <v>73.767325</v>
      </c>
      <c r="Q177" t="n">
        <v>374.891707</v>
      </c>
      <c r="R177" t="n">
        <v>374.891707</v>
      </c>
      <c r="S177" t="n">
        <v>228.730494</v>
      </c>
      <c r="T177" t="n">
        <v>228.730494</v>
      </c>
      <c r="U177" t="n">
        <v>73.767325</v>
      </c>
      <c r="V177" t="n">
        <v>73.767325</v>
      </c>
      <c r="W177" t="n">
        <v>231.104367</v>
      </c>
      <c r="X177" t="n">
        <v>381.526081</v>
      </c>
    </row>
    <row r="178">
      <c r="A178" t="inlineStr">
        <is>
          <t>Phycis blennoides</t>
        </is>
      </c>
      <c r="B178" t="n">
        <v>3.87</v>
      </c>
      <c r="C178" t="n">
        <v>741.310241</v>
      </c>
      <c r="D178" t="inlineStr">
        <is>
          <t>Large Dem. fish</t>
        </is>
      </c>
      <c r="H178" t="n">
        <v>257.213239</v>
      </c>
      <c r="I178" t="n">
        <v>242.020787</v>
      </c>
      <c r="J178" t="n">
        <v>251.673548</v>
      </c>
      <c r="K178" t="n">
        <v>236.573135</v>
      </c>
      <c r="L178" t="n">
        <v>461.958282</v>
      </c>
      <c r="M178" t="n">
        <v>374.891707</v>
      </c>
      <c r="N178" t="n">
        <v>374.891707</v>
      </c>
      <c r="O178" t="n">
        <v>228.730494</v>
      </c>
      <c r="P178" t="n">
        <v>73.767325</v>
      </c>
      <c r="Q178" t="n">
        <v>374.891707</v>
      </c>
      <c r="R178" t="n">
        <v>374.891707</v>
      </c>
      <c r="S178" t="n">
        <v>228.730494</v>
      </c>
      <c r="T178" t="n">
        <v>228.730494</v>
      </c>
      <c r="U178" t="n">
        <v>73.767325</v>
      </c>
      <c r="V178" t="n">
        <v>73.767325</v>
      </c>
      <c r="W178" t="n">
        <v>231.104367</v>
      </c>
      <c r="X178" t="n">
        <v>381.526081</v>
      </c>
    </row>
    <row r="179">
      <c r="A179" t="inlineStr">
        <is>
          <t>Dipturus batis</t>
        </is>
      </c>
      <c r="B179" t="n">
        <v>3.52</v>
      </c>
      <c r="C179" t="n">
        <v>331.131121</v>
      </c>
      <c r="D179" t="inlineStr">
        <is>
          <t>Sharks &amp; rays</t>
        </is>
      </c>
      <c r="H179" t="n">
        <v>233.624758</v>
      </c>
      <c r="I179" t="n">
        <v>492.26657</v>
      </c>
      <c r="J179" t="n">
        <v>510.78557</v>
      </c>
      <c r="K179" t="n">
        <v>219.637795</v>
      </c>
      <c r="L179" t="n">
        <v>1275.246638</v>
      </c>
      <c r="M179" t="n">
        <v>948.706608</v>
      </c>
      <c r="N179" t="n">
        <v>948.706608</v>
      </c>
      <c r="O179" t="n">
        <v>213.713009</v>
      </c>
      <c r="P179" t="n">
        <v>67.906436</v>
      </c>
      <c r="Q179" t="n">
        <v>948.706608</v>
      </c>
      <c r="R179" t="n">
        <v>948.706608</v>
      </c>
      <c r="S179" t="n">
        <v>213.713009</v>
      </c>
      <c r="T179" t="n">
        <v>213.713009</v>
      </c>
      <c r="U179" t="n">
        <v>67.906436</v>
      </c>
      <c r="V179" t="n">
        <v>67.906436</v>
      </c>
      <c r="W179" t="n">
        <v>220.688261</v>
      </c>
      <c r="X179" t="n">
        <v>981.457341</v>
      </c>
    </row>
    <row r="180">
      <c r="A180" t="inlineStr">
        <is>
          <t>Moronidae</t>
        </is>
      </c>
      <c r="B180" t="n">
        <v>3.87</v>
      </c>
      <c r="C180" t="n">
        <v>741.310241</v>
      </c>
      <c r="D180" t="inlineStr">
        <is>
          <t>Large Dem. fish</t>
        </is>
      </c>
      <c r="H180" t="n">
        <v>257.213239</v>
      </c>
      <c r="I180" t="n">
        <v>242.020787</v>
      </c>
      <c r="J180" t="n">
        <v>251.673548</v>
      </c>
      <c r="K180" t="n">
        <v>236.573135</v>
      </c>
      <c r="L180" t="n">
        <v>461.958282</v>
      </c>
      <c r="M180" t="n">
        <v>374.891707</v>
      </c>
      <c r="N180" t="n">
        <v>374.891707</v>
      </c>
      <c r="O180" t="n">
        <v>228.730494</v>
      </c>
      <c r="P180" t="n">
        <v>73.767325</v>
      </c>
      <c r="Q180" t="n">
        <v>374.891707</v>
      </c>
      <c r="R180" t="n">
        <v>374.891707</v>
      </c>
      <c r="S180" t="n">
        <v>228.730494</v>
      </c>
      <c r="T180" t="n">
        <v>228.730494</v>
      </c>
      <c r="U180" t="n">
        <v>73.767325</v>
      </c>
      <c r="V180" t="n">
        <v>73.767325</v>
      </c>
      <c r="W180" t="n">
        <v>231.104367</v>
      </c>
      <c r="X180" t="n">
        <v>381.526081</v>
      </c>
    </row>
    <row r="181">
      <c r="A181" t="inlineStr">
        <is>
          <t>Pandalus montagui</t>
        </is>
      </c>
      <c r="B181" t="n">
        <v>2.3</v>
      </c>
      <c r="C181" t="n">
        <v>19.952623</v>
      </c>
      <c r="D181" t="inlineStr">
        <is>
          <t>Crustacea</t>
        </is>
      </c>
      <c r="H181" t="n">
        <v>24.212502</v>
      </c>
      <c r="I181" t="n">
        <v>19.703615</v>
      </c>
      <c r="J181" t="n">
        <v>19.736166</v>
      </c>
      <c r="K181" t="n">
        <v>15.986295</v>
      </c>
      <c r="L181" t="n">
        <v>47.671907</v>
      </c>
      <c r="M181" t="n">
        <v>28.050267</v>
      </c>
      <c r="N181" t="n">
        <v>28.050267</v>
      </c>
      <c r="O181" t="n">
        <v>17.385749</v>
      </c>
      <c r="P181" t="n">
        <v>8.183744000000001</v>
      </c>
      <c r="Q181" t="n">
        <v>28.050267</v>
      </c>
      <c r="R181" t="n">
        <v>28.050267</v>
      </c>
      <c r="S181" t="n">
        <v>17.385749</v>
      </c>
      <c r="T181" t="n">
        <v>17.385749</v>
      </c>
      <c r="U181" t="n">
        <v>8.183744000000001</v>
      </c>
      <c r="V181" t="n">
        <v>8.183744000000001</v>
      </c>
      <c r="W181" t="n">
        <v>17.597621</v>
      </c>
      <c r="X181" t="n">
        <v>27.987895</v>
      </c>
    </row>
    <row r="182">
      <c r="A182" t="inlineStr">
        <is>
          <t>Zeus faber</t>
        </is>
      </c>
      <c r="B182" t="n">
        <v>4.5</v>
      </c>
      <c r="C182" t="n">
        <v>3162.27766</v>
      </c>
      <c r="D182" t="inlineStr">
        <is>
          <t>Large Dem. fish</t>
        </is>
      </c>
      <c r="H182" t="n">
        <v>257.213239</v>
      </c>
      <c r="I182" t="n">
        <v>242.020787</v>
      </c>
      <c r="J182" t="n">
        <v>251.673548</v>
      </c>
      <c r="K182" t="n">
        <v>236.573135</v>
      </c>
      <c r="L182" t="n">
        <v>461.958282</v>
      </c>
      <c r="M182" t="n">
        <v>374.891707</v>
      </c>
      <c r="N182" t="n">
        <v>374.891707</v>
      </c>
      <c r="O182" t="n">
        <v>228.730494</v>
      </c>
      <c r="P182" t="n">
        <v>73.767325</v>
      </c>
      <c r="Q182" t="n">
        <v>374.891707</v>
      </c>
      <c r="R182" t="n">
        <v>374.891707</v>
      </c>
      <c r="S182" t="n">
        <v>228.730494</v>
      </c>
      <c r="T182" t="n">
        <v>228.730494</v>
      </c>
      <c r="U182" t="n">
        <v>73.767325</v>
      </c>
      <c r="V182" t="n">
        <v>73.767325</v>
      </c>
      <c r="W182" t="n">
        <v>231.104367</v>
      </c>
      <c r="X182" t="n">
        <v>381.526081</v>
      </c>
    </row>
    <row r="183">
      <c r="A183" t="inlineStr">
        <is>
          <t>Lumpenus lampretaeformis</t>
        </is>
      </c>
      <c r="D183" t="inlineStr">
        <is>
          <t>Large Dem. fish</t>
        </is>
      </c>
      <c r="H183" t="n">
        <v>257.213239</v>
      </c>
      <c r="I183" t="n">
        <v>242.020787</v>
      </c>
      <c r="J183" t="n">
        <v>251.673548</v>
      </c>
      <c r="K183" t="n">
        <v>236.573135</v>
      </c>
      <c r="L183" t="n">
        <v>461.958282</v>
      </c>
      <c r="M183" t="n">
        <v>374.891707</v>
      </c>
      <c r="N183" t="n">
        <v>374.891707</v>
      </c>
      <c r="O183" t="n">
        <v>228.730494</v>
      </c>
      <c r="P183" t="n">
        <v>73.767325</v>
      </c>
      <c r="Q183" t="n">
        <v>374.891707</v>
      </c>
      <c r="R183" t="n">
        <v>374.891707</v>
      </c>
      <c r="S183" t="n">
        <v>228.730494</v>
      </c>
      <c r="T183" t="n">
        <v>228.730494</v>
      </c>
      <c r="U183" t="n">
        <v>73.767325</v>
      </c>
      <c r="V183" t="n">
        <v>73.767325</v>
      </c>
      <c r="W183" t="n">
        <v>231.104367</v>
      </c>
      <c r="X183" t="n">
        <v>381.526081</v>
      </c>
    </row>
    <row r="184">
      <c r="A184" t="inlineStr">
        <is>
          <t>Auxis thazard</t>
        </is>
      </c>
      <c r="B184" t="n">
        <v>4.37</v>
      </c>
      <c r="C184" t="n">
        <v>2344.228815</v>
      </c>
      <c r="D184" t="inlineStr">
        <is>
          <t>Unresolved</t>
        </is>
      </c>
    </row>
    <row r="185">
      <c r="A185" t="inlineStr">
        <is>
          <t>Galeorhinus galeus</t>
        </is>
      </c>
      <c r="B185" t="n">
        <v>4.34</v>
      </c>
      <c r="C185" t="n">
        <v>2187.761624</v>
      </c>
      <c r="D185" t="inlineStr">
        <is>
          <t>Sharks &amp; rays</t>
        </is>
      </c>
      <c r="H185" t="n">
        <v>233.624758</v>
      </c>
      <c r="I185" t="n">
        <v>492.26657</v>
      </c>
      <c r="J185" t="n">
        <v>510.78557</v>
      </c>
      <c r="K185" t="n">
        <v>219.637795</v>
      </c>
      <c r="L185" t="n">
        <v>1275.246638</v>
      </c>
      <c r="M185" t="n">
        <v>948.706608</v>
      </c>
      <c r="N185" t="n">
        <v>948.706608</v>
      </c>
      <c r="O185" t="n">
        <v>213.713009</v>
      </c>
      <c r="P185" t="n">
        <v>67.906436</v>
      </c>
      <c r="Q185" t="n">
        <v>948.706608</v>
      </c>
      <c r="R185" t="n">
        <v>948.706608</v>
      </c>
      <c r="S185" t="n">
        <v>213.713009</v>
      </c>
      <c r="T185" t="n">
        <v>213.713009</v>
      </c>
      <c r="U185" t="n">
        <v>67.906436</v>
      </c>
      <c r="V185" t="n">
        <v>67.906436</v>
      </c>
      <c r="W185" t="n">
        <v>220.688261</v>
      </c>
      <c r="X185" t="n">
        <v>981.457341</v>
      </c>
    </row>
    <row r="186">
      <c r="A186" t="inlineStr">
        <is>
          <t>Labridae</t>
        </is>
      </c>
      <c r="B186" t="n">
        <v>3.46</v>
      </c>
      <c r="C186" t="n">
        <v>288.40315</v>
      </c>
      <c r="D186" t="inlineStr">
        <is>
          <t>Large Dem. fish</t>
        </is>
      </c>
      <c r="H186" t="n">
        <v>257.213239</v>
      </c>
      <c r="I186" t="n">
        <v>242.020787</v>
      </c>
      <c r="J186" t="n">
        <v>251.673548</v>
      </c>
      <c r="K186" t="n">
        <v>236.573135</v>
      </c>
      <c r="L186" t="n">
        <v>461.958282</v>
      </c>
      <c r="M186" t="n">
        <v>374.891707</v>
      </c>
      <c r="N186" t="n">
        <v>374.891707</v>
      </c>
      <c r="O186" t="n">
        <v>228.730494</v>
      </c>
      <c r="P186" t="n">
        <v>73.767325</v>
      </c>
      <c r="Q186" t="n">
        <v>374.891707</v>
      </c>
      <c r="R186" t="n">
        <v>374.891707</v>
      </c>
      <c r="S186" t="n">
        <v>228.730494</v>
      </c>
      <c r="T186" t="n">
        <v>228.730494</v>
      </c>
      <c r="U186" t="n">
        <v>73.767325</v>
      </c>
      <c r="V186" t="n">
        <v>73.767325</v>
      </c>
      <c r="W186" t="n">
        <v>231.104367</v>
      </c>
      <c r="X186" t="n">
        <v>381.526081</v>
      </c>
    </row>
    <row r="187">
      <c r="A187" t="inlineStr">
        <is>
          <t>Rutilus rutilus</t>
        </is>
      </c>
      <c r="B187" t="n">
        <v>2.96</v>
      </c>
      <c r="C187" t="n">
        <v>91.20108399999999</v>
      </c>
      <c r="D187" t="inlineStr">
        <is>
          <t>Unresolved</t>
        </is>
      </c>
    </row>
    <row r="188">
      <c r="A188" t="inlineStr">
        <is>
          <t>Thunnus alalunga</t>
        </is>
      </c>
      <c r="D188" t="inlineStr">
        <is>
          <t>Unresolved</t>
        </is>
      </c>
    </row>
    <row r="189">
      <c r="A189" t="inlineStr">
        <is>
          <t>Mallotus villosus</t>
        </is>
      </c>
      <c r="B189" t="n">
        <v>3.15</v>
      </c>
      <c r="C189" t="n">
        <v>141.253754</v>
      </c>
      <c r="D189" t="inlineStr">
        <is>
          <t>Small pelagics</t>
        </is>
      </c>
      <c r="H189" t="n">
        <v>47.986658</v>
      </c>
      <c r="I189" t="n">
        <v>23.215644</v>
      </c>
      <c r="J189" t="n">
        <v>23.303441</v>
      </c>
      <c r="K189" t="n">
        <v>20.507028</v>
      </c>
      <c r="L189" t="n">
        <v>37.444032</v>
      </c>
      <c r="M189" t="n">
        <v>31.413829</v>
      </c>
      <c r="N189" t="n">
        <v>31.413829</v>
      </c>
      <c r="O189" t="n">
        <v>21.233792</v>
      </c>
      <c r="P189" t="n">
        <v>9.36406</v>
      </c>
      <c r="Q189" t="n">
        <v>31.413829</v>
      </c>
      <c r="R189" t="n">
        <v>31.413829</v>
      </c>
      <c r="S189" t="n">
        <v>21.233792</v>
      </c>
      <c r="T189" t="n">
        <v>21.233792</v>
      </c>
      <c r="U189" t="n">
        <v>9.36406</v>
      </c>
      <c r="V189" t="n">
        <v>9.36406</v>
      </c>
      <c r="W189" t="n">
        <v>21.105884</v>
      </c>
      <c r="X189" t="n">
        <v>33.32407</v>
      </c>
    </row>
    <row r="190">
      <c r="A190" t="inlineStr">
        <is>
          <t>Octopodidae</t>
        </is>
      </c>
      <c r="B190" t="n">
        <v>3.59</v>
      </c>
      <c r="C190" t="n">
        <v>389.045145</v>
      </c>
      <c r="D190" t="inlineStr">
        <is>
          <t>Squid &amp; Octopus</t>
        </is>
      </c>
      <c r="H190" t="n">
        <v>62.376626</v>
      </c>
      <c r="I190" t="n">
        <v>51.428785</v>
      </c>
      <c r="J190" t="n">
        <v>51.639947</v>
      </c>
      <c r="K190" t="n">
        <v>49.05795</v>
      </c>
      <c r="L190" t="n">
        <v>94.097724</v>
      </c>
      <c r="M190" t="n">
        <v>69.667844</v>
      </c>
      <c r="N190" t="n">
        <v>69.667844</v>
      </c>
      <c r="O190" t="n">
        <v>47.704772</v>
      </c>
      <c r="P190" t="n">
        <v>19.528933</v>
      </c>
      <c r="Q190" t="n">
        <v>69.667844</v>
      </c>
      <c r="R190" t="n">
        <v>69.667844</v>
      </c>
      <c r="S190" t="n">
        <v>47.704772</v>
      </c>
      <c r="T190" t="n">
        <v>47.704772</v>
      </c>
      <c r="U190" t="n">
        <v>19.528933</v>
      </c>
      <c r="V190" t="n">
        <v>19.528933</v>
      </c>
      <c r="W190" t="n">
        <v>48.333282</v>
      </c>
      <c r="X190" t="n">
        <v>72.484779</v>
      </c>
    </row>
    <row r="191">
      <c r="A191" t="inlineStr">
        <is>
          <t>Crassostrea</t>
        </is>
      </c>
      <c r="B191" t="n">
        <v>2</v>
      </c>
      <c r="C191" t="n">
        <v>10</v>
      </c>
      <c r="D191" t="inlineStr">
        <is>
          <t>Epifauna</t>
        </is>
      </c>
      <c r="H191" t="n">
        <v>8.395077000000001</v>
      </c>
      <c r="I191" t="n">
        <v>5.225253</v>
      </c>
      <c r="J191" t="n">
        <v>5.225253</v>
      </c>
      <c r="K191" t="n">
        <v>4.598222</v>
      </c>
      <c r="L191" t="n">
        <v>10.950321</v>
      </c>
      <c r="M191" t="n">
        <v>5.811987</v>
      </c>
      <c r="N191" t="n">
        <v>5.811987</v>
      </c>
      <c r="O191" t="n">
        <v>4.520226</v>
      </c>
      <c r="P191" t="n">
        <v>2.746443</v>
      </c>
      <c r="Q191" t="n">
        <v>5.811987</v>
      </c>
      <c r="R191" t="n">
        <v>5.811987</v>
      </c>
      <c r="S191" t="n">
        <v>4.520226</v>
      </c>
      <c r="T191" t="n">
        <v>4.520226</v>
      </c>
      <c r="U191" t="n">
        <v>2.746443</v>
      </c>
      <c r="V191" t="n">
        <v>2.746443</v>
      </c>
      <c r="W191" t="n">
        <v>4.485747</v>
      </c>
      <c r="X191" t="n">
        <v>5.703863</v>
      </c>
    </row>
    <row r="192">
      <c r="A192" t="inlineStr">
        <is>
          <t>Sarda sarda</t>
        </is>
      </c>
      <c r="B192" t="n">
        <v>4.5</v>
      </c>
      <c r="C192" t="n">
        <v>3162.27766</v>
      </c>
      <c r="D192" t="inlineStr">
        <is>
          <t>Unresolved</t>
        </is>
      </c>
    </row>
    <row r="193">
      <c r="A193" t="inlineStr">
        <is>
          <t>Chaceon affinis</t>
        </is>
      </c>
      <c r="B193" t="n">
        <v>3.1</v>
      </c>
      <c r="C193" t="n">
        <v>125.892541</v>
      </c>
      <c r="D193" t="inlineStr">
        <is>
          <t>Crustacea</t>
        </is>
      </c>
      <c r="H193" t="n">
        <v>24.212502</v>
      </c>
      <c r="I193" t="n">
        <v>19.703615</v>
      </c>
      <c r="J193" t="n">
        <v>19.736166</v>
      </c>
      <c r="K193" t="n">
        <v>15.986295</v>
      </c>
      <c r="L193" t="n">
        <v>47.671907</v>
      </c>
      <c r="M193" t="n">
        <v>28.050267</v>
      </c>
      <c r="N193" t="n">
        <v>28.050267</v>
      </c>
      <c r="O193" t="n">
        <v>17.385749</v>
      </c>
      <c r="P193" t="n">
        <v>8.183744000000001</v>
      </c>
      <c r="Q193" t="n">
        <v>28.050267</v>
      </c>
      <c r="R193" t="n">
        <v>28.050267</v>
      </c>
      <c r="S193" t="n">
        <v>17.385749</v>
      </c>
      <c r="T193" t="n">
        <v>17.385749</v>
      </c>
      <c r="U193" t="n">
        <v>8.183744000000001</v>
      </c>
      <c r="V193" t="n">
        <v>8.183744000000001</v>
      </c>
      <c r="W193" t="n">
        <v>17.597621</v>
      </c>
      <c r="X193" t="n">
        <v>27.987895</v>
      </c>
    </row>
    <row r="194">
      <c r="A194" t="inlineStr">
        <is>
          <t>Illex</t>
        </is>
      </c>
      <c r="B194" t="n">
        <v>3.98</v>
      </c>
      <c r="C194" t="n">
        <v>954.992586</v>
      </c>
      <c r="D194" t="inlineStr">
        <is>
          <t>Squid &amp; Octopus</t>
        </is>
      </c>
      <c r="H194" t="n">
        <v>62.376626</v>
      </c>
      <c r="I194" t="n">
        <v>51.428785</v>
      </c>
      <c r="J194" t="n">
        <v>51.639947</v>
      </c>
      <c r="K194" t="n">
        <v>49.05795</v>
      </c>
      <c r="L194" t="n">
        <v>94.097724</v>
      </c>
      <c r="M194" t="n">
        <v>69.667844</v>
      </c>
      <c r="N194" t="n">
        <v>69.667844</v>
      </c>
      <c r="O194" t="n">
        <v>47.704772</v>
      </c>
      <c r="P194" t="n">
        <v>19.528933</v>
      </c>
      <c r="Q194" t="n">
        <v>69.667844</v>
      </c>
      <c r="R194" t="n">
        <v>69.667844</v>
      </c>
      <c r="S194" t="n">
        <v>47.704772</v>
      </c>
      <c r="T194" t="n">
        <v>47.704772</v>
      </c>
      <c r="U194" t="n">
        <v>19.528933</v>
      </c>
      <c r="V194" t="n">
        <v>19.528933</v>
      </c>
      <c r="W194" t="n">
        <v>48.333282</v>
      </c>
      <c r="X194" t="n">
        <v>72.484779</v>
      </c>
    </row>
    <row r="195">
      <c r="A195" t="inlineStr">
        <is>
          <t>Helicolenus dactylopterus</t>
        </is>
      </c>
      <c r="B195" t="n">
        <v>3.54</v>
      </c>
      <c r="C195" t="n">
        <v>346.73685</v>
      </c>
      <c r="D195" t="inlineStr">
        <is>
          <t>Large Dem. fish</t>
        </is>
      </c>
      <c r="H195" t="n">
        <v>257.213239</v>
      </c>
      <c r="I195" t="n">
        <v>242.020787</v>
      </c>
      <c r="J195" t="n">
        <v>251.673548</v>
      </c>
      <c r="K195" t="n">
        <v>236.573135</v>
      </c>
      <c r="L195" t="n">
        <v>461.958282</v>
      </c>
      <c r="M195" t="n">
        <v>374.891707</v>
      </c>
      <c r="N195" t="n">
        <v>374.891707</v>
      </c>
      <c r="O195" t="n">
        <v>228.730494</v>
      </c>
      <c r="P195" t="n">
        <v>73.767325</v>
      </c>
      <c r="Q195" t="n">
        <v>374.891707</v>
      </c>
      <c r="R195" t="n">
        <v>374.891707</v>
      </c>
      <c r="S195" t="n">
        <v>228.730494</v>
      </c>
      <c r="T195" t="n">
        <v>228.730494</v>
      </c>
      <c r="U195" t="n">
        <v>73.767325</v>
      </c>
      <c r="V195" t="n">
        <v>73.767325</v>
      </c>
      <c r="W195" t="n">
        <v>231.104367</v>
      </c>
      <c r="X195" t="n">
        <v>381.526081</v>
      </c>
    </row>
    <row r="196">
      <c r="A196" t="inlineStr">
        <is>
          <t>Prionace glauca</t>
        </is>
      </c>
      <c r="B196" t="n">
        <v>4.35</v>
      </c>
      <c r="C196" t="n">
        <v>2238.721139</v>
      </c>
      <c r="D196" t="inlineStr">
        <is>
          <t>Sharks &amp; rays</t>
        </is>
      </c>
      <c r="H196" t="n">
        <v>233.624758</v>
      </c>
      <c r="I196" t="n">
        <v>492.26657</v>
      </c>
      <c r="J196" t="n">
        <v>510.78557</v>
      </c>
      <c r="K196" t="n">
        <v>219.637795</v>
      </c>
      <c r="L196" t="n">
        <v>1275.246638</v>
      </c>
      <c r="M196" t="n">
        <v>948.706608</v>
      </c>
      <c r="N196" t="n">
        <v>948.706608</v>
      </c>
      <c r="O196" t="n">
        <v>213.713009</v>
      </c>
      <c r="P196" t="n">
        <v>67.906436</v>
      </c>
      <c r="Q196" t="n">
        <v>948.706608</v>
      </c>
      <c r="R196" t="n">
        <v>948.706608</v>
      </c>
      <c r="S196" t="n">
        <v>213.713009</v>
      </c>
      <c r="T196" t="n">
        <v>213.713009</v>
      </c>
      <c r="U196" t="n">
        <v>67.906436</v>
      </c>
      <c r="V196" t="n">
        <v>67.906436</v>
      </c>
      <c r="W196" t="n">
        <v>220.688261</v>
      </c>
      <c r="X196" t="n">
        <v>981.457341</v>
      </c>
    </row>
    <row r="197">
      <c r="A197" t="inlineStr">
        <is>
          <t>Mugil</t>
        </is>
      </c>
      <c r="B197" t="n">
        <v>2.26</v>
      </c>
      <c r="C197" t="n">
        <v>18.197009</v>
      </c>
      <c r="D197" t="inlineStr">
        <is>
          <t>Large Dem. fish</t>
        </is>
      </c>
      <c r="H197" t="n">
        <v>257.213239</v>
      </c>
      <c r="I197" t="n">
        <v>242.020787</v>
      </c>
      <c r="J197" t="n">
        <v>251.673548</v>
      </c>
      <c r="K197" t="n">
        <v>236.573135</v>
      </c>
      <c r="L197" t="n">
        <v>461.958282</v>
      </c>
      <c r="M197" t="n">
        <v>374.891707</v>
      </c>
      <c r="N197" t="n">
        <v>374.891707</v>
      </c>
      <c r="O197" t="n">
        <v>228.730494</v>
      </c>
      <c r="P197" t="n">
        <v>73.767325</v>
      </c>
      <c r="Q197" t="n">
        <v>374.891707</v>
      </c>
      <c r="R197" t="n">
        <v>374.891707</v>
      </c>
      <c r="S197" t="n">
        <v>228.730494</v>
      </c>
      <c r="T197" t="n">
        <v>228.730494</v>
      </c>
      <c r="U197" t="n">
        <v>73.767325</v>
      </c>
      <c r="V197" t="n">
        <v>73.767325</v>
      </c>
      <c r="W197" t="n">
        <v>231.104367</v>
      </c>
      <c r="X197" t="n">
        <v>381.526081</v>
      </c>
    </row>
    <row r="198">
      <c r="A198" t="inlineStr">
        <is>
          <t>Batoidea</t>
        </is>
      </c>
      <c r="D198" t="inlineStr">
        <is>
          <t>Sharks &amp; rays</t>
        </is>
      </c>
      <c r="H198" t="n">
        <v>233.624758</v>
      </c>
      <c r="I198" t="n">
        <v>492.26657</v>
      </c>
      <c r="J198" t="n">
        <v>510.78557</v>
      </c>
      <c r="K198" t="n">
        <v>219.637795</v>
      </c>
      <c r="L198" t="n">
        <v>1275.246638</v>
      </c>
      <c r="M198" t="n">
        <v>948.706608</v>
      </c>
      <c r="N198" t="n">
        <v>948.706608</v>
      </c>
      <c r="O198" t="n">
        <v>213.713009</v>
      </c>
      <c r="P198" t="n">
        <v>67.906436</v>
      </c>
      <c r="Q198" t="n">
        <v>948.706608</v>
      </c>
      <c r="R198" t="n">
        <v>948.706608</v>
      </c>
      <c r="S198" t="n">
        <v>213.713009</v>
      </c>
      <c r="T198" t="n">
        <v>213.713009</v>
      </c>
      <c r="U198" t="n">
        <v>67.906436</v>
      </c>
      <c r="V198" t="n">
        <v>67.906436</v>
      </c>
      <c r="W198" t="n">
        <v>220.688261</v>
      </c>
      <c r="X198" t="n">
        <v>981.457341</v>
      </c>
    </row>
    <row r="199">
      <c r="A199" t="inlineStr">
        <is>
          <t>Mustelus</t>
        </is>
      </c>
      <c r="B199" t="n">
        <v>3.73</v>
      </c>
      <c r="C199" t="n">
        <v>537.031796</v>
      </c>
      <c r="D199" t="inlineStr">
        <is>
          <t>Sharks &amp; rays</t>
        </is>
      </c>
      <c r="H199" t="n">
        <v>233.624758</v>
      </c>
      <c r="I199" t="n">
        <v>492.26657</v>
      </c>
      <c r="J199" t="n">
        <v>510.78557</v>
      </c>
      <c r="K199" t="n">
        <v>219.637795</v>
      </c>
      <c r="L199" t="n">
        <v>1275.246638</v>
      </c>
      <c r="M199" t="n">
        <v>948.706608</v>
      </c>
      <c r="N199" t="n">
        <v>948.706608</v>
      </c>
      <c r="O199" t="n">
        <v>213.713009</v>
      </c>
      <c r="P199" t="n">
        <v>67.906436</v>
      </c>
      <c r="Q199" t="n">
        <v>948.706608</v>
      </c>
      <c r="R199" t="n">
        <v>948.706608</v>
      </c>
      <c r="S199" t="n">
        <v>213.713009</v>
      </c>
      <c r="T199" t="n">
        <v>213.713009</v>
      </c>
      <c r="U199" t="n">
        <v>67.906436</v>
      </c>
      <c r="V199" t="n">
        <v>67.906436</v>
      </c>
      <c r="W199" t="n">
        <v>220.688261</v>
      </c>
      <c r="X199" t="n">
        <v>981.457341</v>
      </c>
    </row>
    <row r="200">
      <c r="A200" t="inlineStr">
        <is>
          <t>Salmo</t>
        </is>
      </c>
      <c r="B200" t="n">
        <v>4</v>
      </c>
      <c r="C200" t="n">
        <v>1000</v>
      </c>
      <c r="D200" t="inlineStr">
        <is>
          <t>Unresolved</t>
        </is>
      </c>
    </row>
    <row r="201">
      <c r="A201" t="inlineStr">
        <is>
          <t>Triakidae</t>
        </is>
      </c>
      <c r="D201" t="inlineStr">
        <is>
          <t>Sharks &amp; rays</t>
        </is>
      </c>
      <c r="H201" t="n">
        <v>233.624758</v>
      </c>
      <c r="I201" t="n">
        <v>492.26657</v>
      </c>
      <c r="J201" t="n">
        <v>510.78557</v>
      </c>
      <c r="K201" t="n">
        <v>219.637795</v>
      </c>
      <c r="L201" t="n">
        <v>1275.246638</v>
      </c>
      <c r="M201" t="n">
        <v>948.706608</v>
      </c>
      <c r="N201" t="n">
        <v>948.706608</v>
      </c>
      <c r="O201" t="n">
        <v>213.713009</v>
      </c>
      <c r="P201" t="n">
        <v>67.906436</v>
      </c>
      <c r="Q201" t="n">
        <v>948.706608</v>
      </c>
      <c r="R201" t="n">
        <v>948.706608</v>
      </c>
      <c r="S201" t="n">
        <v>213.713009</v>
      </c>
      <c r="T201" t="n">
        <v>213.713009</v>
      </c>
      <c r="U201" t="n">
        <v>67.906436</v>
      </c>
      <c r="V201" t="n">
        <v>67.906436</v>
      </c>
      <c r="W201" t="n">
        <v>220.688261</v>
      </c>
      <c r="X201" t="n">
        <v>981.457341</v>
      </c>
    </row>
    <row r="202">
      <c r="A202" t="inlineStr">
        <is>
          <t>Galeocerdo cuvier</t>
        </is>
      </c>
      <c r="D202" t="inlineStr">
        <is>
          <t>Sharks &amp; rays</t>
        </is>
      </c>
      <c r="H202" t="n">
        <v>233.624758</v>
      </c>
      <c r="I202" t="n">
        <v>492.26657</v>
      </c>
      <c r="J202" t="n">
        <v>510.78557</v>
      </c>
      <c r="K202" t="n">
        <v>219.637795</v>
      </c>
      <c r="L202" t="n">
        <v>1275.246638</v>
      </c>
      <c r="M202" t="n">
        <v>948.706608</v>
      </c>
      <c r="N202" t="n">
        <v>948.706608</v>
      </c>
      <c r="O202" t="n">
        <v>213.713009</v>
      </c>
      <c r="P202" t="n">
        <v>67.906436</v>
      </c>
      <c r="Q202" t="n">
        <v>948.706608</v>
      </c>
      <c r="R202" t="n">
        <v>948.706608</v>
      </c>
      <c r="S202" t="n">
        <v>213.713009</v>
      </c>
      <c r="T202" t="n">
        <v>213.713009</v>
      </c>
      <c r="U202" t="n">
        <v>67.906436</v>
      </c>
      <c r="V202" t="n">
        <v>67.906436</v>
      </c>
      <c r="W202" t="n">
        <v>220.688261</v>
      </c>
      <c r="X202" t="n">
        <v>981.457341</v>
      </c>
    </row>
    <row r="203">
      <c r="A203" t="inlineStr">
        <is>
          <t>Pagellus bogaraveo</t>
        </is>
      </c>
      <c r="B203" t="n">
        <v>4.21</v>
      </c>
      <c r="C203" t="n">
        <v>1621.810097</v>
      </c>
      <c r="D203" t="inlineStr">
        <is>
          <t>Large Dem. fish</t>
        </is>
      </c>
      <c r="H203" t="n">
        <v>257.213239</v>
      </c>
      <c r="I203" t="n">
        <v>242.020787</v>
      </c>
      <c r="J203" t="n">
        <v>251.673548</v>
      </c>
      <c r="K203" t="n">
        <v>236.573135</v>
      </c>
      <c r="L203" t="n">
        <v>461.958282</v>
      </c>
      <c r="M203" t="n">
        <v>374.891707</v>
      </c>
      <c r="N203" t="n">
        <v>374.891707</v>
      </c>
      <c r="O203" t="n">
        <v>228.730494</v>
      </c>
      <c r="P203" t="n">
        <v>73.767325</v>
      </c>
      <c r="Q203" t="n">
        <v>374.891707</v>
      </c>
      <c r="R203" t="n">
        <v>374.891707</v>
      </c>
      <c r="S203" t="n">
        <v>228.730494</v>
      </c>
      <c r="T203" t="n">
        <v>228.730494</v>
      </c>
      <c r="U203" t="n">
        <v>73.767325</v>
      </c>
      <c r="V203" t="n">
        <v>73.767325</v>
      </c>
      <c r="W203" t="n">
        <v>231.104367</v>
      </c>
      <c r="X203" t="n">
        <v>381.526081</v>
      </c>
    </row>
    <row r="204">
      <c r="A204" t="inlineStr">
        <is>
          <t>Chimaera monstrosa</t>
        </is>
      </c>
      <c r="B204" t="n">
        <v>3.52</v>
      </c>
      <c r="C204" t="n">
        <v>331.131121</v>
      </c>
      <c r="D204" t="inlineStr">
        <is>
          <t>Unresolved</t>
        </is>
      </c>
    </row>
    <row r="205">
      <c r="A205" t="inlineStr">
        <is>
          <t>Alepocephalus bairdii</t>
        </is>
      </c>
      <c r="B205" t="n">
        <v>3.69</v>
      </c>
      <c r="C205" t="n">
        <v>489.778819</v>
      </c>
      <c r="D205" t="inlineStr">
        <is>
          <t>Unresolved</t>
        </is>
      </c>
    </row>
    <row r="206">
      <c r="A206" t="inlineStr">
        <is>
          <t>Leucoraja circularis</t>
        </is>
      </c>
      <c r="B206" t="n">
        <v>3.5</v>
      </c>
      <c r="C206" t="n">
        <v>316.227766</v>
      </c>
      <c r="D206" t="inlineStr">
        <is>
          <t>Sharks &amp; rays</t>
        </is>
      </c>
      <c r="H206" t="n">
        <v>233.624758</v>
      </c>
      <c r="I206" t="n">
        <v>492.26657</v>
      </c>
      <c r="J206" t="n">
        <v>510.78557</v>
      </c>
      <c r="K206" t="n">
        <v>219.637795</v>
      </c>
      <c r="L206" t="n">
        <v>1275.246638</v>
      </c>
      <c r="M206" t="n">
        <v>948.706608</v>
      </c>
      <c r="N206" t="n">
        <v>948.706608</v>
      </c>
      <c r="O206" t="n">
        <v>213.713009</v>
      </c>
      <c r="P206" t="n">
        <v>67.906436</v>
      </c>
      <c r="Q206" t="n">
        <v>948.706608</v>
      </c>
      <c r="R206" t="n">
        <v>948.706608</v>
      </c>
      <c r="S206" t="n">
        <v>213.713009</v>
      </c>
      <c r="T206" t="n">
        <v>213.713009</v>
      </c>
      <c r="U206" t="n">
        <v>67.906436</v>
      </c>
      <c r="V206" t="n">
        <v>67.906436</v>
      </c>
      <c r="W206" t="n">
        <v>220.688261</v>
      </c>
      <c r="X206" t="n">
        <v>981.457341</v>
      </c>
    </row>
    <row r="207">
      <c r="A207" t="inlineStr">
        <is>
          <t>Meganyctiphanes norvegica</t>
        </is>
      </c>
      <c r="D207" t="inlineStr">
        <is>
          <t>Large zooplankton</t>
        </is>
      </c>
      <c r="H207" t="n">
        <v>12.00073</v>
      </c>
      <c r="I207" t="n">
        <v>5.528096</v>
      </c>
      <c r="J207" t="n">
        <v>5.528096</v>
      </c>
      <c r="K207" t="n">
        <v>4.975287</v>
      </c>
      <c r="L207" t="n">
        <v>8.442342</v>
      </c>
      <c r="M207" t="n">
        <v>7.77574</v>
      </c>
      <c r="N207" t="n">
        <v>7.77574</v>
      </c>
      <c r="O207" t="n">
        <v>5.913569</v>
      </c>
      <c r="P207" t="n">
        <v>3.201316</v>
      </c>
      <c r="Q207" t="n">
        <v>7.77574</v>
      </c>
      <c r="R207" t="n">
        <v>7.77574</v>
      </c>
      <c r="S207" t="n">
        <v>5.913569</v>
      </c>
      <c r="T207" t="n">
        <v>5.913569</v>
      </c>
      <c r="U207" t="n">
        <v>3.201316</v>
      </c>
      <c r="V207" t="n">
        <v>3.201316</v>
      </c>
      <c r="W207" t="n">
        <v>5.936669</v>
      </c>
      <c r="X207" t="n">
        <v>8.29847</v>
      </c>
    </row>
    <row r="208">
      <c r="A208" t="inlineStr">
        <is>
          <t>Mya arenaria</t>
        </is>
      </c>
      <c r="D208" t="inlineStr">
        <is>
          <t>Infauna</t>
        </is>
      </c>
      <c r="H208" t="n">
        <v>1.695379</v>
      </c>
      <c r="I208" t="n">
        <v>1.315556</v>
      </c>
      <c r="J208" t="n">
        <v>1.315556</v>
      </c>
      <c r="K208" t="n">
        <v>1.184</v>
      </c>
      <c r="L208" t="n">
        <v>3.864936</v>
      </c>
      <c r="M208" t="n">
        <v>1.321429</v>
      </c>
      <c r="N208" t="n">
        <v>1.321429</v>
      </c>
      <c r="O208" t="n">
        <v>1.188755</v>
      </c>
      <c r="P208" t="n">
        <v>0.950241</v>
      </c>
      <c r="Q208" t="n">
        <v>1.321429</v>
      </c>
      <c r="R208" t="n">
        <v>1.321429</v>
      </c>
      <c r="S208" t="n">
        <v>1.188755</v>
      </c>
      <c r="T208" t="n">
        <v>1.188755</v>
      </c>
      <c r="U208" t="n">
        <v>0.950241</v>
      </c>
      <c r="V208" t="n">
        <v>0.950241</v>
      </c>
      <c r="W208" t="n">
        <v>1.170683</v>
      </c>
      <c r="X208" t="n">
        <v>1.343305</v>
      </c>
    </row>
    <row r="209">
      <c r="A209" t="inlineStr">
        <is>
          <t>Osteichthyes</t>
        </is>
      </c>
      <c r="B209" t="n">
        <v>3.79</v>
      </c>
      <c r="C209" t="n">
        <v>616.595002</v>
      </c>
      <c r="D209" t="inlineStr">
        <is>
          <t>Flatfishes | Monkfish | Large Dem. fish</t>
        </is>
      </c>
      <c r="H209" t="n">
        <v>106.560052</v>
      </c>
      <c r="I209" t="n">
        <v>82.572694</v>
      </c>
      <c r="J209" t="n">
        <v>85.399901</v>
      </c>
      <c r="K209" t="n">
        <v>78.66645699999999</v>
      </c>
      <c r="L209" t="n">
        <v>164.733434</v>
      </c>
      <c r="M209" t="n">
        <v>116.293474</v>
      </c>
      <c r="N209" t="n">
        <v>116.293474</v>
      </c>
      <c r="O209" t="n">
        <v>70.592995</v>
      </c>
      <c r="P209" t="n">
        <v>25.441846</v>
      </c>
      <c r="Q209" t="n">
        <v>116.293474</v>
      </c>
      <c r="R209" t="n">
        <v>116.293474</v>
      </c>
      <c r="S209" t="n">
        <v>70.592995</v>
      </c>
      <c r="T209" t="n">
        <v>70.592995</v>
      </c>
      <c r="U209" t="n">
        <v>25.441846</v>
      </c>
      <c r="V209" t="n">
        <v>25.441846</v>
      </c>
      <c r="W209" t="n">
        <v>71.252585</v>
      </c>
      <c r="X209" t="n">
        <v>116.988754</v>
      </c>
    </row>
    <row r="210">
      <c r="A210" t="inlineStr">
        <is>
          <t>Octopoda</t>
        </is>
      </c>
      <c r="D210" t="inlineStr">
        <is>
          <t>Squid &amp; Octopus</t>
        </is>
      </c>
      <c r="H210" t="n">
        <v>62.376626</v>
      </c>
      <c r="I210" t="n">
        <v>51.428785</v>
      </c>
      <c r="J210" t="n">
        <v>51.639947</v>
      </c>
      <c r="K210" t="n">
        <v>49.05795</v>
      </c>
      <c r="L210" t="n">
        <v>94.097724</v>
      </c>
      <c r="M210" t="n">
        <v>69.667844</v>
      </c>
      <c r="N210" t="n">
        <v>69.667844</v>
      </c>
      <c r="O210" t="n">
        <v>47.704772</v>
      </c>
      <c r="P210" t="n">
        <v>19.528933</v>
      </c>
      <c r="Q210" t="n">
        <v>69.667844</v>
      </c>
      <c r="R210" t="n">
        <v>69.667844</v>
      </c>
      <c r="S210" t="n">
        <v>47.704772</v>
      </c>
      <c r="T210" t="n">
        <v>47.704772</v>
      </c>
      <c r="U210" t="n">
        <v>19.528933</v>
      </c>
      <c r="V210" t="n">
        <v>19.528933</v>
      </c>
      <c r="W210" t="n">
        <v>48.333282</v>
      </c>
      <c r="X210" t="n">
        <v>72.484779</v>
      </c>
    </row>
    <row r="211">
      <c r="A211" t="inlineStr">
        <is>
          <t>Scorpaeniformes</t>
        </is>
      </c>
      <c r="B211" t="n">
        <v>3.78</v>
      </c>
      <c r="C211" t="n">
        <v>602.559586</v>
      </c>
      <c r="D211" t="inlineStr">
        <is>
          <t>Large Dem. fish</t>
        </is>
      </c>
      <c r="H211" t="n">
        <v>257.213239</v>
      </c>
      <c r="I211" t="n">
        <v>242.020787</v>
      </c>
      <c r="J211" t="n">
        <v>251.673548</v>
      </c>
      <c r="K211" t="n">
        <v>236.573135</v>
      </c>
      <c r="L211" t="n">
        <v>461.958282</v>
      </c>
      <c r="M211" t="n">
        <v>374.891707</v>
      </c>
      <c r="N211" t="n">
        <v>374.891707</v>
      </c>
      <c r="O211" t="n">
        <v>228.730494</v>
      </c>
      <c r="P211" t="n">
        <v>73.767325</v>
      </c>
      <c r="Q211" t="n">
        <v>374.891707</v>
      </c>
      <c r="R211" t="n">
        <v>374.891707</v>
      </c>
      <c r="S211" t="n">
        <v>228.730494</v>
      </c>
      <c r="T211" t="n">
        <v>228.730494</v>
      </c>
      <c r="U211" t="n">
        <v>73.767325</v>
      </c>
      <c r="V211" t="n">
        <v>73.767325</v>
      </c>
      <c r="W211" t="n">
        <v>231.104367</v>
      </c>
      <c r="X211" t="n">
        <v>381.526081</v>
      </c>
    </row>
    <row r="212">
      <c r="A212" t="inlineStr">
        <is>
          <t>Sander lucioperca</t>
        </is>
      </c>
      <c r="B212" t="n">
        <v>4.04</v>
      </c>
      <c r="C212" t="n">
        <v>1096.478196</v>
      </c>
      <c r="D212" t="inlineStr">
        <is>
          <t>Unresolved</t>
        </is>
      </c>
    </row>
    <row r="213">
      <c r="A213" t="inlineStr">
        <is>
          <t>Chelon ramada</t>
        </is>
      </c>
      <c r="B213" t="n">
        <v>2.3</v>
      </c>
      <c r="C213" t="n">
        <v>19.952623</v>
      </c>
      <c r="D213" t="inlineStr">
        <is>
          <t>Large Pelagics</t>
        </is>
      </c>
      <c r="H213" t="n">
        <v>139.957891</v>
      </c>
      <c r="I213" t="n">
        <v>118.942542</v>
      </c>
      <c r="J213" t="n">
        <v>128.033231</v>
      </c>
      <c r="K213" t="n">
        <v>115.229908</v>
      </c>
      <c r="L213" t="n">
        <v>208.675232</v>
      </c>
      <c r="M213" t="n">
        <v>172.524137</v>
      </c>
      <c r="N213" t="n">
        <v>172.524137</v>
      </c>
      <c r="O213" t="n">
        <v>107.933606</v>
      </c>
      <c r="P213" t="n">
        <v>40.156364</v>
      </c>
      <c r="Q213" t="n">
        <v>172.524137</v>
      </c>
      <c r="R213" t="n">
        <v>172.524137</v>
      </c>
      <c r="S213" t="n">
        <v>107.933606</v>
      </c>
      <c r="T213" t="n">
        <v>107.933606</v>
      </c>
      <c r="U213" t="n">
        <v>40.156364</v>
      </c>
      <c r="V213" t="n">
        <v>40.156364</v>
      </c>
      <c r="W213" t="n">
        <v>107.778581</v>
      </c>
      <c r="X213" t="n">
        <v>174.242777</v>
      </c>
    </row>
    <row r="214">
      <c r="A214" t="inlineStr">
        <is>
          <t>Chimaeriformes</t>
        </is>
      </c>
      <c r="B214" t="n">
        <v>3.37</v>
      </c>
      <c r="C214" t="n">
        <v>234.422882</v>
      </c>
      <c r="D214" t="inlineStr">
        <is>
          <t>Unresolved</t>
        </is>
      </c>
    </row>
    <row r="215">
      <c r="A215" t="inlineStr">
        <is>
          <t>Mullus</t>
        </is>
      </c>
      <c r="B215" t="n">
        <v>3.29</v>
      </c>
      <c r="C215" t="n">
        <v>194.98446</v>
      </c>
      <c r="D215" t="inlineStr">
        <is>
          <t>Large Dem. fish</t>
        </is>
      </c>
      <c r="H215" t="n">
        <v>257.213239</v>
      </c>
      <c r="I215" t="n">
        <v>242.020787</v>
      </c>
      <c r="J215" t="n">
        <v>251.673548</v>
      </c>
      <c r="K215" t="n">
        <v>236.573135</v>
      </c>
      <c r="L215" t="n">
        <v>461.958282</v>
      </c>
      <c r="M215" t="n">
        <v>374.891707</v>
      </c>
      <c r="N215" t="n">
        <v>374.891707</v>
      </c>
      <c r="O215" t="n">
        <v>228.730494</v>
      </c>
      <c r="P215" t="n">
        <v>73.767325</v>
      </c>
      <c r="Q215" t="n">
        <v>374.891707</v>
      </c>
      <c r="R215" t="n">
        <v>374.891707</v>
      </c>
      <c r="S215" t="n">
        <v>228.730494</v>
      </c>
      <c r="T215" t="n">
        <v>228.730494</v>
      </c>
      <c r="U215" t="n">
        <v>73.767325</v>
      </c>
      <c r="V215" t="n">
        <v>73.767325</v>
      </c>
      <c r="W215" t="n">
        <v>231.104367</v>
      </c>
      <c r="X215" t="n">
        <v>381.526081</v>
      </c>
    </row>
    <row r="216">
      <c r="A216" t="inlineStr">
        <is>
          <t>Octopus</t>
        </is>
      </c>
      <c r="B216" t="n">
        <v>3.8</v>
      </c>
      <c r="C216" t="n">
        <v>630.957344</v>
      </c>
      <c r="D216" t="inlineStr">
        <is>
          <t>Squid &amp; Octopus</t>
        </is>
      </c>
      <c r="H216" t="n">
        <v>62.376626</v>
      </c>
      <c r="I216" t="n">
        <v>51.428785</v>
      </c>
      <c r="J216" t="n">
        <v>51.639947</v>
      </c>
      <c r="K216" t="n">
        <v>49.05795</v>
      </c>
      <c r="L216" t="n">
        <v>94.097724</v>
      </c>
      <c r="M216" t="n">
        <v>69.667844</v>
      </c>
      <c r="N216" t="n">
        <v>69.667844</v>
      </c>
      <c r="O216" t="n">
        <v>47.704772</v>
      </c>
      <c r="P216" t="n">
        <v>19.528933</v>
      </c>
      <c r="Q216" t="n">
        <v>69.667844</v>
      </c>
      <c r="R216" t="n">
        <v>69.667844</v>
      </c>
      <c r="S216" t="n">
        <v>47.704772</v>
      </c>
      <c r="T216" t="n">
        <v>47.704772</v>
      </c>
      <c r="U216" t="n">
        <v>19.528933</v>
      </c>
      <c r="V216" t="n">
        <v>19.528933</v>
      </c>
      <c r="W216" t="n">
        <v>48.333282</v>
      </c>
      <c r="X216" t="n">
        <v>72.484779</v>
      </c>
    </row>
    <row r="217">
      <c r="A217" t="inlineStr">
        <is>
          <t>Notoscopelus</t>
        </is>
      </c>
      <c r="B217" t="n">
        <v>3.15</v>
      </c>
      <c r="C217" t="n">
        <v>141.253754</v>
      </c>
      <c r="D217" t="inlineStr">
        <is>
          <t>Small pelagics</t>
        </is>
      </c>
      <c r="H217" t="n">
        <v>47.986658</v>
      </c>
      <c r="I217" t="n">
        <v>23.215644</v>
      </c>
      <c r="J217" t="n">
        <v>23.303441</v>
      </c>
      <c r="K217" t="n">
        <v>20.507028</v>
      </c>
      <c r="L217" t="n">
        <v>37.444032</v>
      </c>
      <c r="M217" t="n">
        <v>31.413829</v>
      </c>
      <c r="N217" t="n">
        <v>31.413829</v>
      </c>
      <c r="O217" t="n">
        <v>21.233792</v>
      </c>
      <c r="P217" t="n">
        <v>9.36406</v>
      </c>
      <c r="Q217" t="n">
        <v>31.413829</v>
      </c>
      <c r="R217" t="n">
        <v>31.413829</v>
      </c>
      <c r="S217" t="n">
        <v>21.233792</v>
      </c>
      <c r="T217" t="n">
        <v>21.233792</v>
      </c>
      <c r="U217" t="n">
        <v>9.36406</v>
      </c>
      <c r="V217" t="n">
        <v>9.36406</v>
      </c>
      <c r="W217" t="n">
        <v>21.105884</v>
      </c>
      <c r="X217" t="n">
        <v>33.32407</v>
      </c>
    </row>
    <row r="218">
      <c r="A218" t="inlineStr">
        <is>
          <t>Spisula</t>
        </is>
      </c>
      <c r="B218" t="n">
        <v>2</v>
      </c>
      <c r="C218" t="n">
        <v>10</v>
      </c>
      <c r="D218" t="inlineStr">
        <is>
          <t>Infauna</t>
        </is>
      </c>
      <c r="H218" t="n">
        <v>1.695379</v>
      </c>
      <c r="I218" t="n">
        <v>1.315556</v>
      </c>
      <c r="J218" t="n">
        <v>1.315556</v>
      </c>
      <c r="K218" t="n">
        <v>1.184</v>
      </c>
      <c r="L218" t="n">
        <v>3.864936</v>
      </c>
      <c r="M218" t="n">
        <v>1.321429</v>
      </c>
      <c r="N218" t="n">
        <v>1.321429</v>
      </c>
      <c r="O218" t="n">
        <v>1.188755</v>
      </c>
      <c r="P218" t="n">
        <v>0.950241</v>
      </c>
      <c r="Q218" t="n">
        <v>1.321429</v>
      </c>
      <c r="R218" t="n">
        <v>1.321429</v>
      </c>
      <c r="S218" t="n">
        <v>1.188755</v>
      </c>
      <c r="T218" t="n">
        <v>1.188755</v>
      </c>
      <c r="U218" t="n">
        <v>0.950241</v>
      </c>
      <c r="V218" t="n">
        <v>0.950241</v>
      </c>
      <c r="W218" t="n">
        <v>1.170683</v>
      </c>
      <c r="X218" t="n">
        <v>1.343305</v>
      </c>
    </row>
    <row r="219">
      <c r="A219" t="inlineStr">
        <is>
          <t>Beryx</t>
        </is>
      </c>
      <c r="B219" t="n">
        <v>3.97</v>
      </c>
      <c r="C219" t="n">
        <v>933.2543010000001</v>
      </c>
      <c r="D219" t="inlineStr">
        <is>
          <t>Unresolved</t>
        </is>
      </c>
    </row>
    <row r="220">
      <c r="A220" t="inlineStr">
        <is>
          <t>Chelon labrosus</t>
        </is>
      </c>
      <c r="B220" t="n">
        <v>2.59</v>
      </c>
      <c r="C220" t="n">
        <v>38.904514</v>
      </c>
      <c r="D220" t="inlineStr">
        <is>
          <t>Large Dem. fish</t>
        </is>
      </c>
      <c r="H220" t="n">
        <v>257.213239</v>
      </c>
      <c r="I220" t="n">
        <v>242.020787</v>
      </c>
      <c r="J220" t="n">
        <v>251.673548</v>
      </c>
      <c r="K220" t="n">
        <v>236.573135</v>
      </c>
      <c r="L220" t="n">
        <v>461.958282</v>
      </c>
      <c r="M220" t="n">
        <v>374.891707</v>
      </c>
      <c r="N220" t="n">
        <v>374.891707</v>
      </c>
      <c r="O220" t="n">
        <v>228.730494</v>
      </c>
      <c r="P220" t="n">
        <v>73.767325</v>
      </c>
      <c r="Q220" t="n">
        <v>374.891707</v>
      </c>
      <c r="R220" t="n">
        <v>374.891707</v>
      </c>
      <c r="S220" t="n">
        <v>228.730494</v>
      </c>
      <c r="T220" t="n">
        <v>228.730494</v>
      </c>
      <c r="U220" t="n">
        <v>73.767325</v>
      </c>
      <c r="V220" t="n">
        <v>73.767325</v>
      </c>
      <c r="W220" t="n">
        <v>231.104367</v>
      </c>
      <c r="X220" t="n">
        <v>381.526081</v>
      </c>
    </row>
    <row r="221">
      <c r="A221" t="inlineStr">
        <is>
          <t>Myxine glutinosa</t>
        </is>
      </c>
      <c r="B221" t="n">
        <v>4.54</v>
      </c>
      <c r="C221" t="n">
        <v>3467.368505</v>
      </c>
      <c r="D221" t="inlineStr">
        <is>
          <t>Large Dem. fish</t>
        </is>
      </c>
      <c r="H221" t="n">
        <v>257.213239</v>
      </c>
      <c r="I221" t="n">
        <v>242.020787</v>
      </c>
      <c r="J221" t="n">
        <v>251.673548</v>
      </c>
      <c r="K221" t="n">
        <v>236.573135</v>
      </c>
      <c r="L221" t="n">
        <v>461.958282</v>
      </c>
      <c r="M221" t="n">
        <v>374.891707</v>
      </c>
      <c r="N221" t="n">
        <v>374.891707</v>
      </c>
      <c r="O221" t="n">
        <v>228.730494</v>
      </c>
      <c r="P221" t="n">
        <v>73.767325</v>
      </c>
      <c r="Q221" t="n">
        <v>374.891707</v>
      </c>
      <c r="R221" t="n">
        <v>374.891707</v>
      </c>
      <c r="S221" t="n">
        <v>228.730494</v>
      </c>
      <c r="T221" t="n">
        <v>228.730494</v>
      </c>
      <c r="U221" t="n">
        <v>73.767325</v>
      </c>
      <c r="V221" t="n">
        <v>73.767325</v>
      </c>
      <c r="W221" t="n">
        <v>231.104367</v>
      </c>
      <c r="X221" t="n">
        <v>381.526081</v>
      </c>
    </row>
    <row r="222">
      <c r="A222" t="inlineStr">
        <is>
          <t>Dipturus oxyrinchus</t>
        </is>
      </c>
      <c r="B222" t="n">
        <v>3.5</v>
      </c>
      <c r="C222" t="n">
        <v>316.227766</v>
      </c>
      <c r="D222" t="inlineStr">
        <is>
          <t>Sharks &amp; rays</t>
        </is>
      </c>
      <c r="H222" t="n">
        <v>233.624758</v>
      </c>
      <c r="I222" t="n">
        <v>492.26657</v>
      </c>
      <c r="J222" t="n">
        <v>510.78557</v>
      </c>
      <c r="K222" t="n">
        <v>219.637795</v>
      </c>
      <c r="L222" t="n">
        <v>1275.246638</v>
      </c>
      <c r="M222" t="n">
        <v>948.706608</v>
      </c>
      <c r="N222" t="n">
        <v>948.706608</v>
      </c>
      <c r="O222" t="n">
        <v>213.713009</v>
      </c>
      <c r="P222" t="n">
        <v>67.906436</v>
      </c>
      <c r="Q222" t="n">
        <v>948.706608</v>
      </c>
      <c r="R222" t="n">
        <v>948.706608</v>
      </c>
      <c r="S222" t="n">
        <v>213.713009</v>
      </c>
      <c r="T222" t="n">
        <v>213.713009</v>
      </c>
      <c r="U222" t="n">
        <v>67.906436</v>
      </c>
      <c r="V222" t="n">
        <v>67.906436</v>
      </c>
      <c r="W222" t="n">
        <v>220.688261</v>
      </c>
      <c r="X222" t="n">
        <v>981.457341</v>
      </c>
    </row>
    <row r="223">
      <c r="A223" t="inlineStr">
        <is>
          <t>Centroselachus crepidater</t>
        </is>
      </c>
      <c r="D223" t="inlineStr">
        <is>
          <t>Sharks &amp; rays</t>
        </is>
      </c>
      <c r="H223" t="n">
        <v>233.624758</v>
      </c>
      <c r="I223" t="n">
        <v>492.26657</v>
      </c>
      <c r="J223" t="n">
        <v>510.78557</v>
      </c>
      <c r="K223" t="n">
        <v>219.637795</v>
      </c>
      <c r="L223" t="n">
        <v>1275.246638</v>
      </c>
      <c r="M223" t="n">
        <v>948.706608</v>
      </c>
      <c r="N223" t="n">
        <v>948.706608</v>
      </c>
      <c r="O223" t="n">
        <v>213.713009</v>
      </c>
      <c r="P223" t="n">
        <v>67.906436</v>
      </c>
      <c r="Q223" t="n">
        <v>948.706608</v>
      </c>
      <c r="R223" t="n">
        <v>948.706608</v>
      </c>
      <c r="S223" t="n">
        <v>213.713009</v>
      </c>
      <c r="T223" t="n">
        <v>213.713009</v>
      </c>
      <c r="U223" t="n">
        <v>67.906436</v>
      </c>
      <c r="V223" t="n">
        <v>67.906436</v>
      </c>
      <c r="W223" t="n">
        <v>220.688261</v>
      </c>
      <c r="X223" t="n">
        <v>981.457341</v>
      </c>
    </row>
    <row r="224">
      <c r="A224" t="inlineStr">
        <is>
          <t>Miscellaneous diadromous fishes</t>
        </is>
      </c>
      <c r="D224" t="inlineStr">
        <is>
          <t>Unresolved</t>
        </is>
      </c>
    </row>
    <row r="225">
      <c r="A225" t="inlineStr">
        <is>
          <t>Dipturus nidarosiensis</t>
        </is>
      </c>
      <c r="D225" t="inlineStr">
        <is>
          <t>Sharks &amp; rays</t>
        </is>
      </c>
      <c r="H225" t="n">
        <v>233.624758</v>
      </c>
      <c r="I225" t="n">
        <v>492.26657</v>
      </c>
      <c r="J225" t="n">
        <v>510.78557</v>
      </c>
      <c r="K225" t="n">
        <v>219.637795</v>
      </c>
      <c r="L225" t="n">
        <v>1275.246638</v>
      </c>
      <c r="M225" t="n">
        <v>948.706608</v>
      </c>
      <c r="N225" t="n">
        <v>948.706608</v>
      </c>
      <c r="O225" t="n">
        <v>213.713009</v>
      </c>
      <c r="P225" t="n">
        <v>67.906436</v>
      </c>
      <c r="Q225" t="n">
        <v>948.706608</v>
      </c>
      <c r="R225" t="n">
        <v>948.706608</v>
      </c>
      <c r="S225" t="n">
        <v>213.713009</v>
      </c>
      <c r="T225" t="n">
        <v>213.713009</v>
      </c>
      <c r="U225" t="n">
        <v>67.906436</v>
      </c>
      <c r="V225" t="n">
        <v>67.906436</v>
      </c>
      <c r="W225" t="n">
        <v>220.688261</v>
      </c>
      <c r="X225" t="n">
        <v>981.457341</v>
      </c>
    </row>
    <row r="226">
      <c r="A226" t="inlineStr">
        <is>
          <t>Scyliorhinidae</t>
        </is>
      </c>
      <c r="B226" t="n">
        <v>3.97</v>
      </c>
      <c r="C226" t="n">
        <v>933.2543010000001</v>
      </c>
      <c r="D226" t="inlineStr">
        <is>
          <t>Sharks &amp; rays</t>
        </is>
      </c>
      <c r="H226" t="n">
        <v>233.624758</v>
      </c>
      <c r="I226" t="n">
        <v>492.26657</v>
      </c>
      <c r="J226" t="n">
        <v>510.78557</v>
      </c>
      <c r="K226" t="n">
        <v>219.637795</v>
      </c>
      <c r="L226" t="n">
        <v>1275.246638</v>
      </c>
      <c r="M226" t="n">
        <v>948.706608</v>
      </c>
      <c r="N226" t="n">
        <v>948.706608</v>
      </c>
      <c r="O226" t="n">
        <v>213.713009</v>
      </c>
      <c r="P226" t="n">
        <v>67.906436</v>
      </c>
      <c r="Q226" t="n">
        <v>948.706608</v>
      </c>
      <c r="R226" t="n">
        <v>948.706608</v>
      </c>
      <c r="S226" t="n">
        <v>213.713009</v>
      </c>
      <c r="T226" t="n">
        <v>213.713009</v>
      </c>
      <c r="U226" t="n">
        <v>67.906436</v>
      </c>
      <c r="V226" t="n">
        <v>67.906436</v>
      </c>
      <c r="W226" t="n">
        <v>220.688261</v>
      </c>
      <c r="X226" t="n">
        <v>981.457341</v>
      </c>
    </row>
    <row r="227">
      <c r="A227" t="inlineStr">
        <is>
          <t>Salmonidae</t>
        </is>
      </c>
      <c r="D227" t="inlineStr">
        <is>
          <t>Unresolved</t>
        </is>
      </c>
    </row>
    <row r="228">
      <c r="A228" t="inlineStr">
        <is>
          <t>Scyliorhinus stellaris</t>
        </is>
      </c>
      <c r="B228" t="n">
        <v>4.03</v>
      </c>
      <c r="C228" t="n">
        <v>1071.519305</v>
      </c>
      <c r="D228" t="inlineStr">
        <is>
          <t>Sharks &amp; rays</t>
        </is>
      </c>
      <c r="H228" t="n">
        <v>233.624758</v>
      </c>
      <c r="I228" t="n">
        <v>492.26657</v>
      </c>
      <c r="J228" t="n">
        <v>510.78557</v>
      </c>
      <c r="K228" t="n">
        <v>219.637795</v>
      </c>
      <c r="L228" t="n">
        <v>1275.246638</v>
      </c>
      <c r="M228" t="n">
        <v>948.706608</v>
      </c>
      <c r="N228" t="n">
        <v>948.706608</v>
      </c>
      <c r="O228" t="n">
        <v>213.713009</v>
      </c>
      <c r="P228" t="n">
        <v>67.906436</v>
      </c>
      <c r="Q228" t="n">
        <v>948.706608</v>
      </c>
      <c r="R228" t="n">
        <v>948.706608</v>
      </c>
      <c r="S228" t="n">
        <v>213.713009</v>
      </c>
      <c r="T228" t="n">
        <v>213.713009</v>
      </c>
      <c r="U228" t="n">
        <v>67.906436</v>
      </c>
      <c r="V228" t="n">
        <v>67.906436</v>
      </c>
      <c r="W228" t="n">
        <v>220.688261</v>
      </c>
      <c r="X228" t="n">
        <v>981.457341</v>
      </c>
    </row>
    <row r="229">
      <c r="A229" t="inlineStr">
        <is>
          <t>Thunnus</t>
        </is>
      </c>
      <c r="D229" t="inlineStr">
        <is>
          <t>Unresolved</t>
        </is>
      </c>
    </row>
    <row r="230">
      <c r="A230" t="inlineStr">
        <is>
          <t>Isurus</t>
        </is>
      </c>
      <c r="D230" t="inlineStr">
        <is>
          <t>Sharks &amp; rays</t>
        </is>
      </c>
      <c r="H230" t="n">
        <v>233.624758</v>
      </c>
      <c r="I230" t="n">
        <v>492.26657</v>
      </c>
      <c r="J230" t="n">
        <v>510.78557</v>
      </c>
      <c r="K230" t="n">
        <v>219.637795</v>
      </c>
      <c r="L230" t="n">
        <v>1275.246638</v>
      </c>
      <c r="M230" t="n">
        <v>948.706608</v>
      </c>
      <c r="N230" t="n">
        <v>948.706608</v>
      </c>
      <c r="O230" t="n">
        <v>213.713009</v>
      </c>
      <c r="P230" t="n">
        <v>67.906436</v>
      </c>
      <c r="Q230" t="n">
        <v>948.706608</v>
      </c>
      <c r="R230" t="n">
        <v>948.706608</v>
      </c>
      <c r="S230" t="n">
        <v>213.713009</v>
      </c>
      <c r="T230" t="n">
        <v>213.713009</v>
      </c>
      <c r="U230" t="n">
        <v>67.906436</v>
      </c>
      <c r="V230" t="n">
        <v>67.906436</v>
      </c>
      <c r="W230" t="n">
        <v>220.688261</v>
      </c>
      <c r="X230" t="n">
        <v>981.457341</v>
      </c>
    </row>
    <row r="231">
      <c r="A231" t="inlineStr">
        <is>
          <t>Cyprinidae</t>
        </is>
      </c>
      <c r="B231" t="n">
        <v>2.8</v>
      </c>
      <c r="C231" t="n">
        <v>63.095734</v>
      </c>
      <c r="D231" t="inlineStr">
        <is>
          <t>Unresolved</t>
        </is>
      </c>
    </row>
    <row r="232">
      <c r="A232" t="inlineStr">
        <is>
          <t>Euthynnus alletteratus</t>
        </is>
      </c>
      <c r="D232" t="inlineStr">
        <is>
          <t>Unresolved</t>
        </is>
      </c>
    </row>
    <row r="233">
      <c r="A233" t="inlineStr">
        <is>
          <t>Caproidae</t>
        </is>
      </c>
      <c r="B233" t="n">
        <v>3.54</v>
      </c>
      <c r="C233" t="n">
        <v>346.73685</v>
      </c>
      <c r="D233" t="inlineStr">
        <is>
          <t>Large Dem. fish</t>
        </is>
      </c>
      <c r="H233" t="n">
        <v>257.213239</v>
      </c>
      <c r="I233" t="n">
        <v>242.020787</v>
      </c>
      <c r="J233" t="n">
        <v>251.673548</v>
      </c>
      <c r="K233" t="n">
        <v>236.573135</v>
      </c>
      <c r="L233" t="n">
        <v>461.958282</v>
      </c>
      <c r="M233" t="n">
        <v>374.891707</v>
      </c>
      <c r="N233" t="n">
        <v>374.891707</v>
      </c>
      <c r="O233" t="n">
        <v>228.730494</v>
      </c>
      <c r="P233" t="n">
        <v>73.767325</v>
      </c>
      <c r="Q233" t="n">
        <v>374.891707</v>
      </c>
      <c r="R233" t="n">
        <v>374.891707</v>
      </c>
      <c r="S233" t="n">
        <v>228.730494</v>
      </c>
      <c r="T233" t="n">
        <v>228.730494</v>
      </c>
      <c r="U233" t="n">
        <v>73.767325</v>
      </c>
      <c r="V233" t="n">
        <v>73.767325</v>
      </c>
      <c r="W233" t="n">
        <v>231.104367</v>
      </c>
      <c r="X233" t="n">
        <v>381.526081</v>
      </c>
    </row>
    <row r="234">
      <c r="A234" t="inlineStr">
        <is>
          <t>Alosa</t>
        </is>
      </c>
      <c r="B234" t="n">
        <v>3.89</v>
      </c>
      <c r="C234" t="n">
        <v>776.247117</v>
      </c>
      <c r="D234" t="inlineStr">
        <is>
          <t>Large Pelagics</t>
        </is>
      </c>
      <c r="H234" t="n">
        <v>139.957891</v>
      </c>
      <c r="I234" t="n">
        <v>118.942542</v>
      </c>
      <c r="J234" t="n">
        <v>128.033231</v>
      </c>
      <c r="K234" t="n">
        <v>115.229908</v>
      </c>
      <c r="L234" t="n">
        <v>208.675232</v>
      </c>
      <c r="M234" t="n">
        <v>172.524137</v>
      </c>
      <c r="N234" t="n">
        <v>172.524137</v>
      </c>
      <c r="O234" t="n">
        <v>107.933606</v>
      </c>
      <c r="P234" t="n">
        <v>40.156364</v>
      </c>
      <c r="Q234" t="n">
        <v>172.524137</v>
      </c>
      <c r="R234" t="n">
        <v>172.524137</v>
      </c>
      <c r="S234" t="n">
        <v>107.933606</v>
      </c>
      <c r="T234" t="n">
        <v>107.933606</v>
      </c>
      <c r="U234" t="n">
        <v>40.156364</v>
      </c>
      <c r="V234" t="n">
        <v>40.156364</v>
      </c>
      <c r="W234" t="n">
        <v>107.778581</v>
      </c>
      <c r="X234" t="n">
        <v>174.242777</v>
      </c>
    </row>
    <row r="235">
      <c r="A235" t="inlineStr">
        <is>
          <t>Mora moro</t>
        </is>
      </c>
      <c r="B235" t="n">
        <v>3.75</v>
      </c>
      <c r="C235" t="n">
        <v>562.341325</v>
      </c>
      <c r="D235" t="inlineStr">
        <is>
          <t>Unresolved</t>
        </is>
      </c>
    </row>
    <row r="236">
      <c r="A236" t="inlineStr">
        <is>
          <t>Cepola macrophthalma</t>
        </is>
      </c>
      <c r="B236" t="n">
        <v>3.13</v>
      </c>
      <c r="C236" t="n">
        <v>134.896288</v>
      </c>
      <c r="D236" t="inlineStr">
        <is>
          <t>Large Dem. fish</t>
        </is>
      </c>
      <c r="H236" t="n">
        <v>257.213239</v>
      </c>
      <c r="I236" t="n">
        <v>242.020787</v>
      </c>
      <c r="J236" t="n">
        <v>251.673548</v>
      </c>
      <c r="K236" t="n">
        <v>236.573135</v>
      </c>
      <c r="L236" t="n">
        <v>461.958282</v>
      </c>
      <c r="M236" t="n">
        <v>374.891707</v>
      </c>
      <c r="N236" t="n">
        <v>374.891707</v>
      </c>
      <c r="O236" t="n">
        <v>228.730494</v>
      </c>
      <c r="P236" t="n">
        <v>73.767325</v>
      </c>
      <c r="Q236" t="n">
        <v>374.891707</v>
      </c>
      <c r="R236" t="n">
        <v>374.891707</v>
      </c>
      <c r="S236" t="n">
        <v>228.730494</v>
      </c>
      <c r="T236" t="n">
        <v>228.730494</v>
      </c>
      <c r="U236" t="n">
        <v>73.767325</v>
      </c>
      <c r="V236" t="n">
        <v>73.767325</v>
      </c>
      <c r="W236" t="n">
        <v>231.104367</v>
      </c>
      <c r="X236" t="n">
        <v>381.526081</v>
      </c>
    </row>
    <row r="237">
      <c r="A237" t="inlineStr">
        <is>
          <t>Serranidae</t>
        </is>
      </c>
      <c r="D237" t="inlineStr">
        <is>
          <t>Large Dem. fish</t>
        </is>
      </c>
      <c r="H237" t="n">
        <v>257.213239</v>
      </c>
      <c r="I237" t="n">
        <v>242.020787</v>
      </c>
      <c r="J237" t="n">
        <v>251.673548</v>
      </c>
      <c r="K237" t="n">
        <v>236.573135</v>
      </c>
      <c r="L237" t="n">
        <v>461.958282</v>
      </c>
      <c r="M237" t="n">
        <v>374.891707</v>
      </c>
      <c r="N237" t="n">
        <v>374.891707</v>
      </c>
      <c r="O237" t="n">
        <v>228.730494</v>
      </c>
      <c r="P237" t="n">
        <v>73.767325</v>
      </c>
      <c r="Q237" t="n">
        <v>374.891707</v>
      </c>
      <c r="R237" t="n">
        <v>374.891707</v>
      </c>
      <c r="S237" t="n">
        <v>228.730494</v>
      </c>
      <c r="T237" t="n">
        <v>228.730494</v>
      </c>
      <c r="U237" t="n">
        <v>73.767325</v>
      </c>
      <c r="V237" t="n">
        <v>73.767325</v>
      </c>
      <c r="W237" t="n">
        <v>231.104367</v>
      </c>
      <c r="X237" t="n">
        <v>381.526081</v>
      </c>
    </row>
    <row r="238">
      <c r="A238" t="inlineStr">
        <is>
          <t>Scorpaenidae</t>
        </is>
      </c>
      <c r="B238" t="n">
        <v>3.92</v>
      </c>
      <c r="C238" t="n">
        <v>831.763771</v>
      </c>
      <c r="D238" t="inlineStr">
        <is>
          <t>Large Dem. fish</t>
        </is>
      </c>
      <c r="H238" t="n">
        <v>257.213239</v>
      </c>
      <c r="I238" t="n">
        <v>242.020787</v>
      </c>
      <c r="J238" t="n">
        <v>251.673548</v>
      </c>
      <c r="K238" t="n">
        <v>236.573135</v>
      </c>
      <c r="L238" t="n">
        <v>461.958282</v>
      </c>
      <c r="M238" t="n">
        <v>374.891707</v>
      </c>
      <c r="N238" t="n">
        <v>374.891707</v>
      </c>
      <c r="O238" t="n">
        <v>228.730494</v>
      </c>
      <c r="P238" t="n">
        <v>73.767325</v>
      </c>
      <c r="Q238" t="n">
        <v>374.891707</v>
      </c>
      <c r="R238" t="n">
        <v>374.891707</v>
      </c>
      <c r="S238" t="n">
        <v>228.730494</v>
      </c>
      <c r="T238" t="n">
        <v>228.730494</v>
      </c>
      <c r="U238" t="n">
        <v>73.767325</v>
      </c>
      <c r="V238" t="n">
        <v>73.767325</v>
      </c>
      <c r="W238" t="n">
        <v>231.104367</v>
      </c>
      <c r="X238" t="n">
        <v>381.526081</v>
      </c>
    </row>
    <row r="239">
      <c r="A239" t="inlineStr">
        <is>
          <t>Labrus bergylta</t>
        </is>
      </c>
      <c r="B239" t="n">
        <v>3.2</v>
      </c>
      <c r="C239" t="n">
        <v>158.489319</v>
      </c>
      <c r="D239" t="inlineStr">
        <is>
          <t>Large Dem. fish</t>
        </is>
      </c>
      <c r="H239" t="n">
        <v>257.213239</v>
      </c>
      <c r="I239" t="n">
        <v>242.020787</v>
      </c>
      <c r="J239" t="n">
        <v>251.673548</v>
      </c>
      <c r="K239" t="n">
        <v>236.573135</v>
      </c>
      <c r="L239" t="n">
        <v>461.958282</v>
      </c>
      <c r="M239" t="n">
        <v>374.891707</v>
      </c>
      <c r="N239" t="n">
        <v>374.891707</v>
      </c>
      <c r="O239" t="n">
        <v>228.730494</v>
      </c>
      <c r="P239" t="n">
        <v>73.767325</v>
      </c>
      <c r="Q239" t="n">
        <v>374.891707</v>
      </c>
      <c r="R239" t="n">
        <v>374.891707</v>
      </c>
      <c r="S239" t="n">
        <v>228.730494</v>
      </c>
      <c r="T239" t="n">
        <v>228.730494</v>
      </c>
      <c r="U239" t="n">
        <v>73.767325</v>
      </c>
      <c r="V239" t="n">
        <v>73.767325</v>
      </c>
      <c r="W239" t="n">
        <v>231.104367</v>
      </c>
      <c r="X239" t="n">
        <v>381.526081</v>
      </c>
    </row>
    <row r="240">
      <c r="A240" t="inlineStr">
        <is>
          <t>Echinus esculentus</t>
        </is>
      </c>
      <c r="B240" t="n">
        <v>2</v>
      </c>
      <c r="C240" t="n">
        <v>10</v>
      </c>
      <c r="D240" t="inlineStr">
        <is>
          <t>Epifauna</t>
        </is>
      </c>
      <c r="H240" t="n">
        <v>8.395077000000001</v>
      </c>
      <c r="I240" t="n">
        <v>5.225253</v>
      </c>
      <c r="J240" t="n">
        <v>5.225253</v>
      </c>
      <c r="K240" t="n">
        <v>4.598222</v>
      </c>
      <c r="L240" t="n">
        <v>10.950321</v>
      </c>
      <c r="M240" t="n">
        <v>5.811987</v>
      </c>
      <c r="N240" t="n">
        <v>5.811987</v>
      </c>
      <c r="O240" t="n">
        <v>4.520226</v>
      </c>
      <c r="P240" t="n">
        <v>2.746443</v>
      </c>
      <c r="Q240" t="n">
        <v>5.811987</v>
      </c>
      <c r="R240" t="n">
        <v>5.811987</v>
      </c>
      <c r="S240" t="n">
        <v>4.520226</v>
      </c>
      <c r="T240" t="n">
        <v>4.520226</v>
      </c>
      <c r="U240" t="n">
        <v>2.746443</v>
      </c>
      <c r="V240" t="n">
        <v>2.746443</v>
      </c>
      <c r="W240" t="n">
        <v>4.485747</v>
      </c>
      <c r="X240" t="n">
        <v>5.703863</v>
      </c>
    </row>
    <row r="241">
      <c r="A241" t="inlineStr">
        <is>
          <t>Epigonus telescopus</t>
        </is>
      </c>
      <c r="B241" t="n">
        <v>3.59</v>
      </c>
      <c r="C241" t="n">
        <v>389.045145</v>
      </c>
      <c r="D241" t="inlineStr">
        <is>
          <t>Unresolved</t>
        </is>
      </c>
    </row>
    <row r="242">
      <c r="A242" t="inlineStr">
        <is>
          <t>Trachinus</t>
        </is>
      </c>
      <c r="B242" t="n">
        <v>3.95</v>
      </c>
      <c r="C242" t="n">
        <v>891.250938</v>
      </c>
      <c r="D242" t="inlineStr">
        <is>
          <t>Large Dem. fish</t>
        </is>
      </c>
      <c r="H242" t="n">
        <v>257.213239</v>
      </c>
      <c r="I242" t="n">
        <v>242.020787</v>
      </c>
      <c r="J242" t="n">
        <v>251.673548</v>
      </c>
      <c r="K242" t="n">
        <v>236.573135</v>
      </c>
      <c r="L242" t="n">
        <v>461.958282</v>
      </c>
      <c r="M242" t="n">
        <v>374.891707</v>
      </c>
      <c r="N242" t="n">
        <v>374.891707</v>
      </c>
      <c r="O242" t="n">
        <v>228.730494</v>
      </c>
      <c r="P242" t="n">
        <v>73.767325</v>
      </c>
      <c r="Q242" t="n">
        <v>374.891707</v>
      </c>
      <c r="R242" t="n">
        <v>374.891707</v>
      </c>
      <c r="S242" t="n">
        <v>228.730494</v>
      </c>
      <c r="T242" t="n">
        <v>228.730494</v>
      </c>
      <c r="U242" t="n">
        <v>73.767325</v>
      </c>
      <c r="V242" t="n">
        <v>73.767325</v>
      </c>
      <c r="W242" t="n">
        <v>231.104367</v>
      </c>
      <c r="X242" t="n">
        <v>381.526081</v>
      </c>
    </row>
    <row r="243">
      <c r="A243" t="inlineStr">
        <is>
          <t>Boops boops</t>
        </is>
      </c>
      <c r="B243" t="n">
        <v>2.79</v>
      </c>
      <c r="C243" t="n">
        <v>61.6595</v>
      </c>
      <c r="D243" t="inlineStr">
        <is>
          <t>Large Dem. fish</t>
        </is>
      </c>
      <c r="H243" t="n">
        <v>257.213239</v>
      </c>
      <c r="I243" t="n">
        <v>242.020787</v>
      </c>
      <c r="J243" t="n">
        <v>251.673548</v>
      </c>
      <c r="K243" t="n">
        <v>236.573135</v>
      </c>
      <c r="L243" t="n">
        <v>461.958282</v>
      </c>
      <c r="M243" t="n">
        <v>374.891707</v>
      </c>
      <c r="N243" t="n">
        <v>374.891707</v>
      </c>
      <c r="O243" t="n">
        <v>228.730494</v>
      </c>
      <c r="P243" t="n">
        <v>73.767325</v>
      </c>
      <c r="Q243" t="n">
        <v>374.891707</v>
      </c>
      <c r="R243" t="n">
        <v>374.891707</v>
      </c>
      <c r="S243" t="n">
        <v>228.730494</v>
      </c>
      <c r="T243" t="n">
        <v>228.730494</v>
      </c>
      <c r="U243" t="n">
        <v>73.767325</v>
      </c>
      <c r="V243" t="n">
        <v>73.767325</v>
      </c>
      <c r="W243" t="n">
        <v>231.104367</v>
      </c>
      <c r="X243" t="n">
        <v>381.526081</v>
      </c>
    </row>
    <row r="244">
      <c r="A244" t="inlineStr">
        <is>
          <t>Pandalidae</t>
        </is>
      </c>
      <c r="B244" t="n">
        <v>2.7</v>
      </c>
      <c r="C244" t="n">
        <v>50.118723</v>
      </c>
      <c r="D244" t="inlineStr">
        <is>
          <t>Crustacea</t>
        </is>
      </c>
      <c r="H244" t="n">
        <v>24.212502</v>
      </c>
      <c r="I244" t="n">
        <v>19.703615</v>
      </c>
      <c r="J244" t="n">
        <v>19.736166</v>
      </c>
      <c r="K244" t="n">
        <v>15.986295</v>
      </c>
      <c r="L244" t="n">
        <v>47.671907</v>
      </c>
      <c r="M244" t="n">
        <v>28.050267</v>
      </c>
      <c r="N244" t="n">
        <v>28.050267</v>
      </c>
      <c r="O244" t="n">
        <v>17.385749</v>
      </c>
      <c r="P244" t="n">
        <v>8.183744000000001</v>
      </c>
      <c r="Q244" t="n">
        <v>28.050267</v>
      </c>
      <c r="R244" t="n">
        <v>28.050267</v>
      </c>
      <c r="S244" t="n">
        <v>17.385749</v>
      </c>
      <c r="T244" t="n">
        <v>17.385749</v>
      </c>
      <c r="U244" t="n">
        <v>8.183744000000001</v>
      </c>
      <c r="V244" t="n">
        <v>8.183744000000001</v>
      </c>
      <c r="W244" t="n">
        <v>17.597621</v>
      </c>
      <c r="X244" t="n">
        <v>27.987895</v>
      </c>
    </row>
    <row r="245">
      <c r="A245" t="inlineStr">
        <is>
          <t>Symphodus melops</t>
        </is>
      </c>
      <c r="B245" t="n">
        <v>3.38</v>
      </c>
      <c r="C245" t="n">
        <v>239.883292</v>
      </c>
      <c r="D245" t="inlineStr">
        <is>
          <t>Large Dem. fish</t>
        </is>
      </c>
      <c r="H245" t="n">
        <v>257.213239</v>
      </c>
      <c r="I245" t="n">
        <v>242.020787</v>
      </c>
      <c r="J245" t="n">
        <v>251.673548</v>
      </c>
      <c r="K245" t="n">
        <v>236.573135</v>
      </c>
      <c r="L245" t="n">
        <v>461.958282</v>
      </c>
      <c r="M245" t="n">
        <v>374.891707</v>
      </c>
      <c r="N245" t="n">
        <v>374.891707</v>
      </c>
      <c r="O245" t="n">
        <v>228.730494</v>
      </c>
      <c r="P245" t="n">
        <v>73.767325</v>
      </c>
      <c r="Q245" t="n">
        <v>374.891707</v>
      </c>
      <c r="R245" t="n">
        <v>374.891707</v>
      </c>
      <c r="S245" t="n">
        <v>228.730494</v>
      </c>
      <c r="T245" t="n">
        <v>228.730494</v>
      </c>
      <c r="U245" t="n">
        <v>73.767325</v>
      </c>
      <c r="V245" t="n">
        <v>73.767325</v>
      </c>
      <c r="W245" t="n">
        <v>231.104367</v>
      </c>
      <c r="X245" t="n">
        <v>381.526081</v>
      </c>
    </row>
    <row r="246">
      <c r="A246" t="inlineStr">
        <is>
          <t>Solea</t>
        </is>
      </c>
      <c r="B246" t="n">
        <v>3.13</v>
      </c>
      <c r="C246" t="n">
        <v>134.896288</v>
      </c>
      <c r="D246" t="inlineStr">
        <is>
          <t>Flatfishes</t>
        </is>
      </c>
      <c r="H246" t="n">
        <v>72.35890999999999</v>
      </c>
      <c r="I246" t="n">
        <v>55.101076</v>
      </c>
      <c r="J246" t="n">
        <v>56.599968</v>
      </c>
      <c r="K246" t="n">
        <v>51.50597</v>
      </c>
      <c r="L246" t="n">
        <v>114.167454</v>
      </c>
      <c r="M246" t="n">
        <v>73.440046</v>
      </c>
      <c r="N246" t="n">
        <v>73.440046</v>
      </c>
      <c r="O246" t="n">
        <v>45.479187</v>
      </c>
      <c r="P246" t="n">
        <v>17.967245</v>
      </c>
      <c r="Q246" t="n">
        <v>73.440046</v>
      </c>
      <c r="R246" t="n">
        <v>73.440046</v>
      </c>
      <c r="S246" t="n">
        <v>45.479187</v>
      </c>
      <c r="T246" t="n">
        <v>45.479187</v>
      </c>
      <c r="U246" t="n">
        <v>17.967245</v>
      </c>
      <c r="V246" t="n">
        <v>17.967245</v>
      </c>
      <c r="W246" t="n">
        <v>45.729526</v>
      </c>
      <c r="X246" t="n">
        <v>73.316087</v>
      </c>
    </row>
    <row r="247">
      <c r="A247" t="inlineStr">
        <is>
          <t>Mustelus asterias</t>
        </is>
      </c>
      <c r="B247" t="n">
        <v>3.62</v>
      </c>
      <c r="C247" t="n">
        <v>416.869383</v>
      </c>
      <c r="D247" t="inlineStr">
        <is>
          <t>Sharks &amp; rays</t>
        </is>
      </c>
      <c r="H247" t="n">
        <v>233.624758</v>
      </c>
      <c r="I247" t="n">
        <v>492.26657</v>
      </c>
      <c r="J247" t="n">
        <v>510.78557</v>
      </c>
      <c r="K247" t="n">
        <v>219.637795</v>
      </c>
      <c r="L247" t="n">
        <v>1275.246638</v>
      </c>
      <c r="M247" t="n">
        <v>948.706608</v>
      </c>
      <c r="N247" t="n">
        <v>948.706608</v>
      </c>
      <c r="O247" t="n">
        <v>213.713009</v>
      </c>
      <c r="P247" t="n">
        <v>67.906436</v>
      </c>
      <c r="Q247" t="n">
        <v>948.706608</v>
      </c>
      <c r="R247" t="n">
        <v>948.706608</v>
      </c>
      <c r="S247" t="n">
        <v>213.713009</v>
      </c>
      <c r="T247" t="n">
        <v>213.713009</v>
      </c>
      <c r="U247" t="n">
        <v>67.906436</v>
      </c>
      <c r="V247" t="n">
        <v>67.906436</v>
      </c>
      <c r="W247" t="n">
        <v>220.688261</v>
      </c>
      <c r="X247" t="n">
        <v>981.457341</v>
      </c>
    </row>
    <row r="248">
      <c r="A248" t="inlineStr">
        <is>
          <t>Acipenseridae</t>
        </is>
      </c>
      <c r="D248" t="inlineStr">
        <is>
          <t>Unresolved</t>
        </is>
      </c>
    </row>
    <row r="249">
      <c r="A249" t="inlineStr">
        <is>
          <t>Alosa fallax</t>
        </is>
      </c>
      <c r="B249" t="n">
        <v>4.03</v>
      </c>
      <c r="C249" t="n">
        <v>1071.519305</v>
      </c>
      <c r="D249" t="inlineStr">
        <is>
          <t>Large Pelagics</t>
        </is>
      </c>
      <c r="H249" t="n">
        <v>139.957891</v>
      </c>
      <c r="I249" t="n">
        <v>118.942542</v>
      </c>
      <c r="J249" t="n">
        <v>128.033231</v>
      </c>
      <c r="K249" t="n">
        <v>115.229908</v>
      </c>
      <c r="L249" t="n">
        <v>208.675232</v>
      </c>
      <c r="M249" t="n">
        <v>172.524137</v>
      </c>
      <c r="N249" t="n">
        <v>172.524137</v>
      </c>
      <c r="O249" t="n">
        <v>107.933606</v>
      </c>
      <c r="P249" t="n">
        <v>40.156364</v>
      </c>
      <c r="Q249" t="n">
        <v>172.524137</v>
      </c>
      <c r="R249" t="n">
        <v>172.524137</v>
      </c>
      <c r="S249" t="n">
        <v>107.933606</v>
      </c>
      <c r="T249" t="n">
        <v>107.933606</v>
      </c>
      <c r="U249" t="n">
        <v>40.156364</v>
      </c>
      <c r="V249" t="n">
        <v>40.156364</v>
      </c>
      <c r="W249" t="n">
        <v>107.778581</v>
      </c>
      <c r="X249" t="n">
        <v>174.242777</v>
      </c>
    </row>
    <row r="250">
      <c r="A250" t="inlineStr">
        <is>
          <t>Ciliata mustela</t>
        </is>
      </c>
      <c r="D250" t="inlineStr">
        <is>
          <t>Large Dem. fish</t>
        </is>
      </c>
      <c r="H250" t="n">
        <v>257.213239</v>
      </c>
      <c r="I250" t="n">
        <v>242.020787</v>
      </c>
      <c r="J250" t="n">
        <v>251.673548</v>
      </c>
      <c r="K250" t="n">
        <v>236.573135</v>
      </c>
      <c r="L250" t="n">
        <v>461.958282</v>
      </c>
      <c r="M250" t="n">
        <v>374.891707</v>
      </c>
      <c r="N250" t="n">
        <v>374.891707</v>
      </c>
      <c r="O250" t="n">
        <v>228.730494</v>
      </c>
      <c r="P250" t="n">
        <v>73.767325</v>
      </c>
      <c r="Q250" t="n">
        <v>374.891707</v>
      </c>
      <c r="R250" t="n">
        <v>374.891707</v>
      </c>
      <c r="S250" t="n">
        <v>228.730494</v>
      </c>
      <c r="T250" t="n">
        <v>228.730494</v>
      </c>
      <c r="U250" t="n">
        <v>73.767325</v>
      </c>
      <c r="V250" t="n">
        <v>73.767325</v>
      </c>
      <c r="W250" t="n">
        <v>231.104367</v>
      </c>
      <c r="X250" t="n">
        <v>381.526081</v>
      </c>
    </row>
    <row r="251">
      <c r="A251" t="inlineStr">
        <is>
          <t>Gadiculus thori</t>
        </is>
      </c>
      <c r="B251" t="n">
        <v>3.51</v>
      </c>
      <c r="C251" t="n">
        <v>323.593657</v>
      </c>
      <c r="D251" t="inlineStr">
        <is>
          <t>Small pelagics</t>
        </is>
      </c>
      <c r="H251" t="n">
        <v>47.986658</v>
      </c>
      <c r="I251" t="n">
        <v>23.215644</v>
      </c>
      <c r="J251" t="n">
        <v>23.303441</v>
      </c>
      <c r="K251" t="n">
        <v>20.507028</v>
      </c>
      <c r="L251" t="n">
        <v>37.444032</v>
      </c>
      <c r="M251" t="n">
        <v>31.413829</v>
      </c>
      <c r="N251" t="n">
        <v>31.413829</v>
      </c>
      <c r="O251" t="n">
        <v>21.233792</v>
      </c>
      <c r="P251" t="n">
        <v>9.36406</v>
      </c>
      <c r="Q251" t="n">
        <v>31.413829</v>
      </c>
      <c r="R251" t="n">
        <v>31.413829</v>
      </c>
      <c r="S251" t="n">
        <v>21.233792</v>
      </c>
      <c r="T251" t="n">
        <v>21.233792</v>
      </c>
      <c r="U251" t="n">
        <v>9.36406</v>
      </c>
      <c r="V251" t="n">
        <v>9.36406</v>
      </c>
      <c r="W251" t="n">
        <v>21.105884</v>
      </c>
      <c r="X251" t="n">
        <v>33.32407</v>
      </c>
    </row>
    <row r="252">
      <c r="A252" t="inlineStr">
        <is>
          <t>Octopus vulgaris</t>
        </is>
      </c>
      <c r="B252" t="n">
        <v>3.6</v>
      </c>
      <c r="C252" t="n">
        <v>398.107171</v>
      </c>
      <c r="D252" t="inlineStr">
        <is>
          <t>Squid &amp; Octopus</t>
        </is>
      </c>
      <c r="H252" t="n">
        <v>62.376626</v>
      </c>
      <c r="I252" t="n">
        <v>51.428785</v>
      </c>
      <c r="J252" t="n">
        <v>51.639947</v>
      </c>
      <c r="K252" t="n">
        <v>49.05795</v>
      </c>
      <c r="L252" t="n">
        <v>94.097724</v>
      </c>
      <c r="M252" t="n">
        <v>69.667844</v>
      </c>
      <c r="N252" t="n">
        <v>69.667844</v>
      </c>
      <c r="O252" t="n">
        <v>47.704772</v>
      </c>
      <c r="P252" t="n">
        <v>19.528933</v>
      </c>
      <c r="Q252" t="n">
        <v>69.667844</v>
      </c>
      <c r="R252" t="n">
        <v>69.667844</v>
      </c>
      <c r="S252" t="n">
        <v>47.704772</v>
      </c>
      <c r="T252" t="n">
        <v>47.704772</v>
      </c>
      <c r="U252" t="n">
        <v>19.528933</v>
      </c>
      <c r="V252" t="n">
        <v>19.528933</v>
      </c>
      <c r="W252" t="n">
        <v>48.333282</v>
      </c>
      <c r="X252" t="n">
        <v>72.484779</v>
      </c>
    </row>
    <row r="253">
      <c r="A253" t="inlineStr">
        <is>
          <t>Isurus oxyrinchus</t>
        </is>
      </c>
      <c r="B253" t="n">
        <v>4.5</v>
      </c>
      <c r="C253" t="n">
        <v>3162.27766</v>
      </c>
      <c r="D253" t="inlineStr">
        <is>
          <t>Sharks &amp; rays</t>
        </is>
      </c>
      <c r="H253" t="n">
        <v>233.624758</v>
      </c>
      <c r="I253" t="n">
        <v>492.26657</v>
      </c>
      <c r="J253" t="n">
        <v>510.78557</v>
      </c>
      <c r="K253" t="n">
        <v>219.637795</v>
      </c>
      <c r="L253" t="n">
        <v>1275.246638</v>
      </c>
      <c r="M253" t="n">
        <v>948.706608</v>
      </c>
      <c r="N253" t="n">
        <v>948.706608</v>
      </c>
      <c r="O253" t="n">
        <v>213.713009</v>
      </c>
      <c r="P253" t="n">
        <v>67.906436</v>
      </c>
      <c r="Q253" t="n">
        <v>948.706608</v>
      </c>
      <c r="R253" t="n">
        <v>948.706608</v>
      </c>
      <c r="S253" t="n">
        <v>213.713009</v>
      </c>
      <c r="T253" t="n">
        <v>213.713009</v>
      </c>
      <c r="U253" t="n">
        <v>67.906436</v>
      </c>
      <c r="V253" t="n">
        <v>67.906436</v>
      </c>
      <c r="W253" t="n">
        <v>220.688261</v>
      </c>
      <c r="X253" t="n">
        <v>981.457341</v>
      </c>
    </row>
    <row r="254">
      <c r="A254" t="inlineStr">
        <is>
          <t>Ctenolabrus rupestris</t>
        </is>
      </c>
      <c r="B254" t="n">
        <v>3.58</v>
      </c>
      <c r="C254" t="n">
        <v>380.189396</v>
      </c>
      <c r="D254" t="inlineStr">
        <is>
          <t>Large Dem. fish</t>
        </is>
      </c>
      <c r="H254" t="n">
        <v>257.213239</v>
      </c>
      <c r="I254" t="n">
        <v>242.020787</v>
      </c>
      <c r="J254" t="n">
        <v>251.673548</v>
      </c>
      <c r="K254" t="n">
        <v>236.573135</v>
      </c>
      <c r="L254" t="n">
        <v>461.958282</v>
      </c>
      <c r="M254" t="n">
        <v>374.891707</v>
      </c>
      <c r="N254" t="n">
        <v>374.891707</v>
      </c>
      <c r="O254" t="n">
        <v>228.730494</v>
      </c>
      <c r="P254" t="n">
        <v>73.767325</v>
      </c>
      <c r="Q254" t="n">
        <v>374.891707</v>
      </c>
      <c r="R254" t="n">
        <v>374.891707</v>
      </c>
      <c r="S254" t="n">
        <v>228.730494</v>
      </c>
      <c r="T254" t="n">
        <v>228.730494</v>
      </c>
      <c r="U254" t="n">
        <v>73.767325</v>
      </c>
      <c r="V254" t="n">
        <v>73.767325</v>
      </c>
      <c r="W254" t="n">
        <v>231.104367</v>
      </c>
      <c r="X254" t="n">
        <v>381.526081</v>
      </c>
    </row>
    <row r="255">
      <c r="A255" t="inlineStr">
        <is>
          <t>Atherinidae</t>
        </is>
      </c>
      <c r="B255" t="n">
        <v>3.2</v>
      </c>
      <c r="C255" t="n">
        <v>158.489319</v>
      </c>
      <c r="D255" t="inlineStr">
        <is>
          <t>Small pelagics</t>
        </is>
      </c>
      <c r="H255" t="n">
        <v>47.986658</v>
      </c>
      <c r="I255" t="n">
        <v>23.215644</v>
      </c>
      <c r="J255" t="n">
        <v>23.303441</v>
      </c>
      <c r="K255" t="n">
        <v>20.507028</v>
      </c>
      <c r="L255" t="n">
        <v>37.444032</v>
      </c>
      <c r="M255" t="n">
        <v>31.413829</v>
      </c>
      <c r="N255" t="n">
        <v>31.413829</v>
      </c>
      <c r="O255" t="n">
        <v>21.233792</v>
      </c>
      <c r="P255" t="n">
        <v>9.36406</v>
      </c>
      <c r="Q255" t="n">
        <v>31.413829</v>
      </c>
      <c r="R255" t="n">
        <v>31.413829</v>
      </c>
      <c r="S255" t="n">
        <v>21.233792</v>
      </c>
      <c r="T255" t="n">
        <v>21.233792</v>
      </c>
      <c r="U255" t="n">
        <v>9.36406</v>
      </c>
      <c r="V255" t="n">
        <v>9.36406</v>
      </c>
      <c r="W255" t="n">
        <v>21.105884</v>
      </c>
      <c r="X255" t="n">
        <v>33.32407</v>
      </c>
    </row>
    <row r="256">
      <c r="A256" t="inlineStr">
        <is>
          <t>Microchirus</t>
        </is>
      </c>
      <c r="D256" t="inlineStr">
        <is>
          <t>Flatfishes</t>
        </is>
      </c>
      <c r="H256" t="n">
        <v>72.35890999999999</v>
      </c>
      <c r="I256" t="n">
        <v>55.101076</v>
      </c>
      <c r="J256" t="n">
        <v>56.599968</v>
      </c>
      <c r="K256" t="n">
        <v>51.50597</v>
      </c>
      <c r="L256" t="n">
        <v>114.167454</v>
      </c>
      <c r="M256" t="n">
        <v>73.440046</v>
      </c>
      <c r="N256" t="n">
        <v>73.440046</v>
      </c>
      <c r="O256" t="n">
        <v>45.479187</v>
      </c>
      <c r="P256" t="n">
        <v>17.967245</v>
      </c>
      <c r="Q256" t="n">
        <v>73.440046</v>
      </c>
      <c r="R256" t="n">
        <v>73.440046</v>
      </c>
      <c r="S256" t="n">
        <v>45.479187</v>
      </c>
      <c r="T256" t="n">
        <v>45.479187</v>
      </c>
      <c r="U256" t="n">
        <v>17.967245</v>
      </c>
      <c r="V256" t="n">
        <v>17.967245</v>
      </c>
      <c r="W256" t="n">
        <v>45.729526</v>
      </c>
      <c r="X256" t="n">
        <v>73.316087</v>
      </c>
    </row>
    <row r="257">
      <c r="A257" t="inlineStr">
        <is>
          <t>Trachipterus</t>
        </is>
      </c>
      <c r="B257" t="n">
        <v>4.5</v>
      </c>
      <c r="C257" t="n">
        <v>3162.27766</v>
      </c>
      <c r="D257" t="inlineStr">
        <is>
          <t>Unresolved</t>
        </is>
      </c>
    </row>
    <row r="258">
      <c r="A258" t="inlineStr">
        <is>
          <t>Todarodes sagittatus</t>
        </is>
      </c>
      <c r="B258" t="n">
        <v>4.01</v>
      </c>
      <c r="C258" t="n">
        <v>1023.292992</v>
      </c>
      <c r="D258" t="inlineStr">
        <is>
          <t>Squid &amp; Octopus</t>
        </is>
      </c>
      <c r="H258" t="n">
        <v>62.376626</v>
      </c>
      <c r="I258" t="n">
        <v>51.428785</v>
      </c>
      <c r="J258" t="n">
        <v>51.639947</v>
      </c>
      <c r="K258" t="n">
        <v>49.05795</v>
      </c>
      <c r="L258" t="n">
        <v>94.097724</v>
      </c>
      <c r="M258" t="n">
        <v>69.667844</v>
      </c>
      <c r="N258" t="n">
        <v>69.667844</v>
      </c>
      <c r="O258" t="n">
        <v>47.704772</v>
      </c>
      <c r="P258" t="n">
        <v>19.528933</v>
      </c>
      <c r="Q258" t="n">
        <v>69.667844</v>
      </c>
      <c r="R258" t="n">
        <v>69.667844</v>
      </c>
      <c r="S258" t="n">
        <v>47.704772</v>
      </c>
      <c r="T258" t="n">
        <v>47.704772</v>
      </c>
      <c r="U258" t="n">
        <v>19.528933</v>
      </c>
      <c r="V258" t="n">
        <v>19.528933</v>
      </c>
      <c r="W258" t="n">
        <v>48.333282</v>
      </c>
      <c r="X258" t="n">
        <v>72.484779</v>
      </c>
    </row>
    <row r="259">
      <c r="A259" t="inlineStr">
        <is>
          <t>Hydrolagus</t>
        </is>
      </c>
      <c r="B259" t="n">
        <v>3.51</v>
      </c>
      <c r="C259" t="n">
        <v>323.593657</v>
      </c>
      <c r="D259" t="inlineStr">
        <is>
          <t>Unresolved</t>
        </is>
      </c>
    </row>
    <row r="260">
      <c r="A260" t="inlineStr">
        <is>
          <t>Glycymeris glycymeris</t>
        </is>
      </c>
      <c r="B260" t="n">
        <v>2</v>
      </c>
      <c r="C260" t="n">
        <v>10</v>
      </c>
      <c r="D260" t="inlineStr">
        <is>
          <t>Infauna</t>
        </is>
      </c>
      <c r="H260" t="n">
        <v>1.695379</v>
      </c>
      <c r="I260" t="n">
        <v>1.315556</v>
      </c>
      <c r="J260" t="n">
        <v>1.315556</v>
      </c>
      <c r="K260" t="n">
        <v>1.184</v>
      </c>
      <c r="L260" t="n">
        <v>3.864936</v>
      </c>
      <c r="M260" t="n">
        <v>1.321429</v>
      </c>
      <c r="N260" t="n">
        <v>1.321429</v>
      </c>
      <c r="O260" t="n">
        <v>1.188755</v>
      </c>
      <c r="P260" t="n">
        <v>0.950241</v>
      </c>
      <c r="Q260" t="n">
        <v>1.321429</v>
      </c>
      <c r="R260" t="n">
        <v>1.321429</v>
      </c>
      <c r="S260" t="n">
        <v>1.188755</v>
      </c>
      <c r="T260" t="n">
        <v>1.188755</v>
      </c>
      <c r="U260" t="n">
        <v>0.950241</v>
      </c>
      <c r="V260" t="n">
        <v>0.950241</v>
      </c>
      <c r="W260" t="n">
        <v>1.170683</v>
      </c>
      <c r="X260" t="n">
        <v>1.343305</v>
      </c>
    </row>
    <row r="261">
      <c r="A261" t="inlineStr">
        <is>
          <t>Thunnus albacares</t>
        </is>
      </c>
      <c r="D261" t="inlineStr">
        <is>
          <t>Unresolved</t>
        </is>
      </c>
    </row>
    <row r="262">
      <c r="A262" t="inlineStr">
        <is>
          <t>Cyprinus carpio</t>
        </is>
      </c>
      <c r="D262" t="inlineStr">
        <is>
          <t>Unresolved</t>
        </is>
      </c>
    </row>
    <row r="263">
      <c r="A263" t="inlineStr">
        <is>
          <t>Peristediidae</t>
        </is>
      </c>
      <c r="D263" t="inlineStr">
        <is>
          <t>Large Dem. fish</t>
        </is>
      </c>
      <c r="H263" t="n">
        <v>257.213239</v>
      </c>
      <c r="I263" t="n">
        <v>242.020787</v>
      </c>
      <c r="J263" t="n">
        <v>251.673548</v>
      </c>
      <c r="K263" t="n">
        <v>236.573135</v>
      </c>
      <c r="L263" t="n">
        <v>461.958282</v>
      </c>
      <c r="M263" t="n">
        <v>374.891707</v>
      </c>
      <c r="N263" t="n">
        <v>374.891707</v>
      </c>
      <c r="O263" t="n">
        <v>228.730494</v>
      </c>
      <c r="P263" t="n">
        <v>73.767325</v>
      </c>
      <c r="Q263" t="n">
        <v>374.891707</v>
      </c>
      <c r="R263" t="n">
        <v>374.891707</v>
      </c>
      <c r="S263" t="n">
        <v>228.730494</v>
      </c>
      <c r="T263" t="n">
        <v>228.730494</v>
      </c>
      <c r="U263" t="n">
        <v>73.767325</v>
      </c>
      <c r="V263" t="n">
        <v>73.767325</v>
      </c>
      <c r="W263" t="n">
        <v>231.104367</v>
      </c>
      <c r="X263" t="n">
        <v>381.526081</v>
      </c>
    </row>
    <row r="264">
      <c r="A264" t="inlineStr">
        <is>
          <t>Mercenaria mercenaria</t>
        </is>
      </c>
      <c r="B264" t="n">
        <v>2</v>
      </c>
      <c r="C264" t="n">
        <v>10</v>
      </c>
      <c r="D264" t="inlineStr">
        <is>
          <t>Infauna</t>
        </is>
      </c>
      <c r="H264" t="n">
        <v>1.695379</v>
      </c>
      <c r="I264" t="n">
        <v>1.315556</v>
      </c>
      <c r="J264" t="n">
        <v>1.315556</v>
      </c>
      <c r="K264" t="n">
        <v>1.184</v>
      </c>
      <c r="L264" t="n">
        <v>3.864936</v>
      </c>
      <c r="M264" t="n">
        <v>1.321429</v>
      </c>
      <c r="N264" t="n">
        <v>1.321429</v>
      </c>
      <c r="O264" t="n">
        <v>1.188755</v>
      </c>
      <c r="P264" t="n">
        <v>0.950241</v>
      </c>
      <c r="Q264" t="n">
        <v>1.321429</v>
      </c>
      <c r="R264" t="n">
        <v>1.321429</v>
      </c>
      <c r="S264" t="n">
        <v>1.188755</v>
      </c>
      <c r="T264" t="n">
        <v>1.188755</v>
      </c>
      <c r="U264" t="n">
        <v>0.950241</v>
      </c>
      <c r="V264" t="n">
        <v>0.950241</v>
      </c>
      <c r="W264" t="n">
        <v>1.170683</v>
      </c>
      <c r="X264" t="n">
        <v>1.343305</v>
      </c>
    </row>
    <row r="265">
      <c r="A265" t="inlineStr">
        <is>
          <t>Scorpaena</t>
        </is>
      </c>
      <c r="B265" t="n">
        <v>3.87</v>
      </c>
      <c r="C265" t="n">
        <v>741.310241</v>
      </c>
      <c r="D265" t="inlineStr">
        <is>
          <t>Large Dem. fish</t>
        </is>
      </c>
      <c r="H265" t="n">
        <v>257.213239</v>
      </c>
      <c r="I265" t="n">
        <v>242.020787</v>
      </c>
      <c r="J265" t="n">
        <v>251.673548</v>
      </c>
      <c r="K265" t="n">
        <v>236.573135</v>
      </c>
      <c r="L265" t="n">
        <v>461.958282</v>
      </c>
      <c r="M265" t="n">
        <v>374.891707</v>
      </c>
      <c r="N265" t="n">
        <v>374.891707</v>
      </c>
      <c r="O265" t="n">
        <v>228.730494</v>
      </c>
      <c r="P265" t="n">
        <v>73.767325</v>
      </c>
      <c r="Q265" t="n">
        <v>374.891707</v>
      </c>
      <c r="R265" t="n">
        <v>374.891707</v>
      </c>
      <c r="S265" t="n">
        <v>228.730494</v>
      </c>
      <c r="T265" t="n">
        <v>228.730494</v>
      </c>
      <c r="U265" t="n">
        <v>73.767325</v>
      </c>
      <c r="V265" t="n">
        <v>73.767325</v>
      </c>
      <c r="W265" t="n">
        <v>231.104367</v>
      </c>
      <c r="X265" t="n">
        <v>381.526081</v>
      </c>
    </row>
    <row r="266">
      <c r="A266" t="inlineStr">
        <is>
          <t>Anomura</t>
        </is>
      </c>
      <c r="B266" t="n">
        <v>3.1</v>
      </c>
      <c r="C266" t="n">
        <v>125.892541</v>
      </c>
      <c r="D266" t="inlineStr">
        <is>
          <t>Crustacea</t>
        </is>
      </c>
      <c r="H266" t="n">
        <v>24.212502</v>
      </c>
      <c r="I266" t="n">
        <v>19.703615</v>
      </c>
      <c r="J266" t="n">
        <v>19.736166</v>
      </c>
      <c r="K266" t="n">
        <v>15.986295</v>
      </c>
      <c r="L266" t="n">
        <v>47.671907</v>
      </c>
      <c r="M266" t="n">
        <v>28.050267</v>
      </c>
      <c r="N266" t="n">
        <v>28.050267</v>
      </c>
      <c r="O266" t="n">
        <v>17.385749</v>
      </c>
      <c r="P266" t="n">
        <v>8.183744000000001</v>
      </c>
      <c r="Q266" t="n">
        <v>28.050267</v>
      </c>
      <c r="R266" t="n">
        <v>28.050267</v>
      </c>
      <c r="S266" t="n">
        <v>17.385749</v>
      </c>
      <c r="T266" t="n">
        <v>17.385749</v>
      </c>
      <c r="U266" t="n">
        <v>8.183744000000001</v>
      </c>
      <c r="V266" t="n">
        <v>8.183744000000001</v>
      </c>
      <c r="W266" t="n">
        <v>17.597621</v>
      </c>
      <c r="X266" t="n">
        <v>27.987895</v>
      </c>
    </row>
    <row r="267">
      <c r="A267" t="inlineStr">
        <is>
          <t>Lithodidae</t>
        </is>
      </c>
      <c r="D267" t="inlineStr">
        <is>
          <t>Crustacea</t>
        </is>
      </c>
      <c r="H267" t="n">
        <v>24.212502</v>
      </c>
      <c r="I267" t="n">
        <v>19.703615</v>
      </c>
      <c r="J267" t="n">
        <v>19.736166</v>
      </c>
      <c r="K267" t="n">
        <v>15.986295</v>
      </c>
      <c r="L267" t="n">
        <v>47.671907</v>
      </c>
      <c r="M267" t="n">
        <v>28.050267</v>
      </c>
      <c r="N267" t="n">
        <v>28.050267</v>
      </c>
      <c r="O267" t="n">
        <v>17.385749</v>
      </c>
      <c r="P267" t="n">
        <v>8.183744000000001</v>
      </c>
      <c r="Q267" t="n">
        <v>28.050267</v>
      </c>
      <c r="R267" t="n">
        <v>28.050267</v>
      </c>
      <c r="S267" t="n">
        <v>17.385749</v>
      </c>
      <c r="T267" t="n">
        <v>17.385749</v>
      </c>
      <c r="U267" t="n">
        <v>8.183744000000001</v>
      </c>
      <c r="V267" t="n">
        <v>8.183744000000001</v>
      </c>
      <c r="W267" t="n">
        <v>17.597621</v>
      </c>
      <c r="X267" t="n">
        <v>27.987895</v>
      </c>
    </row>
    <row r="268">
      <c r="A268" t="inlineStr">
        <is>
          <t>Dalatias licha</t>
        </is>
      </c>
      <c r="D268" t="inlineStr">
        <is>
          <t>Sharks &amp; rays</t>
        </is>
      </c>
      <c r="H268" t="n">
        <v>233.624758</v>
      </c>
      <c r="I268" t="n">
        <v>492.26657</v>
      </c>
      <c r="J268" t="n">
        <v>510.78557</v>
      </c>
      <c r="K268" t="n">
        <v>219.637795</v>
      </c>
      <c r="L268" t="n">
        <v>1275.246638</v>
      </c>
      <c r="M268" t="n">
        <v>948.706608</v>
      </c>
      <c r="N268" t="n">
        <v>948.706608</v>
      </c>
      <c r="O268" t="n">
        <v>213.713009</v>
      </c>
      <c r="P268" t="n">
        <v>67.906436</v>
      </c>
      <c r="Q268" t="n">
        <v>948.706608</v>
      </c>
      <c r="R268" t="n">
        <v>948.706608</v>
      </c>
      <c r="S268" t="n">
        <v>213.713009</v>
      </c>
      <c r="T268" t="n">
        <v>213.713009</v>
      </c>
      <c r="U268" t="n">
        <v>67.906436</v>
      </c>
      <c r="V268" t="n">
        <v>67.906436</v>
      </c>
      <c r="W268" t="n">
        <v>220.688261</v>
      </c>
      <c r="X268" t="n">
        <v>981.457341</v>
      </c>
    </row>
    <row r="269">
      <c r="A269" t="inlineStr">
        <is>
          <t>Microchirus variegatus</t>
        </is>
      </c>
      <c r="B269" t="n">
        <v>3.28</v>
      </c>
      <c r="C269" t="n">
        <v>190.546072</v>
      </c>
      <c r="D269" t="inlineStr">
        <is>
          <t>Flatfishes</t>
        </is>
      </c>
      <c r="H269" t="n">
        <v>72.35890999999999</v>
      </c>
      <c r="I269" t="n">
        <v>55.101076</v>
      </c>
      <c r="J269" t="n">
        <v>56.599968</v>
      </c>
      <c r="K269" t="n">
        <v>51.50597</v>
      </c>
      <c r="L269" t="n">
        <v>114.167454</v>
      </c>
      <c r="M269" t="n">
        <v>73.440046</v>
      </c>
      <c r="N269" t="n">
        <v>73.440046</v>
      </c>
      <c r="O269" t="n">
        <v>45.479187</v>
      </c>
      <c r="P269" t="n">
        <v>17.967245</v>
      </c>
      <c r="Q269" t="n">
        <v>73.440046</v>
      </c>
      <c r="R269" t="n">
        <v>73.440046</v>
      </c>
      <c r="S269" t="n">
        <v>45.479187</v>
      </c>
      <c r="T269" t="n">
        <v>45.479187</v>
      </c>
      <c r="U269" t="n">
        <v>17.967245</v>
      </c>
      <c r="V269" t="n">
        <v>17.967245</v>
      </c>
      <c r="W269" t="n">
        <v>45.729526</v>
      </c>
      <c r="X269" t="n">
        <v>73.316087</v>
      </c>
    </row>
    <row r="270">
      <c r="A270" t="inlineStr">
        <is>
          <t>Amblyraja hyperborea</t>
        </is>
      </c>
      <c r="B270" t="n">
        <v>4.31</v>
      </c>
      <c r="C270" t="n">
        <v>2041.737945</v>
      </c>
      <c r="D270" t="inlineStr">
        <is>
          <t>Sharks &amp; rays</t>
        </is>
      </c>
      <c r="H270" t="n">
        <v>233.624758</v>
      </c>
      <c r="I270" t="n">
        <v>492.26657</v>
      </c>
      <c r="J270" t="n">
        <v>510.78557</v>
      </c>
      <c r="K270" t="n">
        <v>219.637795</v>
      </c>
      <c r="L270" t="n">
        <v>1275.246638</v>
      </c>
      <c r="M270" t="n">
        <v>948.706608</v>
      </c>
      <c r="N270" t="n">
        <v>948.706608</v>
      </c>
      <c r="O270" t="n">
        <v>213.713009</v>
      </c>
      <c r="P270" t="n">
        <v>67.906436</v>
      </c>
      <c r="Q270" t="n">
        <v>948.706608</v>
      </c>
      <c r="R270" t="n">
        <v>948.706608</v>
      </c>
      <c r="S270" t="n">
        <v>213.713009</v>
      </c>
      <c r="T270" t="n">
        <v>213.713009</v>
      </c>
      <c r="U270" t="n">
        <v>67.906436</v>
      </c>
      <c r="V270" t="n">
        <v>67.906436</v>
      </c>
      <c r="W270" t="n">
        <v>220.688261</v>
      </c>
      <c r="X270" t="n">
        <v>981.457341</v>
      </c>
    </row>
    <row r="271">
      <c r="A271" t="inlineStr">
        <is>
          <t>Centrophorus squamosus</t>
        </is>
      </c>
      <c r="D271" t="inlineStr">
        <is>
          <t>Sharks &amp; rays</t>
        </is>
      </c>
      <c r="H271" t="n">
        <v>233.624758</v>
      </c>
      <c r="I271" t="n">
        <v>492.26657</v>
      </c>
      <c r="J271" t="n">
        <v>510.78557</v>
      </c>
      <c r="K271" t="n">
        <v>219.637795</v>
      </c>
      <c r="L271" t="n">
        <v>1275.246638</v>
      </c>
      <c r="M271" t="n">
        <v>948.706608</v>
      </c>
      <c r="N271" t="n">
        <v>948.706608</v>
      </c>
      <c r="O271" t="n">
        <v>213.713009</v>
      </c>
      <c r="P271" t="n">
        <v>67.906436</v>
      </c>
      <c r="Q271" t="n">
        <v>948.706608</v>
      </c>
      <c r="R271" t="n">
        <v>948.706608</v>
      </c>
      <c r="S271" t="n">
        <v>213.713009</v>
      </c>
      <c r="T271" t="n">
        <v>213.713009</v>
      </c>
      <c r="U271" t="n">
        <v>67.906436</v>
      </c>
      <c r="V271" t="n">
        <v>67.906436</v>
      </c>
      <c r="W271" t="n">
        <v>220.688261</v>
      </c>
      <c r="X271" t="n">
        <v>981.457341</v>
      </c>
    </row>
    <row r="272">
      <c r="A272" t="inlineStr">
        <is>
          <t>Etmopterus spinax</t>
        </is>
      </c>
      <c r="B272" t="n">
        <v>4.14</v>
      </c>
      <c r="C272" t="n">
        <v>1380.384265</v>
      </c>
      <c r="D272" t="inlineStr">
        <is>
          <t>Sharks &amp; rays</t>
        </is>
      </c>
      <c r="H272" t="n">
        <v>233.624758</v>
      </c>
      <c r="I272" t="n">
        <v>492.26657</v>
      </c>
      <c r="J272" t="n">
        <v>510.78557</v>
      </c>
      <c r="K272" t="n">
        <v>219.637795</v>
      </c>
      <c r="L272" t="n">
        <v>1275.246638</v>
      </c>
      <c r="M272" t="n">
        <v>948.706608</v>
      </c>
      <c r="N272" t="n">
        <v>948.706608</v>
      </c>
      <c r="O272" t="n">
        <v>213.713009</v>
      </c>
      <c r="P272" t="n">
        <v>67.906436</v>
      </c>
      <c r="Q272" t="n">
        <v>948.706608</v>
      </c>
      <c r="R272" t="n">
        <v>948.706608</v>
      </c>
      <c r="S272" t="n">
        <v>213.713009</v>
      </c>
      <c r="T272" t="n">
        <v>213.713009</v>
      </c>
      <c r="U272" t="n">
        <v>67.906436</v>
      </c>
      <c r="V272" t="n">
        <v>67.906436</v>
      </c>
      <c r="W272" t="n">
        <v>220.688261</v>
      </c>
      <c r="X272" t="n">
        <v>981.457341</v>
      </c>
    </row>
    <row r="273">
      <c r="A273" t="inlineStr">
        <is>
          <t>Lepidopus caudatus</t>
        </is>
      </c>
      <c r="B273" t="n">
        <v>3.82</v>
      </c>
      <c r="C273" t="n">
        <v>660.693448</v>
      </c>
      <c r="D273" t="inlineStr">
        <is>
          <t>Unresolved</t>
        </is>
      </c>
    </row>
    <row r="274">
      <c r="A274" t="inlineStr">
        <is>
          <t>Decapoda</t>
        </is>
      </c>
      <c r="B274" t="n">
        <v>3.43</v>
      </c>
      <c r="C274" t="n">
        <v>269.15348</v>
      </c>
      <c r="D274" t="inlineStr">
        <is>
          <t>Crustacea</t>
        </is>
      </c>
      <c r="H274" t="n">
        <v>24.212502</v>
      </c>
      <c r="I274" t="n">
        <v>19.703615</v>
      </c>
      <c r="J274" t="n">
        <v>19.736166</v>
      </c>
      <c r="K274" t="n">
        <v>15.986295</v>
      </c>
      <c r="L274" t="n">
        <v>47.671907</v>
      </c>
      <c r="M274" t="n">
        <v>28.050267</v>
      </c>
      <c r="N274" t="n">
        <v>28.050267</v>
      </c>
      <c r="O274" t="n">
        <v>17.385749</v>
      </c>
      <c r="P274" t="n">
        <v>8.183744000000001</v>
      </c>
      <c r="Q274" t="n">
        <v>28.050267</v>
      </c>
      <c r="R274" t="n">
        <v>28.050267</v>
      </c>
      <c r="S274" t="n">
        <v>17.385749</v>
      </c>
      <c r="T274" t="n">
        <v>17.385749</v>
      </c>
      <c r="U274" t="n">
        <v>8.183744000000001</v>
      </c>
      <c r="V274" t="n">
        <v>8.183744000000001</v>
      </c>
      <c r="W274" t="n">
        <v>17.597621</v>
      </c>
      <c r="X274" t="n">
        <v>27.987895</v>
      </c>
    </row>
    <row r="275">
      <c r="A275" t="inlineStr">
        <is>
          <t>Polyprion americanus</t>
        </is>
      </c>
      <c r="B275" t="n">
        <v>4.14</v>
      </c>
      <c r="C275" t="n">
        <v>1380.384265</v>
      </c>
      <c r="D275" t="inlineStr">
        <is>
          <t>Large Dem. fish</t>
        </is>
      </c>
      <c r="H275" t="n">
        <v>257.213239</v>
      </c>
      <c r="I275" t="n">
        <v>242.020787</v>
      </c>
      <c r="J275" t="n">
        <v>251.673548</v>
      </c>
      <c r="K275" t="n">
        <v>236.573135</v>
      </c>
      <c r="L275" t="n">
        <v>461.958282</v>
      </c>
      <c r="M275" t="n">
        <v>374.891707</v>
      </c>
      <c r="N275" t="n">
        <v>374.891707</v>
      </c>
      <c r="O275" t="n">
        <v>228.730494</v>
      </c>
      <c r="P275" t="n">
        <v>73.767325</v>
      </c>
      <c r="Q275" t="n">
        <v>374.891707</v>
      </c>
      <c r="R275" t="n">
        <v>374.891707</v>
      </c>
      <c r="S275" t="n">
        <v>228.730494</v>
      </c>
      <c r="T275" t="n">
        <v>228.730494</v>
      </c>
      <c r="U275" t="n">
        <v>73.767325</v>
      </c>
      <c r="V275" t="n">
        <v>73.767325</v>
      </c>
      <c r="W275" t="n">
        <v>231.104367</v>
      </c>
      <c r="X275" t="n">
        <v>381.526081</v>
      </c>
    </row>
    <row r="276">
      <c r="A276" t="inlineStr">
        <is>
          <t>Maurolicus muelleri</t>
        </is>
      </c>
      <c r="D276" t="inlineStr">
        <is>
          <t>Small pelagics</t>
        </is>
      </c>
      <c r="H276" t="n">
        <v>47.986658</v>
      </c>
      <c r="I276" t="n">
        <v>23.215644</v>
      </c>
      <c r="J276" t="n">
        <v>23.303441</v>
      </c>
      <c r="K276" t="n">
        <v>20.507028</v>
      </c>
      <c r="L276" t="n">
        <v>37.444032</v>
      </c>
      <c r="M276" t="n">
        <v>31.413829</v>
      </c>
      <c r="N276" t="n">
        <v>31.413829</v>
      </c>
      <c r="O276" t="n">
        <v>21.233792</v>
      </c>
      <c r="P276" t="n">
        <v>9.36406</v>
      </c>
      <c r="Q276" t="n">
        <v>31.413829</v>
      </c>
      <c r="R276" t="n">
        <v>31.413829</v>
      </c>
      <c r="S276" t="n">
        <v>21.233792</v>
      </c>
      <c r="T276" t="n">
        <v>21.233792</v>
      </c>
      <c r="U276" t="n">
        <v>9.36406</v>
      </c>
      <c r="V276" t="n">
        <v>9.36406</v>
      </c>
      <c r="W276" t="n">
        <v>21.105884</v>
      </c>
      <c r="X276" t="n">
        <v>33.32407</v>
      </c>
    </row>
    <row r="277">
      <c r="A277" t="inlineStr">
        <is>
          <t>Palinurus</t>
        </is>
      </c>
      <c r="B277" t="n">
        <v>2.7</v>
      </c>
      <c r="C277" t="n">
        <v>50.118723</v>
      </c>
      <c r="D277" t="inlineStr">
        <is>
          <t>Crustacea</t>
        </is>
      </c>
      <c r="H277" t="n">
        <v>24.212502</v>
      </c>
      <c r="I277" t="n">
        <v>19.703615</v>
      </c>
      <c r="J277" t="n">
        <v>19.736166</v>
      </c>
      <c r="K277" t="n">
        <v>15.986295</v>
      </c>
      <c r="L277" t="n">
        <v>47.671907</v>
      </c>
      <c r="M277" t="n">
        <v>28.050267</v>
      </c>
      <c r="N277" t="n">
        <v>28.050267</v>
      </c>
      <c r="O277" t="n">
        <v>17.385749</v>
      </c>
      <c r="P277" t="n">
        <v>8.183744000000001</v>
      </c>
      <c r="Q277" t="n">
        <v>28.050267</v>
      </c>
      <c r="R277" t="n">
        <v>28.050267</v>
      </c>
      <c r="S277" t="n">
        <v>17.385749</v>
      </c>
      <c r="T277" t="n">
        <v>17.385749</v>
      </c>
      <c r="U277" t="n">
        <v>8.183744000000001</v>
      </c>
      <c r="V277" t="n">
        <v>8.183744000000001</v>
      </c>
      <c r="W277" t="n">
        <v>17.597621</v>
      </c>
      <c r="X277" t="n">
        <v>27.987895</v>
      </c>
    </row>
    <row r="278">
      <c r="A278" t="inlineStr">
        <is>
          <t>Mytilus</t>
        </is>
      </c>
      <c r="B278" t="n">
        <v>2.03</v>
      </c>
      <c r="C278" t="n">
        <v>10.715193</v>
      </c>
      <c r="D278" t="inlineStr">
        <is>
          <t>Epifauna</t>
        </is>
      </c>
      <c r="H278" t="n">
        <v>8.395077000000001</v>
      </c>
      <c r="I278" t="n">
        <v>5.225253</v>
      </c>
      <c r="J278" t="n">
        <v>5.225253</v>
      </c>
      <c r="K278" t="n">
        <v>4.598222</v>
      </c>
      <c r="L278" t="n">
        <v>10.950321</v>
      </c>
      <c r="M278" t="n">
        <v>5.811987</v>
      </c>
      <c r="N278" t="n">
        <v>5.811987</v>
      </c>
      <c r="O278" t="n">
        <v>4.520226</v>
      </c>
      <c r="P278" t="n">
        <v>2.746443</v>
      </c>
      <c r="Q278" t="n">
        <v>5.811987</v>
      </c>
      <c r="R278" t="n">
        <v>5.811987</v>
      </c>
      <c r="S278" t="n">
        <v>4.520226</v>
      </c>
      <c r="T278" t="n">
        <v>4.520226</v>
      </c>
      <c r="U278" t="n">
        <v>2.746443</v>
      </c>
      <c r="V278" t="n">
        <v>2.746443</v>
      </c>
      <c r="W278" t="n">
        <v>4.485747</v>
      </c>
      <c r="X278" t="n">
        <v>5.703863</v>
      </c>
    </row>
    <row r="279">
      <c r="A279" t="inlineStr">
        <is>
          <t>Atherina presbyter</t>
        </is>
      </c>
      <c r="D279" t="inlineStr">
        <is>
          <t>Small pelagics</t>
        </is>
      </c>
      <c r="H279" t="n">
        <v>47.986658</v>
      </c>
      <c r="I279" t="n">
        <v>23.215644</v>
      </c>
      <c r="J279" t="n">
        <v>23.303441</v>
      </c>
      <c r="K279" t="n">
        <v>20.507028</v>
      </c>
      <c r="L279" t="n">
        <v>37.444032</v>
      </c>
      <c r="M279" t="n">
        <v>31.413829</v>
      </c>
      <c r="N279" t="n">
        <v>31.413829</v>
      </c>
      <c r="O279" t="n">
        <v>21.233792</v>
      </c>
      <c r="P279" t="n">
        <v>9.36406</v>
      </c>
      <c r="Q279" t="n">
        <v>31.413829</v>
      </c>
      <c r="R279" t="n">
        <v>31.413829</v>
      </c>
      <c r="S279" t="n">
        <v>21.233792</v>
      </c>
      <c r="T279" t="n">
        <v>21.233792</v>
      </c>
      <c r="U279" t="n">
        <v>9.36406</v>
      </c>
      <c r="V279" t="n">
        <v>9.36406</v>
      </c>
      <c r="W279" t="n">
        <v>21.105884</v>
      </c>
      <c r="X279" t="n">
        <v>33.32407</v>
      </c>
    </row>
    <row r="280">
      <c r="A280" t="inlineStr">
        <is>
          <t>Rajella lintea</t>
        </is>
      </c>
      <c r="B280" t="n">
        <v>3.62</v>
      </c>
      <c r="C280" t="n">
        <v>416.869383</v>
      </c>
      <c r="D280" t="inlineStr">
        <is>
          <t>Sharks &amp; rays</t>
        </is>
      </c>
      <c r="H280" t="n">
        <v>233.624758</v>
      </c>
      <c r="I280" t="n">
        <v>492.26657</v>
      </c>
      <c r="J280" t="n">
        <v>510.78557</v>
      </c>
      <c r="K280" t="n">
        <v>219.637795</v>
      </c>
      <c r="L280" t="n">
        <v>1275.246638</v>
      </c>
      <c r="M280" t="n">
        <v>948.706608</v>
      </c>
      <c r="N280" t="n">
        <v>948.706608</v>
      </c>
      <c r="O280" t="n">
        <v>213.713009</v>
      </c>
      <c r="P280" t="n">
        <v>67.906436</v>
      </c>
      <c r="Q280" t="n">
        <v>948.706608</v>
      </c>
      <c r="R280" t="n">
        <v>948.706608</v>
      </c>
      <c r="S280" t="n">
        <v>213.713009</v>
      </c>
      <c r="T280" t="n">
        <v>213.713009</v>
      </c>
      <c r="U280" t="n">
        <v>67.906436</v>
      </c>
      <c r="V280" t="n">
        <v>67.906436</v>
      </c>
      <c r="W280" t="n">
        <v>220.688261</v>
      </c>
      <c r="X280" t="n">
        <v>981.457341</v>
      </c>
    </row>
    <row r="281">
      <c r="A281" t="inlineStr">
        <is>
          <t>Tinca tinca</t>
        </is>
      </c>
      <c r="D281" t="inlineStr">
        <is>
          <t>Unresolved</t>
        </is>
      </c>
    </row>
    <row r="282">
      <c r="A282" t="inlineStr">
        <is>
          <t>Moridae</t>
        </is>
      </c>
      <c r="D282" t="inlineStr">
        <is>
          <t>Unresolved</t>
        </is>
      </c>
    </row>
    <row r="283">
      <c r="A283" t="inlineStr">
        <is>
          <t>Mytilidae</t>
        </is>
      </c>
      <c r="D283" t="inlineStr">
        <is>
          <t>Epifauna</t>
        </is>
      </c>
      <c r="H283" t="n">
        <v>8.395077000000001</v>
      </c>
      <c r="I283" t="n">
        <v>5.225253</v>
      </c>
      <c r="J283" t="n">
        <v>5.225253</v>
      </c>
      <c r="K283" t="n">
        <v>4.598222</v>
      </c>
      <c r="L283" t="n">
        <v>10.950321</v>
      </c>
      <c r="M283" t="n">
        <v>5.811987</v>
      </c>
      <c r="N283" t="n">
        <v>5.811987</v>
      </c>
      <c r="O283" t="n">
        <v>4.520226</v>
      </c>
      <c r="P283" t="n">
        <v>2.746443</v>
      </c>
      <c r="Q283" t="n">
        <v>5.811987</v>
      </c>
      <c r="R283" t="n">
        <v>5.811987</v>
      </c>
      <c r="S283" t="n">
        <v>4.520226</v>
      </c>
      <c r="T283" t="n">
        <v>4.520226</v>
      </c>
      <c r="U283" t="n">
        <v>2.746443</v>
      </c>
      <c r="V283" t="n">
        <v>2.746443</v>
      </c>
      <c r="W283" t="n">
        <v>4.485747</v>
      </c>
      <c r="X283" t="n">
        <v>5.703863</v>
      </c>
    </row>
    <row r="284">
      <c r="A284" t="inlineStr">
        <is>
          <t>Palaemonidae</t>
        </is>
      </c>
      <c r="D284" t="inlineStr">
        <is>
          <t>Crustacea</t>
        </is>
      </c>
      <c r="H284" t="n">
        <v>24.212502</v>
      </c>
      <c r="I284" t="n">
        <v>19.703615</v>
      </c>
      <c r="J284" t="n">
        <v>19.736166</v>
      </c>
      <c r="K284" t="n">
        <v>15.986295</v>
      </c>
      <c r="L284" t="n">
        <v>47.671907</v>
      </c>
      <c r="M284" t="n">
        <v>28.050267</v>
      </c>
      <c r="N284" t="n">
        <v>28.050267</v>
      </c>
      <c r="O284" t="n">
        <v>17.385749</v>
      </c>
      <c r="P284" t="n">
        <v>8.183744000000001</v>
      </c>
      <c r="Q284" t="n">
        <v>28.050267</v>
      </c>
      <c r="R284" t="n">
        <v>28.050267</v>
      </c>
      <c r="S284" t="n">
        <v>17.385749</v>
      </c>
      <c r="T284" t="n">
        <v>17.385749</v>
      </c>
      <c r="U284" t="n">
        <v>8.183744000000001</v>
      </c>
      <c r="V284" t="n">
        <v>8.183744000000001</v>
      </c>
      <c r="W284" t="n">
        <v>17.597621</v>
      </c>
      <c r="X284" t="n">
        <v>27.987895</v>
      </c>
    </row>
    <row r="285">
      <c r="A285" t="inlineStr">
        <is>
          <t>Echinoidea</t>
        </is>
      </c>
      <c r="B285" t="n">
        <v>2.51</v>
      </c>
      <c r="C285" t="n">
        <v>32.359366</v>
      </c>
      <c r="D285" t="inlineStr">
        <is>
          <t>Epifauna</t>
        </is>
      </c>
      <c r="H285" t="n">
        <v>8.395077000000001</v>
      </c>
      <c r="I285" t="n">
        <v>5.225253</v>
      </c>
      <c r="J285" t="n">
        <v>5.225253</v>
      </c>
      <c r="K285" t="n">
        <v>4.598222</v>
      </c>
      <c r="L285" t="n">
        <v>10.950321</v>
      </c>
      <c r="M285" t="n">
        <v>5.811987</v>
      </c>
      <c r="N285" t="n">
        <v>5.811987</v>
      </c>
      <c r="O285" t="n">
        <v>4.520226</v>
      </c>
      <c r="P285" t="n">
        <v>2.746443</v>
      </c>
      <c r="Q285" t="n">
        <v>5.811987</v>
      </c>
      <c r="R285" t="n">
        <v>5.811987</v>
      </c>
      <c r="S285" t="n">
        <v>4.520226</v>
      </c>
      <c r="T285" t="n">
        <v>4.520226</v>
      </c>
      <c r="U285" t="n">
        <v>2.746443</v>
      </c>
      <c r="V285" t="n">
        <v>2.746443</v>
      </c>
      <c r="W285" t="n">
        <v>4.485747</v>
      </c>
      <c r="X285" t="n">
        <v>5.703863</v>
      </c>
    </row>
    <row r="286">
      <c r="A286" t="inlineStr">
        <is>
          <t>Lota lota</t>
        </is>
      </c>
      <c r="B286" t="n">
        <v>3.84</v>
      </c>
      <c r="C286" t="n">
        <v>691.830971</v>
      </c>
      <c r="D286" t="inlineStr">
        <is>
          <t>Unresolved</t>
        </is>
      </c>
    </row>
    <row r="287">
      <c r="A287" t="inlineStr">
        <is>
          <t>Diplodus</t>
        </is>
      </c>
      <c r="B287" t="n">
        <v>2.97</v>
      </c>
      <c r="C287" t="n">
        <v>93.32543</v>
      </c>
      <c r="D287" t="inlineStr">
        <is>
          <t>Large Dem. fish</t>
        </is>
      </c>
      <c r="H287" t="n">
        <v>257.213239</v>
      </c>
      <c r="I287" t="n">
        <v>242.020787</v>
      </c>
      <c r="J287" t="n">
        <v>251.673548</v>
      </c>
      <c r="K287" t="n">
        <v>236.573135</v>
      </c>
      <c r="L287" t="n">
        <v>461.958282</v>
      </c>
      <c r="M287" t="n">
        <v>374.891707</v>
      </c>
      <c r="N287" t="n">
        <v>374.891707</v>
      </c>
      <c r="O287" t="n">
        <v>228.730494</v>
      </c>
      <c r="P287" t="n">
        <v>73.767325</v>
      </c>
      <c r="Q287" t="n">
        <v>374.891707</v>
      </c>
      <c r="R287" t="n">
        <v>374.891707</v>
      </c>
      <c r="S287" t="n">
        <v>228.730494</v>
      </c>
      <c r="T287" t="n">
        <v>228.730494</v>
      </c>
      <c r="U287" t="n">
        <v>73.767325</v>
      </c>
      <c r="V287" t="n">
        <v>73.767325</v>
      </c>
      <c r="W287" t="n">
        <v>231.104367</v>
      </c>
      <c r="X287" t="n">
        <v>381.526081</v>
      </c>
    </row>
    <row r="288">
      <c r="A288" t="inlineStr">
        <is>
          <t>Trigla lyra</t>
        </is>
      </c>
      <c r="B288" t="n">
        <v>3.65</v>
      </c>
      <c r="C288" t="n">
        <v>446.683592</v>
      </c>
      <c r="D288" t="inlineStr">
        <is>
          <t>Large Dem. fish</t>
        </is>
      </c>
      <c r="H288" t="n">
        <v>257.213239</v>
      </c>
      <c r="I288" t="n">
        <v>242.020787</v>
      </c>
      <c r="J288" t="n">
        <v>251.673548</v>
      </c>
      <c r="K288" t="n">
        <v>236.573135</v>
      </c>
      <c r="L288" t="n">
        <v>461.958282</v>
      </c>
      <c r="M288" t="n">
        <v>374.891707</v>
      </c>
      <c r="N288" t="n">
        <v>374.891707</v>
      </c>
      <c r="O288" t="n">
        <v>228.730494</v>
      </c>
      <c r="P288" t="n">
        <v>73.767325</v>
      </c>
      <c r="Q288" t="n">
        <v>374.891707</v>
      </c>
      <c r="R288" t="n">
        <v>374.891707</v>
      </c>
      <c r="S288" t="n">
        <v>228.730494</v>
      </c>
      <c r="T288" t="n">
        <v>228.730494</v>
      </c>
      <c r="U288" t="n">
        <v>73.767325</v>
      </c>
      <c r="V288" t="n">
        <v>73.767325</v>
      </c>
      <c r="W288" t="n">
        <v>231.104367</v>
      </c>
      <c r="X288" t="n">
        <v>381.526081</v>
      </c>
    </row>
    <row r="289">
      <c r="A289" t="inlineStr">
        <is>
          <t>Xiphias gladius</t>
        </is>
      </c>
      <c r="D289" t="inlineStr">
        <is>
          <t>Unresolved</t>
        </is>
      </c>
    </row>
    <row r="290">
      <c r="A290" t="inlineStr">
        <is>
          <t>Scardinius erythrophthalmus</t>
        </is>
      </c>
      <c r="B290" t="n">
        <v>2.89</v>
      </c>
      <c r="C290" t="n">
        <v>77.624712</v>
      </c>
      <c r="D290" t="inlineStr">
        <is>
          <t>Unresolved</t>
        </is>
      </c>
    </row>
    <row r="291">
      <c r="A291" t="inlineStr">
        <is>
          <t>Loligo forbesii</t>
        </is>
      </c>
      <c r="D291" t="inlineStr">
        <is>
          <t>Squid &amp; Octopus</t>
        </is>
      </c>
      <c r="H291" t="n">
        <v>62.376626</v>
      </c>
      <c r="I291" t="n">
        <v>51.428785</v>
      </c>
      <c r="J291" t="n">
        <v>51.639947</v>
      </c>
      <c r="K291" t="n">
        <v>49.05795</v>
      </c>
      <c r="L291" t="n">
        <v>94.097724</v>
      </c>
      <c r="M291" t="n">
        <v>69.667844</v>
      </c>
      <c r="N291" t="n">
        <v>69.667844</v>
      </c>
      <c r="O291" t="n">
        <v>47.704772</v>
      </c>
      <c r="P291" t="n">
        <v>19.528933</v>
      </c>
      <c r="Q291" t="n">
        <v>69.667844</v>
      </c>
      <c r="R291" t="n">
        <v>69.667844</v>
      </c>
      <c r="S291" t="n">
        <v>47.704772</v>
      </c>
      <c r="T291" t="n">
        <v>47.704772</v>
      </c>
      <c r="U291" t="n">
        <v>19.528933</v>
      </c>
      <c r="V291" t="n">
        <v>19.528933</v>
      </c>
      <c r="W291" t="n">
        <v>48.333282</v>
      </c>
      <c r="X291" t="n">
        <v>72.484779</v>
      </c>
    </row>
    <row r="292">
      <c r="A292" t="inlineStr">
        <is>
          <t>Trachinidae</t>
        </is>
      </c>
      <c r="B292" t="n">
        <v>3.95</v>
      </c>
      <c r="C292" t="n">
        <v>891.250938</v>
      </c>
      <c r="D292" t="inlineStr">
        <is>
          <t>Large Dem. fish</t>
        </is>
      </c>
      <c r="H292" t="n">
        <v>257.213239</v>
      </c>
      <c r="I292" t="n">
        <v>242.020787</v>
      </c>
      <c r="J292" t="n">
        <v>251.673548</v>
      </c>
      <c r="K292" t="n">
        <v>236.573135</v>
      </c>
      <c r="L292" t="n">
        <v>461.958282</v>
      </c>
      <c r="M292" t="n">
        <v>374.891707</v>
      </c>
      <c r="N292" t="n">
        <v>374.891707</v>
      </c>
      <c r="O292" t="n">
        <v>228.730494</v>
      </c>
      <c r="P292" t="n">
        <v>73.767325</v>
      </c>
      <c r="Q292" t="n">
        <v>374.891707</v>
      </c>
      <c r="R292" t="n">
        <v>374.891707</v>
      </c>
      <c r="S292" t="n">
        <v>228.730494</v>
      </c>
      <c r="T292" t="n">
        <v>228.730494</v>
      </c>
      <c r="U292" t="n">
        <v>73.767325</v>
      </c>
      <c r="V292" t="n">
        <v>73.767325</v>
      </c>
      <c r="W292" t="n">
        <v>231.104367</v>
      </c>
      <c r="X292" t="n">
        <v>381.526081</v>
      </c>
    </row>
    <row r="293">
      <c r="A293" t="inlineStr">
        <is>
          <t>Ruditapes decussatus</t>
        </is>
      </c>
      <c r="B293" t="n">
        <v>2</v>
      </c>
      <c r="C293" t="n">
        <v>10</v>
      </c>
      <c r="D293" t="inlineStr">
        <is>
          <t>Infauna</t>
        </is>
      </c>
      <c r="H293" t="n">
        <v>1.695379</v>
      </c>
      <c r="I293" t="n">
        <v>1.315556</v>
      </c>
      <c r="J293" t="n">
        <v>1.315556</v>
      </c>
      <c r="K293" t="n">
        <v>1.184</v>
      </c>
      <c r="L293" t="n">
        <v>3.864936</v>
      </c>
      <c r="M293" t="n">
        <v>1.321429</v>
      </c>
      <c r="N293" t="n">
        <v>1.321429</v>
      </c>
      <c r="O293" t="n">
        <v>1.188755</v>
      </c>
      <c r="P293" t="n">
        <v>0.950241</v>
      </c>
      <c r="Q293" t="n">
        <v>1.321429</v>
      </c>
      <c r="R293" t="n">
        <v>1.321429</v>
      </c>
      <c r="S293" t="n">
        <v>1.188755</v>
      </c>
      <c r="T293" t="n">
        <v>1.188755</v>
      </c>
      <c r="U293" t="n">
        <v>0.950241</v>
      </c>
      <c r="V293" t="n">
        <v>0.950241</v>
      </c>
      <c r="W293" t="n">
        <v>1.170683</v>
      </c>
      <c r="X293" t="n">
        <v>1.343305</v>
      </c>
    </row>
    <row r="294">
      <c r="A294" t="inlineStr">
        <is>
          <t>Alosa alosa</t>
        </is>
      </c>
      <c r="B294" t="n">
        <v>2.95</v>
      </c>
      <c r="C294" t="n">
        <v>89.125094</v>
      </c>
      <c r="D294" t="inlineStr">
        <is>
          <t>Large Pelagics</t>
        </is>
      </c>
      <c r="H294" t="n">
        <v>139.957891</v>
      </c>
      <c r="I294" t="n">
        <v>118.942542</v>
      </c>
      <c r="J294" t="n">
        <v>128.033231</v>
      </c>
      <c r="K294" t="n">
        <v>115.229908</v>
      </c>
      <c r="L294" t="n">
        <v>208.675232</v>
      </c>
      <c r="M294" t="n">
        <v>172.524137</v>
      </c>
      <c r="N294" t="n">
        <v>172.524137</v>
      </c>
      <c r="O294" t="n">
        <v>107.933606</v>
      </c>
      <c r="P294" t="n">
        <v>40.156364</v>
      </c>
      <c r="Q294" t="n">
        <v>172.524137</v>
      </c>
      <c r="R294" t="n">
        <v>172.524137</v>
      </c>
      <c r="S294" t="n">
        <v>107.933606</v>
      </c>
      <c r="T294" t="n">
        <v>107.933606</v>
      </c>
      <c r="U294" t="n">
        <v>40.156364</v>
      </c>
      <c r="V294" t="n">
        <v>40.156364</v>
      </c>
      <c r="W294" t="n">
        <v>107.778581</v>
      </c>
      <c r="X294" t="n">
        <v>174.242777</v>
      </c>
    </row>
    <row r="295">
      <c r="A295" t="inlineStr">
        <is>
          <t>Ruditapes</t>
        </is>
      </c>
      <c r="B295" t="n">
        <v>2</v>
      </c>
      <c r="C295" t="n">
        <v>10</v>
      </c>
      <c r="D295" t="inlineStr">
        <is>
          <t>Infauna</t>
        </is>
      </c>
      <c r="H295" t="n">
        <v>1.695379</v>
      </c>
      <c r="I295" t="n">
        <v>1.315556</v>
      </c>
      <c r="J295" t="n">
        <v>1.315556</v>
      </c>
      <c r="K295" t="n">
        <v>1.184</v>
      </c>
      <c r="L295" t="n">
        <v>3.864936</v>
      </c>
      <c r="M295" t="n">
        <v>1.321429</v>
      </c>
      <c r="N295" t="n">
        <v>1.321429</v>
      </c>
      <c r="O295" t="n">
        <v>1.188755</v>
      </c>
      <c r="P295" t="n">
        <v>0.950241</v>
      </c>
      <c r="Q295" t="n">
        <v>1.321429</v>
      </c>
      <c r="R295" t="n">
        <v>1.321429</v>
      </c>
      <c r="S295" t="n">
        <v>1.188755</v>
      </c>
      <c r="T295" t="n">
        <v>1.188755</v>
      </c>
      <c r="U295" t="n">
        <v>0.950241</v>
      </c>
      <c r="V295" t="n">
        <v>0.950241</v>
      </c>
      <c r="W295" t="n">
        <v>1.170683</v>
      </c>
      <c r="X295" t="n">
        <v>1.343305</v>
      </c>
    </row>
    <row r="296">
      <c r="A296" t="inlineStr">
        <is>
          <t>Sparus aurata</t>
        </is>
      </c>
      <c r="B296" t="n">
        <v>3.7</v>
      </c>
      <c r="C296" t="n">
        <v>501.187234</v>
      </c>
      <c r="D296" t="inlineStr">
        <is>
          <t>Large Dem. fish</t>
        </is>
      </c>
      <c r="H296" t="n">
        <v>257.213239</v>
      </c>
      <c r="I296" t="n">
        <v>242.020787</v>
      </c>
      <c r="J296" t="n">
        <v>251.673548</v>
      </c>
      <c r="K296" t="n">
        <v>236.573135</v>
      </c>
      <c r="L296" t="n">
        <v>461.958282</v>
      </c>
      <c r="M296" t="n">
        <v>374.891707</v>
      </c>
      <c r="N296" t="n">
        <v>374.891707</v>
      </c>
      <c r="O296" t="n">
        <v>228.730494</v>
      </c>
      <c r="P296" t="n">
        <v>73.767325</v>
      </c>
      <c r="Q296" t="n">
        <v>374.891707</v>
      </c>
      <c r="R296" t="n">
        <v>374.891707</v>
      </c>
      <c r="S296" t="n">
        <v>228.730494</v>
      </c>
      <c r="T296" t="n">
        <v>228.730494</v>
      </c>
      <c r="U296" t="n">
        <v>73.767325</v>
      </c>
      <c r="V296" t="n">
        <v>73.767325</v>
      </c>
      <c r="W296" t="n">
        <v>231.104367</v>
      </c>
      <c r="X296" t="n">
        <v>381.526081</v>
      </c>
    </row>
    <row r="297">
      <c r="A297" t="inlineStr">
        <is>
          <t>Carassius carassius</t>
        </is>
      </c>
      <c r="D297" t="inlineStr">
        <is>
          <t>Unresolved</t>
        </is>
      </c>
    </row>
    <row r="298">
      <c r="A298" t="inlineStr">
        <is>
          <t>Lepidorhombus boscii</t>
        </is>
      </c>
      <c r="B298" t="n">
        <v>3.74</v>
      </c>
      <c r="C298" t="n">
        <v>549.540874</v>
      </c>
      <c r="D298" t="inlineStr">
        <is>
          <t>Flatfishes</t>
        </is>
      </c>
      <c r="H298" t="n">
        <v>72.35890999999999</v>
      </c>
      <c r="I298" t="n">
        <v>55.101076</v>
      </c>
      <c r="J298" t="n">
        <v>56.599968</v>
      </c>
      <c r="K298" t="n">
        <v>51.50597</v>
      </c>
      <c r="L298" t="n">
        <v>114.167454</v>
      </c>
      <c r="M298" t="n">
        <v>73.440046</v>
      </c>
      <c r="N298" t="n">
        <v>73.440046</v>
      </c>
      <c r="O298" t="n">
        <v>45.479187</v>
      </c>
      <c r="P298" t="n">
        <v>17.967245</v>
      </c>
      <c r="Q298" t="n">
        <v>73.440046</v>
      </c>
      <c r="R298" t="n">
        <v>73.440046</v>
      </c>
      <c r="S298" t="n">
        <v>45.479187</v>
      </c>
      <c r="T298" t="n">
        <v>45.479187</v>
      </c>
      <c r="U298" t="n">
        <v>17.967245</v>
      </c>
      <c r="V298" t="n">
        <v>17.967245</v>
      </c>
      <c r="W298" t="n">
        <v>45.729526</v>
      </c>
      <c r="X298" t="n">
        <v>73.316087</v>
      </c>
    </row>
    <row r="299">
      <c r="A299" t="inlineStr">
        <is>
          <t>Balistes capriscus</t>
        </is>
      </c>
      <c r="D299" t="inlineStr">
        <is>
          <t>Large Dem. fish</t>
        </is>
      </c>
      <c r="H299" t="n">
        <v>257.213239</v>
      </c>
      <c r="I299" t="n">
        <v>242.020787</v>
      </c>
      <c r="J299" t="n">
        <v>251.673548</v>
      </c>
      <c r="K299" t="n">
        <v>236.573135</v>
      </c>
      <c r="L299" t="n">
        <v>461.958282</v>
      </c>
      <c r="M299" t="n">
        <v>374.891707</v>
      </c>
      <c r="N299" t="n">
        <v>374.891707</v>
      </c>
      <c r="O299" t="n">
        <v>228.730494</v>
      </c>
      <c r="P299" t="n">
        <v>73.767325</v>
      </c>
      <c r="Q299" t="n">
        <v>374.891707</v>
      </c>
      <c r="R299" t="n">
        <v>374.891707</v>
      </c>
      <c r="S299" t="n">
        <v>228.730494</v>
      </c>
      <c r="T299" t="n">
        <v>228.730494</v>
      </c>
      <c r="U299" t="n">
        <v>73.767325</v>
      </c>
      <c r="V299" t="n">
        <v>73.767325</v>
      </c>
      <c r="W299" t="n">
        <v>231.104367</v>
      </c>
      <c r="X299" t="n">
        <v>381.526081</v>
      </c>
    </row>
    <row r="300">
      <c r="A300" t="inlineStr">
        <is>
          <t>Anarhichas denticulatus</t>
        </is>
      </c>
      <c r="B300" t="n">
        <v>3.75</v>
      </c>
      <c r="C300" t="n">
        <v>562.341325</v>
      </c>
      <c r="D300" t="inlineStr">
        <is>
          <t>Large Dem. fish</t>
        </is>
      </c>
      <c r="H300" t="n">
        <v>257.213239</v>
      </c>
      <c r="I300" t="n">
        <v>242.020787</v>
      </c>
      <c r="J300" t="n">
        <v>251.673548</v>
      </c>
      <c r="K300" t="n">
        <v>236.573135</v>
      </c>
      <c r="L300" t="n">
        <v>461.958282</v>
      </c>
      <c r="M300" t="n">
        <v>374.891707</v>
      </c>
      <c r="N300" t="n">
        <v>374.891707</v>
      </c>
      <c r="O300" t="n">
        <v>228.730494</v>
      </c>
      <c r="P300" t="n">
        <v>73.767325</v>
      </c>
      <c r="Q300" t="n">
        <v>374.891707</v>
      </c>
      <c r="R300" t="n">
        <v>374.891707</v>
      </c>
      <c r="S300" t="n">
        <v>228.730494</v>
      </c>
      <c r="T300" t="n">
        <v>228.730494</v>
      </c>
      <c r="U300" t="n">
        <v>73.767325</v>
      </c>
      <c r="V300" t="n">
        <v>73.767325</v>
      </c>
      <c r="W300" t="n">
        <v>231.104367</v>
      </c>
      <c r="X300" t="n">
        <v>381.526081</v>
      </c>
    </row>
    <row r="301">
      <c r="A301" t="inlineStr">
        <is>
          <t>Dasyatis pastinaca</t>
        </is>
      </c>
      <c r="B301" t="n">
        <v>4.05</v>
      </c>
      <c r="C301" t="n">
        <v>1122.018454</v>
      </c>
      <c r="D301" t="inlineStr">
        <is>
          <t>Sharks &amp; rays</t>
        </is>
      </c>
      <c r="H301" t="n">
        <v>233.624758</v>
      </c>
      <c r="I301" t="n">
        <v>492.26657</v>
      </c>
      <c r="J301" t="n">
        <v>510.78557</v>
      </c>
      <c r="K301" t="n">
        <v>219.637795</v>
      </c>
      <c r="L301" t="n">
        <v>1275.246638</v>
      </c>
      <c r="M301" t="n">
        <v>948.706608</v>
      </c>
      <c r="N301" t="n">
        <v>948.706608</v>
      </c>
      <c r="O301" t="n">
        <v>213.713009</v>
      </c>
      <c r="P301" t="n">
        <v>67.906436</v>
      </c>
      <c r="Q301" t="n">
        <v>948.706608</v>
      </c>
      <c r="R301" t="n">
        <v>948.706608</v>
      </c>
      <c r="S301" t="n">
        <v>213.713009</v>
      </c>
      <c r="T301" t="n">
        <v>213.713009</v>
      </c>
      <c r="U301" t="n">
        <v>67.906436</v>
      </c>
      <c r="V301" t="n">
        <v>67.906436</v>
      </c>
      <c r="W301" t="n">
        <v>220.688261</v>
      </c>
      <c r="X301" t="n">
        <v>981.457341</v>
      </c>
    </row>
    <row r="302">
      <c r="A302" t="inlineStr">
        <is>
          <t>Eledone</t>
        </is>
      </c>
      <c r="B302" t="n">
        <v>3.67</v>
      </c>
      <c r="C302" t="n">
        <v>467.735141</v>
      </c>
      <c r="D302" t="inlineStr">
        <is>
          <t>Squid &amp; Octopus</t>
        </is>
      </c>
      <c r="H302" t="n">
        <v>62.376626</v>
      </c>
      <c r="I302" t="n">
        <v>51.428785</v>
      </c>
      <c r="J302" t="n">
        <v>51.639947</v>
      </c>
      <c r="K302" t="n">
        <v>49.05795</v>
      </c>
      <c r="L302" t="n">
        <v>94.097724</v>
      </c>
      <c r="M302" t="n">
        <v>69.667844</v>
      </c>
      <c r="N302" t="n">
        <v>69.667844</v>
      </c>
      <c r="O302" t="n">
        <v>47.704772</v>
      </c>
      <c r="P302" t="n">
        <v>19.528933</v>
      </c>
      <c r="Q302" t="n">
        <v>69.667844</v>
      </c>
      <c r="R302" t="n">
        <v>69.667844</v>
      </c>
      <c r="S302" t="n">
        <v>47.704772</v>
      </c>
      <c r="T302" t="n">
        <v>47.704772</v>
      </c>
      <c r="U302" t="n">
        <v>19.528933</v>
      </c>
      <c r="V302" t="n">
        <v>19.528933</v>
      </c>
      <c r="W302" t="n">
        <v>48.333282</v>
      </c>
      <c r="X302" t="n">
        <v>72.484779</v>
      </c>
    </row>
    <row r="303">
      <c r="A303" t="inlineStr">
        <is>
          <t>Alopias</t>
        </is>
      </c>
      <c r="D303" t="inlineStr">
        <is>
          <t>Sharks &amp; rays</t>
        </is>
      </c>
      <c r="H303" t="n">
        <v>233.624758</v>
      </c>
      <c r="I303" t="n">
        <v>492.26657</v>
      </c>
      <c r="J303" t="n">
        <v>510.78557</v>
      </c>
      <c r="K303" t="n">
        <v>219.637795</v>
      </c>
      <c r="L303" t="n">
        <v>1275.246638</v>
      </c>
      <c r="M303" t="n">
        <v>948.706608</v>
      </c>
      <c r="N303" t="n">
        <v>948.706608</v>
      </c>
      <c r="O303" t="n">
        <v>213.713009</v>
      </c>
      <c r="P303" t="n">
        <v>67.906436</v>
      </c>
      <c r="Q303" t="n">
        <v>948.706608</v>
      </c>
      <c r="R303" t="n">
        <v>948.706608</v>
      </c>
      <c r="S303" t="n">
        <v>213.713009</v>
      </c>
      <c r="T303" t="n">
        <v>213.713009</v>
      </c>
      <c r="U303" t="n">
        <v>67.906436</v>
      </c>
      <c r="V303" t="n">
        <v>67.906436</v>
      </c>
      <c r="W303" t="n">
        <v>220.688261</v>
      </c>
      <c r="X303" t="n">
        <v>981.457341</v>
      </c>
    </row>
    <row r="304">
      <c r="A304" t="inlineStr">
        <is>
          <t>Mugil cephalus</t>
        </is>
      </c>
      <c r="B304" t="n">
        <v>2.14</v>
      </c>
      <c r="C304" t="n">
        <v>13.803843</v>
      </c>
      <c r="D304" t="inlineStr">
        <is>
          <t>Large Dem. fish</t>
        </is>
      </c>
      <c r="H304" t="n">
        <v>257.213239</v>
      </c>
      <c r="I304" t="n">
        <v>242.020787</v>
      </c>
      <c r="J304" t="n">
        <v>251.673548</v>
      </c>
      <c r="K304" t="n">
        <v>236.573135</v>
      </c>
      <c r="L304" t="n">
        <v>461.958282</v>
      </c>
      <c r="M304" t="n">
        <v>374.891707</v>
      </c>
      <c r="N304" t="n">
        <v>374.891707</v>
      </c>
      <c r="O304" t="n">
        <v>228.730494</v>
      </c>
      <c r="P304" t="n">
        <v>73.767325</v>
      </c>
      <c r="Q304" t="n">
        <v>374.891707</v>
      </c>
      <c r="R304" t="n">
        <v>374.891707</v>
      </c>
      <c r="S304" t="n">
        <v>228.730494</v>
      </c>
      <c r="T304" t="n">
        <v>228.730494</v>
      </c>
      <c r="U304" t="n">
        <v>73.767325</v>
      </c>
      <c r="V304" t="n">
        <v>73.767325</v>
      </c>
      <c r="W304" t="n">
        <v>231.104367</v>
      </c>
      <c r="X304" t="n">
        <v>381.526081</v>
      </c>
    </row>
    <row r="305">
      <c r="A305" t="inlineStr">
        <is>
          <t>Scomberesox saurus</t>
        </is>
      </c>
      <c r="B305" t="n">
        <v>3.91</v>
      </c>
      <c r="C305" t="n">
        <v>812.830516</v>
      </c>
      <c r="D305" t="inlineStr">
        <is>
          <t>Large Pelagics</t>
        </is>
      </c>
      <c r="H305" t="n">
        <v>139.957891</v>
      </c>
      <c r="I305" t="n">
        <v>118.942542</v>
      </c>
      <c r="J305" t="n">
        <v>128.033231</v>
      </c>
      <c r="K305" t="n">
        <v>115.229908</v>
      </c>
      <c r="L305" t="n">
        <v>208.675232</v>
      </c>
      <c r="M305" t="n">
        <v>172.524137</v>
      </c>
      <c r="N305" t="n">
        <v>172.524137</v>
      </c>
      <c r="O305" t="n">
        <v>107.933606</v>
      </c>
      <c r="P305" t="n">
        <v>40.156364</v>
      </c>
      <c r="Q305" t="n">
        <v>172.524137</v>
      </c>
      <c r="R305" t="n">
        <v>172.524137</v>
      </c>
      <c r="S305" t="n">
        <v>107.933606</v>
      </c>
      <c r="T305" t="n">
        <v>107.933606</v>
      </c>
      <c r="U305" t="n">
        <v>40.156364</v>
      </c>
      <c r="V305" t="n">
        <v>40.156364</v>
      </c>
      <c r="W305" t="n">
        <v>107.778581</v>
      </c>
      <c r="X305" t="n">
        <v>174.242777</v>
      </c>
    </row>
    <row r="306">
      <c r="A306" t="inlineStr">
        <is>
          <t>Mola mola</t>
        </is>
      </c>
      <c r="D306" t="inlineStr">
        <is>
          <t>Unresolved</t>
        </is>
      </c>
    </row>
    <row r="307">
      <c r="A307" t="inlineStr">
        <is>
          <t>Chelidonichthys lastoviza</t>
        </is>
      </c>
      <c r="B307" t="n">
        <v>3.49</v>
      </c>
      <c r="C307" t="n">
        <v>309.029543</v>
      </c>
      <c r="D307" t="inlineStr">
        <is>
          <t>Large Dem. fish</t>
        </is>
      </c>
      <c r="H307" t="n">
        <v>257.213239</v>
      </c>
      <c r="I307" t="n">
        <v>242.020787</v>
      </c>
      <c r="J307" t="n">
        <v>251.673548</v>
      </c>
      <c r="K307" t="n">
        <v>236.573135</v>
      </c>
      <c r="L307" t="n">
        <v>461.958282</v>
      </c>
      <c r="M307" t="n">
        <v>374.891707</v>
      </c>
      <c r="N307" t="n">
        <v>374.891707</v>
      </c>
      <c r="O307" t="n">
        <v>228.730494</v>
      </c>
      <c r="P307" t="n">
        <v>73.767325</v>
      </c>
      <c r="Q307" t="n">
        <v>374.891707</v>
      </c>
      <c r="R307" t="n">
        <v>374.891707</v>
      </c>
      <c r="S307" t="n">
        <v>228.730494</v>
      </c>
      <c r="T307" t="n">
        <v>228.730494</v>
      </c>
      <c r="U307" t="n">
        <v>73.767325</v>
      </c>
      <c r="V307" t="n">
        <v>73.767325</v>
      </c>
      <c r="W307" t="n">
        <v>231.104367</v>
      </c>
      <c r="X307" t="n">
        <v>381.526081</v>
      </c>
    </row>
    <row r="308">
      <c r="A308" t="inlineStr">
        <is>
          <t>Illex coindetii</t>
        </is>
      </c>
      <c r="B308" t="n">
        <v>4.11</v>
      </c>
      <c r="C308" t="n">
        <v>1288.249552</v>
      </c>
      <c r="D308" t="inlineStr">
        <is>
          <t>Squid &amp; Octopus</t>
        </is>
      </c>
      <c r="H308" t="n">
        <v>62.376626</v>
      </c>
      <c r="I308" t="n">
        <v>51.428785</v>
      </c>
      <c r="J308" t="n">
        <v>51.639947</v>
      </c>
      <c r="K308" t="n">
        <v>49.05795</v>
      </c>
      <c r="L308" t="n">
        <v>94.097724</v>
      </c>
      <c r="M308" t="n">
        <v>69.667844</v>
      </c>
      <c r="N308" t="n">
        <v>69.667844</v>
      </c>
      <c r="O308" t="n">
        <v>47.704772</v>
      </c>
      <c r="P308" t="n">
        <v>19.528933</v>
      </c>
      <c r="Q308" t="n">
        <v>69.667844</v>
      </c>
      <c r="R308" t="n">
        <v>69.667844</v>
      </c>
      <c r="S308" t="n">
        <v>47.704772</v>
      </c>
      <c r="T308" t="n">
        <v>47.704772</v>
      </c>
      <c r="U308" t="n">
        <v>19.528933</v>
      </c>
      <c r="V308" t="n">
        <v>19.528933</v>
      </c>
      <c r="W308" t="n">
        <v>48.333282</v>
      </c>
      <c r="X308" t="n">
        <v>72.484779</v>
      </c>
    </row>
    <row r="309">
      <c r="A309" t="inlineStr">
        <is>
          <t>Berycidae</t>
        </is>
      </c>
      <c r="B309" t="n">
        <v>3.99</v>
      </c>
      <c r="C309" t="n">
        <v>977.237221</v>
      </c>
      <c r="D309" t="inlineStr">
        <is>
          <t>Unresolved</t>
        </is>
      </c>
    </row>
    <row r="310">
      <c r="A310" t="inlineStr">
        <is>
          <t>Beryx splendens</t>
        </is>
      </c>
      <c r="B310" t="n">
        <v>4.27</v>
      </c>
      <c r="C310" t="n">
        <v>1862.087137</v>
      </c>
      <c r="D310" t="inlineStr">
        <is>
          <t>Unresolved</t>
        </is>
      </c>
    </row>
    <row r="311">
      <c r="A311" t="inlineStr">
        <is>
          <t>Beryx decadactylus</t>
        </is>
      </c>
      <c r="B311" t="n">
        <v>4.13</v>
      </c>
      <c r="C311" t="n">
        <v>1348.962883</v>
      </c>
      <c r="D311" t="inlineStr">
        <is>
          <t>Unresolved</t>
        </is>
      </c>
    </row>
    <row r="312">
      <c r="A312" t="inlineStr">
        <is>
          <t>Anarhichas minor</t>
        </is>
      </c>
      <c r="B312" t="n">
        <v>3.45</v>
      </c>
      <c r="C312" t="n">
        <v>281.838293</v>
      </c>
      <c r="D312" t="inlineStr">
        <is>
          <t>Large Dem. fish</t>
        </is>
      </c>
      <c r="H312" t="n">
        <v>257.213239</v>
      </c>
      <c r="I312" t="n">
        <v>242.020787</v>
      </c>
      <c r="J312" t="n">
        <v>251.673548</v>
      </c>
      <c r="K312" t="n">
        <v>236.573135</v>
      </c>
      <c r="L312" t="n">
        <v>461.958282</v>
      </c>
      <c r="M312" t="n">
        <v>374.891707</v>
      </c>
      <c r="N312" t="n">
        <v>374.891707</v>
      </c>
      <c r="O312" t="n">
        <v>228.730494</v>
      </c>
      <c r="P312" t="n">
        <v>73.767325</v>
      </c>
      <c r="Q312" t="n">
        <v>374.891707</v>
      </c>
      <c r="R312" t="n">
        <v>374.891707</v>
      </c>
      <c r="S312" t="n">
        <v>228.730494</v>
      </c>
      <c r="T312" t="n">
        <v>228.730494</v>
      </c>
      <c r="U312" t="n">
        <v>73.767325</v>
      </c>
      <c r="V312" t="n">
        <v>73.767325</v>
      </c>
      <c r="W312" t="n">
        <v>231.104367</v>
      </c>
      <c r="X312" t="n">
        <v>381.526081</v>
      </c>
    </row>
    <row r="313">
      <c r="A313" t="inlineStr">
        <is>
          <t>Katsuwonus pelamis</t>
        </is>
      </c>
      <c r="D313" t="inlineStr">
        <is>
          <t>Unresolved</t>
        </is>
      </c>
    </row>
    <row r="314">
      <c r="A314" t="inlineStr">
        <is>
          <t>Argyrosomus regius</t>
        </is>
      </c>
      <c r="B314" t="n">
        <v>4.29</v>
      </c>
      <c r="C314" t="n">
        <v>1949.8446</v>
      </c>
      <c r="D314" t="inlineStr">
        <is>
          <t>Large Dem. fish</t>
        </is>
      </c>
      <c r="H314" t="n">
        <v>257.213239</v>
      </c>
      <c r="I314" t="n">
        <v>242.020787</v>
      </c>
      <c r="J314" t="n">
        <v>251.673548</v>
      </c>
      <c r="K314" t="n">
        <v>236.573135</v>
      </c>
      <c r="L314" t="n">
        <v>461.958282</v>
      </c>
      <c r="M314" t="n">
        <v>374.891707</v>
      </c>
      <c r="N314" t="n">
        <v>374.891707</v>
      </c>
      <c r="O314" t="n">
        <v>228.730494</v>
      </c>
      <c r="P314" t="n">
        <v>73.767325</v>
      </c>
      <c r="Q314" t="n">
        <v>374.891707</v>
      </c>
      <c r="R314" t="n">
        <v>374.891707</v>
      </c>
      <c r="S314" t="n">
        <v>228.730494</v>
      </c>
      <c r="T314" t="n">
        <v>228.730494</v>
      </c>
      <c r="U314" t="n">
        <v>73.767325</v>
      </c>
      <c r="V314" t="n">
        <v>73.767325</v>
      </c>
      <c r="W314" t="n">
        <v>231.104367</v>
      </c>
      <c r="X314" t="n">
        <v>381.526081</v>
      </c>
    </row>
    <row r="315">
      <c r="A315" t="inlineStr">
        <is>
          <t>Etmopterus</t>
        </is>
      </c>
      <c r="D315" t="inlineStr">
        <is>
          <t>Sharks &amp; rays</t>
        </is>
      </c>
      <c r="H315" t="n">
        <v>233.624758</v>
      </c>
      <c r="I315" t="n">
        <v>492.26657</v>
      </c>
      <c r="J315" t="n">
        <v>510.78557</v>
      </c>
      <c r="K315" t="n">
        <v>219.637795</v>
      </c>
      <c r="L315" t="n">
        <v>1275.246638</v>
      </c>
      <c r="M315" t="n">
        <v>948.706608</v>
      </c>
      <c r="N315" t="n">
        <v>948.706608</v>
      </c>
      <c r="O315" t="n">
        <v>213.713009</v>
      </c>
      <c r="P315" t="n">
        <v>67.906436</v>
      </c>
      <c r="Q315" t="n">
        <v>948.706608</v>
      </c>
      <c r="R315" t="n">
        <v>948.706608</v>
      </c>
      <c r="S315" t="n">
        <v>213.713009</v>
      </c>
      <c r="T315" t="n">
        <v>213.713009</v>
      </c>
      <c r="U315" t="n">
        <v>67.906436</v>
      </c>
      <c r="V315" t="n">
        <v>67.906436</v>
      </c>
      <c r="W315" t="n">
        <v>220.688261</v>
      </c>
      <c r="X315" t="n">
        <v>981.457341</v>
      </c>
    </row>
    <row r="316">
      <c r="A316" t="inlineStr">
        <is>
          <t>Pagellus erythrinus</t>
        </is>
      </c>
      <c r="B316" t="n">
        <v>3.48</v>
      </c>
      <c r="C316" t="n">
        <v>301.995172</v>
      </c>
      <c r="D316" t="inlineStr">
        <is>
          <t>Large Dem. fish</t>
        </is>
      </c>
      <c r="H316" t="n">
        <v>257.213239</v>
      </c>
      <c r="I316" t="n">
        <v>242.020787</v>
      </c>
      <c r="J316" t="n">
        <v>251.673548</v>
      </c>
      <c r="K316" t="n">
        <v>236.573135</v>
      </c>
      <c r="L316" t="n">
        <v>461.958282</v>
      </c>
      <c r="M316" t="n">
        <v>374.891707</v>
      </c>
      <c r="N316" t="n">
        <v>374.891707</v>
      </c>
      <c r="O316" t="n">
        <v>228.730494</v>
      </c>
      <c r="P316" t="n">
        <v>73.767325</v>
      </c>
      <c r="Q316" t="n">
        <v>374.891707</v>
      </c>
      <c r="R316" t="n">
        <v>374.891707</v>
      </c>
      <c r="S316" t="n">
        <v>228.730494</v>
      </c>
      <c r="T316" t="n">
        <v>228.730494</v>
      </c>
      <c r="U316" t="n">
        <v>73.767325</v>
      </c>
      <c r="V316" t="n">
        <v>73.767325</v>
      </c>
      <c r="W316" t="n">
        <v>231.104367</v>
      </c>
      <c r="X316" t="n">
        <v>381.526081</v>
      </c>
    </row>
    <row r="317">
      <c r="A317" t="inlineStr">
        <is>
          <t>Leuciscus idus</t>
        </is>
      </c>
      <c r="B317" t="n">
        <v>3.79</v>
      </c>
      <c r="C317" t="n">
        <v>616.595002</v>
      </c>
      <c r="D317" t="inlineStr">
        <is>
          <t>Unresolved</t>
        </is>
      </c>
    </row>
    <row r="318">
      <c r="A318" t="inlineStr">
        <is>
          <t>Mimachlamys varia</t>
        </is>
      </c>
      <c r="B318" t="n">
        <v>2.1</v>
      </c>
      <c r="C318" t="n">
        <v>12.589254</v>
      </c>
      <c r="D318" t="inlineStr">
        <is>
          <t>Epifauna</t>
        </is>
      </c>
      <c r="H318" t="n">
        <v>8.395077000000001</v>
      </c>
      <c r="I318" t="n">
        <v>5.225253</v>
      </c>
      <c r="J318" t="n">
        <v>5.225253</v>
      </c>
      <c r="K318" t="n">
        <v>4.598222</v>
      </c>
      <c r="L318" t="n">
        <v>10.950321</v>
      </c>
      <c r="M318" t="n">
        <v>5.811987</v>
      </c>
      <c r="N318" t="n">
        <v>5.811987</v>
      </c>
      <c r="O318" t="n">
        <v>4.520226</v>
      </c>
      <c r="P318" t="n">
        <v>2.746443</v>
      </c>
      <c r="Q318" t="n">
        <v>5.811987</v>
      </c>
      <c r="R318" t="n">
        <v>5.811987</v>
      </c>
      <c r="S318" t="n">
        <v>4.520226</v>
      </c>
      <c r="T318" t="n">
        <v>4.520226</v>
      </c>
      <c r="U318" t="n">
        <v>2.746443</v>
      </c>
      <c r="V318" t="n">
        <v>2.746443</v>
      </c>
      <c r="W318" t="n">
        <v>4.485747</v>
      </c>
      <c r="X318" t="n">
        <v>5.703863</v>
      </c>
    </row>
    <row r="319">
      <c r="A319" t="inlineStr">
        <is>
          <t>Deania calceus</t>
        </is>
      </c>
      <c r="D319" t="inlineStr">
        <is>
          <t>Sharks &amp; rays</t>
        </is>
      </c>
      <c r="H319" t="n">
        <v>233.624758</v>
      </c>
      <c r="I319" t="n">
        <v>492.26657</v>
      </c>
      <c r="J319" t="n">
        <v>510.78557</v>
      </c>
      <c r="K319" t="n">
        <v>219.637795</v>
      </c>
      <c r="L319" t="n">
        <v>1275.246638</v>
      </c>
      <c r="M319" t="n">
        <v>948.706608</v>
      </c>
      <c r="N319" t="n">
        <v>948.706608</v>
      </c>
      <c r="O319" t="n">
        <v>213.713009</v>
      </c>
      <c r="P319" t="n">
        <v>67.906436</v>
      </c>
      <c r="Q319" t="n">
        <v>948.706608</v>
      </c>
      <c r="R319" t="n">
        <v>948.706608</v>
      </c>
      <c r="S319" t="n">
        <v>213.713009</v>
      </c>
      <c r="T319" t="n">
        <v>213.713009</v>
      </c>
      <c r="U319" t="n">
        <v>67.906436</v>
      </c>
      <c r="V319" t="n">
        <v>67.906436</v>
      </c>
      <c r="W319" t="n">
        <v>220.688261</v>
      </c>
      <c r="X319" t="n">
        <v>981.457341</v>
      </c>
    </row>
    <row r="320">
      <c r="A320" t="inlineStr">
        <is>
          <t>Auxis rochei</t>
        </is>
      </c>
      <c r="B320" t="n">
        <v>4.13</v>
      </c>
      <c r="C320" t="n">
        <v>1348.962883</v>
      </c>
      <c r="D320" t="inlineStr">
        <is>
          <t>Unresolved</t>
        </is>
      </c>
    </row>
    <row r="321">
      <c r="A321" t="inlineStr">
        <is>
          <t>Trichiuridae</t>
        </is>
      </c>
      <c r="B321" t="n">
        <v>4.15</v>
      </c>
      <c r="C321" t="n">
        <v>1412.537545</v>
      </c>
      <c r="D321" t="inlineStr">
        <is>
          <t>Unresolved</t>
        </is>
      </c>
    </row>
    <row r="322">
      <c r="A322" t="inlineStr">
        <is>
          <t>Veneridae</t>
        </is>
      </c>
      <c r="B322" t="n">
        <v>2</v>
      </c>
      <c r="C322" t="n">
        <v>10</v>
      </c>
      <c r="D322" t="inlineStr">
        <is>
          <t>Infauna</t>
        </is>
      </c>
      <c r="H322" t="n">
        <v>1.695379</v>
      </c>
      <c r="I322" t="n">
        <v>1.315556</v>
      </c>
      <c r="J322" t="n">
        <v>1.315556</v>
      </c>
      <c r="K322" t="n">
        <v>1.184</v>
      </c>
      <c r="L322" t="n">
        <v>3.864936</v>
      </c>
      <c r="M322" t="n">
        <v>1.321429</v>
      </c>
      <c r="N322" t="n">
        <v>1.321429</v>
      </c>
      <c r="O322" t="n">
        <v>1.188755</v>
      </c>
      <c r="P322" t="n">
        <v>0.950241</v>
      </c>
      <c r="Q322" t="n">
        <v>1.321429</v>
      </c>
      <c r="R322" t="n">
        <v>1.321429</v>
      </c>
      <c r="S322" t="n">
        <v>1.188755</v>
      </c>
      <c r="T322" t="n">
        <v>1.188755</v>
      </c>
      <c r="U322" t="n">
        <v>0.950241</v>
      </c>
      <c r="V322" t="n">
        <v>0.950241</v>
      </c>
      <c r="W322" t="n">
        <v>1.170683</v>
      </c>
      <c r="X322" t="n">
        <v>1.343305</v>
      </c>
    </row>
    <row r="323">
      <c r="A323" t="inlineStr">
        <is>
          <t>Rhinochimaera atlantica</t>
        </is>
      </c>
      <c r="D323" t="inlineStr">
        <is>
          <t>Unresolved</t>
        </is>
      </c>
    </row>
    <row r="324">
      <c r="A324" t="inlineStr">
        <is>
          <t>Centrolophus niger</t>
        </is>
      </c>
      <c r="B324" t="n">
        <v>3.92</v>
      </c>
      <c r="C324" t="n">
        <v>831.763771</v>
      </c>
      <c r="D324" t="inlineStr">
        <is>
          <t>Unresolved</t>
        </is>
      </c>
    </row>
    <row r="325">
      <c r="A325" t="inlineStr">
        <is>
          <t>Alopias vulpinus</t>
        </is>
      </c>
      <c r="B325" t="n">
        <v>4.5</v>
      </c>
      <c r="C325" t="n">
        <v>3162.27766</v>
      </c>
      <c r="D325" t="inlineStr">
        <is>
          <t>Sharks &amp; rays</t>
        </is>
      </c>
      <c r="H325" t="n">
        <v>233.624758</v>
      </c>
      <c r="I325" t="n">
        <v>492.26657</v>
      </c>
      <c r="J325" t="n">
        <v>510.78557</v>
      </c>
      <c r="K325" t="n">
        <v>219.637795</v>
      </c>
      <c r="L325" t="n">
        <v>1275.246638</v>
      </c>
      <c r="M325" t="n">
        <v>948.706608</v>
      </c>
      <c r="N325" t="n">
        <v>948.706608</v>
      </c>
      <c r="O325" t="n">
        <v>213.713009</v>
      </c>
      <c r="P325" t="n">
        <v>67.906436</v>
      </c>
      <c r="Q325" t="n">
        <v>948.706608</v>
      </c>
      <c r="R325" t="n">
        <v>948.706608</v>
      </c>
      <c r="S325" t="n">
        <v>213.713009</v>
      </c>
      <c r="T325" t="n">
        <v>213.713009</v>
      </c>
      <c r="U325" t="n">
        <v>67.906436</v>
      </c>
      <c r="V325" t="n">
        <v>67.906436</v>
      </c>
      <c r="W325" t="n">
        <v>220.688261</v>
      </c>
      <c r="X325" t="n">
        <v>981.457341</v>
      </c>
    </row>
    <row r="326">
      <c r="A326" t="inlineStr">
        <is>
          <t>Venerupis corrugata</t>
        </is>
      </c>
      <c r="B326" t="n">
        <v>2.1</v>
      </c>
      <c r="C326" t="n">
        <v>12.589254</v>
      </c>
      <c r="D326" t="inlineStr">
        <is>
          <t>Infauna</t>
        </is>
      </c>
      <c r="H326" t="n">
        <v>1.695379</v>
      </c>
      <c r="I326" t="n">
        <v>1.315556</v>
      </c>
      <c r="J326" t="n">
        <v>1.315556</v>
      </c>
      <c r="K326" t="n">
        <v>1.184</v>
      </c>
      <c r="L326" t="n">
        <v>3.864936</v>
      </c>
      <c r="M326" t="n">
        <v>1.321429</v>
      </c>
      <c r="N326" t="n">
        <v>1.321429</v>
      </c>
      <c r="O326" t="n">
        <v>1.188755</v>
      </c>
      <c r="P326" t="n">
        <v>0.950241</v>
      </c>
      <c r="Q326" t="n">
        <v>1.321429</v>
      </c>
      <c r="R326" t="n">
        <v>1.321429</v>
      </c>
      <c r="S326" t="n">
        <v>1.188755</v>
      </c>
      <c r="T326" t="n">
        <v>1.188755</v>
      </c>
      <c r="U326" t="n">
        <v>0.950241</v>
      </c>
      <c r="V326" t="n">
        <v>0.950241</v>
      </c>
      <c r="W326" t="n">
        <v>1.170683</v>
      </c>
      <c r="X326" t="n">
        <v>1.343305</v>
      </c>
    </row>
    <row r="327">
      <c r="A327" t="inlineStr">
        <is>
          <t>Dentex</t>
        </is>
      </c>
      <c r="B327" t="n">
        <v>3.96</v>
      </c>
      <c r="C327" t="n">
        <v>912.010839</v>
      </c>
      <c r="D327" t="inlineStr">
        <is>
          <t>Large Dem. fish</t>
        </is>
      </c>
      <c r="H327" t="n">
        <v>257.213239</v>
      </c>
      <c r="I327" t="n">
        <v>242.020787</v>
      </c>
      <c r="J327" t="n">
        <v>251.673548</v>
      </c>
      <c r="K327" t="n">
        <v>236.573135</v>
      </c>
      <c r="L327" t="n">
        <v>461.958282</v>
      </c>
      <c r="M327" t="n">
        <v>374.891707</v>
      </c>
      <c r="N327" t="n">
        <v>374.891707</v>
      </c>
      <c r="O327" t="n">
        <v>228.730494</v>
      </c>
      <c r="P327" t="n">
        <v>73.767325</v>
      </c>
      <c r="Q327" t="n">
        <v>374.891707</v>
      </c>
      <c r="R327" t="n">
        <v>374.891707</v>
      </c>
      <c r="S327" t="n">
        <v>228.730494</v>
      </c>
      <c r="T327" t="n">
        <v>228.730494</v>
      </c>
      <c r="U327" t="n">
        <v>73.767325</v>
      </c>
      <c r="V327" t="n">
        <v>73.767325</v>
      </c>
      <c r="W327" t="n">
        <v>231.104367</v>
      </c>
      <c r="X327" t="n">
        <v>381.526081</v>
      </c>
    </row>
    <row r="328">
      <c r="A328" t="inlineStr">
        <is>
          <t>Arctica islandica</t>
        </is>
      </c>
      <c r="D328" t="inlineStr">
        <is>
          <t>Infauna</t>
        </is>
      </c>
      <c r="H328" t="n">
        <v>1.695379</v>
      </c>
      <c r="I328" t="n">
        <v>1.315556</v>
      </c>
      <c r="J328" t="n">
        <v>1.315556</v>
      </c>
      <c r="K328" t="n">
        <v>1.184</v>
      </c>
      <c r="L328" t="n">
        <v>3.864936</v>
      </c>
      <c r="M328" t="n">
        <v>1.321429</v>
      </c>
      <c r="N328" t="n">
        <v>1.321429</v>
      </c>
      <c r="O328" t="n">
        <v>1.188755</v>
      </c>
      <c r="P328" t="n">
        <v>0.950241</v>
      </c>
      <c r="Q328" t="n">
        <v>1.321429</v>
      </c>
      <c r="R328" t="n">
        <v>1.321429</v>
      </c>
      <c r="S328" t="n">
        <v>1.188755</v>
      </c>
      <c r="T328" t="n">
        <v>1.188755</v>
      </c>
      <c r="U328" t="n">
        <v>0.950241</v>
      </c>
      <c r="V328" t="n">
        <v>0.950241</v>
      </c>
      <c r="W328" t="n">
        <v>1.170683</v>
      </c>
      <c r="X328" t="n">
        <v>1.343305</v>
      </c>
    </row>
    <row r="329">
      <c r="A329" t="inlineStr">
        <is>
          <t>Molva macrophthalma</t>
        </is>
      </c>
      <c r="B329" t="n">
        <v>4.5</v>
      </c>
      <c r="C329" t="n">
        <v>3162.27766</v>
      </c>
      <c r="D329" t="inlineStr">
        <is>
          <t>Ling</t>
        </is>
      </c>
      <c r="H329" t="n">
        <v>671.869338</v>
      </c>
      <c r="I329" t="n">
        <v>262.915833</v>
      </c>
      <c r="J329" t="n">
        <v>272.883721</v>
      </c>
      <c r="K329" t="n">
        <v>256.510697</v>
      </c>
      <c r="L329" t="n">
        <v>491.495581</v>
      </c>
      <c r="M329" t="n">
        <v>376.80735</v>
      </c>
      <c r="N329" t="n">
        <v>376.80735</v>
      </c>
      <c r="O329" t="n">
        <v>212.716202</v>
      </c>
      <c r="P329" t="n">
        <v>60.875963</v>
      </c>
      <c r="Q329" t="n">
        <v>376.80735</v>
      </c>
      <c r="R329" t="n">
        <v>376.80735</v>
      </c>
      <c r="S329" t="n">
        <v>212.716202</v>
      </c>
      <c r="T329" t="n">
        <v>212.716202</v>
      </c>
      <c r="U329" t="n">
        <v>60.875963</v>
      </c>
      <c r="V329" t="n">
        <v>60.875963</v>
      </c>
      <c r="W329" t="n">
        <v>216.736367</v>
      </c>
      <c r="X329" t="n">
        <v>419.755062</v>
      </c>
    </row>
    <row r="330">
      <c r="A330" t="inlineStr">
        <is>
          <t>Squatina squatina</t>
        </is>
      </c>
      <c r="B330" t="n">
        <v>4.05</v>
      </c>
      <c r="C330" t="n">
        <v>1122.018454</v>
      </c>
      <c r="D330" t="inlineStr">
        <is>
          <t>Sharks &amp; rays</t>
        </is>
      </c>
      <c r="H330" t="n">
        <v>233.624758</v>
      </c>
      <c r="I330" t="n">
        <v>492.26657</v>
      </c>
      <c r="J330" t="n">
        <v>510.78557</v>
      </c>
      <c r="K330" t="n">
        <v>219.637795</v>
      </c>
      <c r="L330" t="n">
        <v>1275.246638</v>
      </c>
      <c r="M330" t="n">
        <v>948.706608</v>
      </c>
      <c r="N330" t="n">
        <v>948.706608</v>
      </c>
      <c r="O330" t="n">
        <v>213.713009</v>
      </c>
      <c r="P330" t="n">
        <v>67.906436</v>
      </c>
      <c r="Q330" t="n">
        <v>948.706608</v>
      </c>
      <c r="R330" t="n">
        <v>948.706608</v>
      </c>
      <c r="S330" t="n">
        <v>213.713009</v>
      </c>
      <c r="T330" t="n">
        <v>213.713009</v>
      </c>
      <c r="U330" t="n">
        <v>67.906436</v>
      </c>
      <c r="V330" t="n">
        <v>67.906436</v>
      </c>
      <c r="W330" t="n">
        <v>220.688261</v>
      </c>
      <c r="X330" t="n">
        <v>981.457341</v>
      </c>
    </row>
    <row r="331">
      <c r="A331" t="inlineStr">
        <is>
          <t>Gaidropsarus</t>
        </is>
      </c>
      <c r="B331" t="n">
        <v>3.4</v>
      </c>
      <c r="C331" t="n">
        <v>251.188643</v>
      </c>
      <c r="D331" t="inlineStr">
        <is>
          <t>Large Dem. fish</t>
        </is>
      </c>
      <c r="H331" t="n">
        <v>257.213239</v>
      </c>
      <c r="I331" t="n">
        <v>242.020787</v>
      </c>
      <c r="J331" t="n">
        <v>251.673548</v>
      </c>
      <c r="K331" t="n">
        <v>236.573135</v>
      </c>
      <c r="L331" t="n">
        <v>461.958282</v>
      </c>
      <c r="M331" t="n">
        <v>374.891707</v>
      </c>
      <c r="N331" t="n">
        <v>374.891707</v>
      </c>
      <c r="O331" t="n">
        <v>228.730494</v>
      </c>
      <c r="P331" t="n">
        <v>73.767325</v>
      </c>
      <c r="Q331" t="n">
        <v>374.891707</v>
      </c>
      <c r="R331" t="n">
        <v>374.891707</v>
      </c>
      <c r="S331" t="n">
        <v>228.730494</v>
      </c>
      <c r="T331" t="n">
        <v>228.730494</v>
      </c>
      <c r="U331" t="n">
        <v>73.767325</v>
      </c>
      <c r="V331" t="n">
        <v>73.767325</v>
      </c>
      <c r="W331" t="n">
        <v>231.104367</v>
      </c>
      <c r="X331" t="n">
        <v>381.526081</v>
      </c>
    </row>
    <row r="332">
      <c r="A332" t="inlineStr">
        <is>
          <t>Liocarcinus depurator</t>
        </is>
      </c>
      <c r="B332" t="n">
        <v>2.6</v>
      </c>
      <c r="C332" t="n">
        <v>39.810717</v>
      </c>
      <c r="D332" t="inlineStr">
        <is>
          <t>Crustacea</t>
        </is>
      </c>
      <c r="H332" t="n">
        <v>24.212502</v>
      </c>
      <c r="I332" t="n">
        <v>19.703615</v>
      </c>
      <c r="J332" t="n">
        <v>19.736166</v>
      </c>
      <c r="K332" t="n">
        <v>15.986295</v>
      </c>
      <c r="L332" t="n">
        <v>47.671907</v>
      </c>
      <c r="M332" t="n">
        <v>28.050267</v>
      </c>
      <c r="N332" t="n">
        <v>28.050267</v>
      </c>
      <c r="O332" t="n">
        <v>17.385749</v>
      </c>
      <c r="P332" t="n">
        <v>8.183744000000001</v>
      </c>
      <c r="Q332" t="n">
        <v>28.050267</v>
      </c>
      <c r="R332" t="n">
        <v>28.050267</v>
      </c>
      <c r="S332" t="n">
        <v>17.385749</v>
      </c>
      <c r="T332" t="n">
        <v>17.385749</v>
      </c>
      <c r="U332" t="n">
        <v>8.183744000000001</v>
      </c>
      <c r="V332" t="n">
        <v>8.183744000000001</v>
      </c>
      <c r="W332" t="n">
        <v>17.597621</v>
      </c>
      <c r="X332" t="n">
        <v>27.987895</v>
      </c>
    </row>
    <row r="333">
      <c r="A333" t="inlineStr">
        <is>
          <t>Hypophthalmichthys nobilis</t>
        </is>
      </c>
      <c r="D333" t="inlineStr">
        <is>
          <t>Unresolved</t>
        </is>
      </c>
    </row>
    <row r="334">
      <c r="A334" t="inlineStr">
        <is>
          <t>Somniosus microcephalus</t>
        </is>
      </c>
      <c r="D334" t="inlineStr">
        <is>
          <t>Sharks &amp; rays</t>
        </is>
      </c>
      <c r="H334" t="n">
        <v>233.624758</v>
      </c>
      <c r="I334" t="n">
        <v>492.26657</v>
      </c>
      <c r="J334" t="n">
        <v>510.78557</v>
      </c>
      <c r="K334" t="n">
        <v>219.637795</v>
      </c>
      <c r="L334" t="n">
        <v>1275.246638</v>
      </c>
      <c r="M334" t="n">
        <v>948.706608</v>
      </c>
      <c r="N334" t="n">
        <v>948.706608</v>
      </c>
      <c r="O334" t="n">
        <v>213.713009</v>
      </c>
      <c r="P334" t="n">
        <v>67.906436</v>
      </c>
      <c r="Q334" t="n">
        <v>948.706608</v>
      </c>
      <c r="R334" t="n">
        <v>948.706608</v>
      </c>
      <c r="S334" t="n">
        <v>213.713009</v>
      </c>
      <c r="T334" t="n">
        <v>213.713009</v>
      </c>
      <c r="U334" t="n">
        <v>67.906436</v>
      </c>
      <c r="V334" t="n">
        <v>67.906436</v>
      </c>
      <c r="W334" t="n">
        <v>220.688261</v>
      </c>
      <c r="X334" t="n">
        <v>981.457341</v>
      </c>
    </row>
    <row r="335">
      <c r="A335" t="inlineStr">
        <is>
          <t>Venus verrucosa</t>
        </is>
      </c>
      <c r="B335" t="n">
        <v>2</v>
      </c>
      <c r="C335" t="n">
        <v>10</v>
      </c>
      <c r="D335" t="inlineStr">
        <is>
          <t>Infauna</t>
        </is>
      </c>
      <c r="H335" t="n">
        <v>1.695379</v>
      </c>
      <c r="I335" t="n">
        <v>1.315556</v>
      </c>
      <c r="J335" t="n">
        <v>1.315556</v>
      </c>
      <c r="K335" t="n">
        <v>1.184</v>
      </c>
      <c r="L335" t="n">
        <v>3.864936</v>
      </c>
      <c r="M335" t="n">
        <v>1.321429</v>
      </c>
      <c r="N335" t="n">
        <v>1.321429</v>
      </c>
      <c r="O335" t="n">
        <v>1.188755</v>
      </c>
      <c r="P335" t="n">
        <v>0.950241</v>
      </c>
      <c r="Q335" t="n">
        <v>1.321429</v>
      </c>
      <c r="R335" t="n">
        <v>1.321429</v>
      </c>
      <c r="S335" t="n">
        <v>1.188755</v>
      </c>
      <c r="T335" t="n">
        <v>1.188755</v>
      </c>
      <c r="U335" t="n">
        <v>0.950241</v>
      </c>
      <c r="V335" t="n">
        <v>0.950241</v>
      </c>
      <c r="W335" t="n">
        <v>1.170683</v>
      </c>
      <c r="X335" t="n">
        <v>1.343305</v>
      </c>
    </row>
    <row r="336">
      <c r="A336" t="inlineStr">
        <is>
          <t>Scorpaena scrofa</t>
        </is>
      </c>
      <c r="B336" t="n">
        <v>4.25</v>
      </c>
      <c r="C336" t="n">
        <v>1778.27941</v>
      </c>
      <c r="D336" t="inlineStr">
        <is>
          <t>Large Dem. fish</t>
        </is>
      </c>
      <c r="H336" t="n">
        <v>257.213239</v>
      </c>
      <c r="I336" t="n">
        <v>242.020787</v>
      </c>
      <c r="J336" t="n">
        <v>251.673548</v>
      </c>
      <c r="K336" t="n">
        <v>236.573135</v>
      </c>
      <c r="L336" t="n">
        <v>461.958282</v>
      </c>
      <c r="M336" t="n">
        <v>374.891707</v>
      </c>
      <c r="N336" t="n">
        <v>374.891707</v>
      </c>
      <c r="O336" t="n">
        <v>228.730494</v>
      </c>
      <c r="P336" t="n">
        <v>73.767325</v>
      </c>
      <c r="Q336" t="n">
        <v>374.891707</v>
      </c>
      <c r="R336" t="n">
        <v>374.891707</v>
      </c>
      <c r="S336" t="n">
        <v>228.730494</v>
      </c>
      <c r="T336" t="n">
        <v>228.730494</v>
      </c>
      <c r="U336" t="n">
        <v>73.767325</v>
      </c>
      <c r="V336" t="n">
        <v>73.767325</v>
      </c>
      <c r="W336" t="n">
        <v>231.104367</v>
      </c>
      <c r="X336" t="n">
        <v>381.526081</v>
      </c>
    </row>
    <row r="337">
      <c r="A337" t="inlineStr">
        <is>
          <t>Ostrea</t>
        </is>
      </c>
      <c r="D337" t="inlineStr">
        <is>
          <t>Epifauna</t>
        </is>
      </c>
      <c r="H337" t="n">
        <v>8.395077000000001</v>
      </c>
      <c r="I337" t="n">
        <v>5.225253</v>
      </c>
      <c r="J337" t="n">
        <v>5.225253</v>
      </c>
      <c r="K337" t="n">
        <v>4.598222</v>
      </c>
      <c r="L337" t="n">
        <v>10.950321</v>
      </c>
      <c r="M337" t="n">
        <v>5.811987</v>
      </c>
      <c r="N337" t="n">
        <v>5.811987</v>
      </c>
      <c r="O337" t="n">
        <v>4.520226</v>
      </c>
      <c r="P337" t="n">
        <v>2.746443</v>
      </c>
      <c r="Q337" t="n">
        <v>5.811987</v>
      </c>
      <c r="R337" t="n">
        <v>5.811987</v>
      </c>
      <c r="S337" t="n">
        <v>4.520226</v>
      </c>
      <c r="T337" t="n">
        <v>4.520226</v>
      </c>
      <c r="U337" t="n">
        <v>2.746443</v>
      </c>
      <c r="V337" t="n">
        <v>2.746443</v>
      </c>
      <c r="W337" t="n">
        <v>4.485747</v>
      </c>
      <c r="X337" t="n">
        <v>5.703863</v>
      </c>
    </row>
    <row r="338">
      <c r="A338" t="inlineStr">
        <is>
          <t>Acanthocardia tuberculata</t>
        </is>
      </c>
      <c r="B338" t="n">
        <v>2.5</v>
      </c>
      <c r="C338" t="n">
        <v>31.622777</v>
      </c>
      <c r="D338" t="inlineStr">
        <is>
          <t>Epifauna</t>
        </is>
      </c>
      <c r="H338" t="n">
        <v>8.395077000000001</v>
      </c>
      <c r="I338" t="n">
        <v>5.225253</v>
      </c>
      <c r="J338" t="n">
        <v>5.225253</v>
      </c>
      <c r="K338" t="n">
        <v>4.598222</v>
      </c>
      <c r="L338" t="n">
        <v>10.950321</v>
      </c>
      <c r="M338" t="n">
        <v>5.811987</v>
      </c>
      <c r="N338" t="n">
        <v>5.811987</v>
      </c>
      <c r="O338" t="n">
        <v>4.520226</v>
      </c>
      <c r="P338" t="n">
        <v>2.746443</v>
      </c>
      <c r="Q338" t="n">
        <v>5.811987</v>
      </c>
      <c r="R338" t="n">
        <v>5.811987</v>
      </c>
      <c r="S338" t="n">
        <v>4.520226</v>
      </c>
      <c r="T338" t="n">
        <v>4.520226</v>
      </c>
      <c r="U338" t="n">
        <v>2.746443</v>
      </c>
      <c r="V338" t="n">
        <v>2.746443</v>
      </c>
      <c r="W338" t="n">
        <v>4.485747</v>
      </c>
      <c r="X338" t="n">
        <v>5.703863</v>
      </c>
    </row>
    <row r="339">
      <c r="A339" t="inlineStr">
        <is>
          <t>Galeus</t>
        </is>
      </c>
      <c r="B339" t="n">
        <v>4.04</v>
      </c>
      <c r="C339" t="n">
        <v>1096.478196</v>
      </c>
      <c r="D339" t="inlineStr">
        <is>
          <t>Sharks &amp; rays</t>
        </is>
      </c>
      <c r="H339" t="n">
        <v>233.624758</v>
      </c>
      <c r="I339" t="n">
        <v>492.26657</v>
      </c>
      <c r="J339" t="n">
        <v>510.78557</v>
      </c>
      <c r="K339" t="n">
        <v>219.637795</v>
      </c>
      <c r="L339" t="n">
        <v>1275.246638</v>
      </c>
      <c r="M339" t="n">
        <v>948.706608</v>
      </c>
      <c r="N339" t="n">
        <v>948.706608</v>
      </c>
      <c r="O339" t="n">
        <v>213.713009</v>
      </c>
      <c r="P339" t="n">
        <v>67.906436</v>
      </c>
      <c r="Q339" t="n">
        <v>948.706608</v>
      </c>
      <c r="R339" t="n">
        <v>948.706608</v>
      </c>
      <c r="S339" t="n">
        <v>213.713009</v>
      </c>
      <c r="T339" t="n">
        <v>213.713009</v>
      </c>
      <c r="U339" t="n">
        <v>67.906436</v>
      </c>
      <c r="V339" t="n">
        <v>67.906436</v>
      </c>
      <c r="W339" t="n">
        <v>220.688261</v>
      </c>
      <c r="X339" t="n">
        <v>981.457341</v>
      </c>
    </row>
    <row r="340">
      <c r="A340" t="inlineStr">
        <is>
          <t>Dendrobranchiata</t>
        </is>
      </c>
      <c r="B340" t="n">
        <v>3.24</v>
      </c>
      <c r="C340" t="n">
        <v>173.780083</v>
      </c>
      <c r="D340" t="inlineStr">
        <is>
          <t>Crustacea</t>
        </is>
      </c>
      <c r="H340" t="n">
        <v>24.212502</v>
      </c>
      <c r="I340" t="n">
        <v>19.703615</v>
      </c>
      <c r="J340" t="n">
        <v>19.736166</v>
      </c>
      <c r="K340" t="n">
        <v>15.986295</v>
      </c>
      <c r="L340" t="n">
        <v>47.671907</v>
      </c>
      <c r="M340" t="n">
        <v>28.050267</v>
      </c>
      <c r="N340" t="n">
        <v>28.050267</v>
      </c>
      <c r="O340" t="n">
        <v>17.385749</v>
      </c>
      <c r="P340" t="n">
        <v>8.183744000000001</v>
      </c>
      <c r="Q340" t="n">
        <v>28.050267</v>
      </c>
      <c r="R340" t="n">
        <v>28.050267</v>
      </c>
      <c r="S340" t="n">
        <v>17.385749</v>
      </c>
      <c r="T340" t="n">
        <v>17.385749</v>
      </c>
      <c r="U340" t="n">
        <v>8.183744000000001</v>
      </c>
      <c r="V340" t="n">
        <v>8.183744000000001</v>
      </c>
      <c r="W340" t="n">
        <v>17.597621</v>
      </c>
      <c r="X340" t="n">
        <v>27.987895</v>
      </c>
    </row>
    <row r="341">
      <c r="A341" t="inlineStr">
        <is>
          <t>Nephropidae</t>
        </is>
      </c>
      <c r="D341" t="inlineStr">
        <is>
          <t>Crustacea</t>
        </is>
      </c>
      <c r="H341" t="n">
        <v>24.212502</v>
      </c>
      <c r="I341" t="n">
        <v>19.703615</v>
      </c>
      <c r="J341" t="n">
        <v>19.736166</v>
      </c>
      <c r="K341" t="n">
        <v>15.986295</v>
      </c>
      <c r="L341" t="n">
        <v>47.671907</v>
      </c>
      <c r="M341" t="n">
        <v>28.050267</v>
      </c>
      <c r="N341" t="n">
        <v>28.050267</v>
      </c>
      <c r="O341" t="n">
        <v>17.385749</v>
      </c>
      <c r="P341" t="n">
        <v>8.183744000000001</v>
      </c>
      <c r="Q341" t="n">
        <v>28.050267</v>
      </c>
      <c r="R341" t="n">
        <v>28.050267</v>
      </c>
      <c r="S341" t="n">
        <v>17.385749</v>
      </c>
      <c r="T341" t="n">
        <v>17.385749</v>
      </c>
      <c r="U341" t="n">
        <v>8.183744000000001</v>
      </c>
      <c r="V341" t="n">
        <v>8.183744000000001</v>
      </c>
      <c r="W341" t="n">
        <v>17.597621</v>
      </c>
      <c r="X341" t="n">
        <v>27.987895</v>
      </c>
    </row>
    <row r="342">
      <c r="A342" t="inlineStr">
        <is>
          <t>Auxis</t>
        </is>
      </c>
      <c r="B342" t="n">
        <v>4.24</v>
      </c>
      <c r="C342" t="n">
        <v>1737.800829</v>
      </c>
      <c r="D342" t="inlineStr">
        <is>
          <t>Unresolved</t>
        </is>
      </c>
    </row>
    <row r="343">
      <c r="A343" t="inlineStr">
        <is>
          <t>Salvelinus</t>
        </is>
      </c>
      <c r="D343" t="inlineStr">
        <is>
          <t>Unresolved</t>
        </is>
      </c>
    </row>
    <row r="344">
      <c r="A344" t="inlineStr">
        <is>
          <t>Carcharhinidae</t>
        </is>
      </c>
      <c r="B344" t="n">
        <v>4.24</v>
      </c>
      <c r="C344" t="n">
        <v>1737.800829</v>
      </c>
      <c r="D344" t="inlineStr">
        <is>
          <t>Sharks &amp; rays</t>
        </is>
      </c>
      <c r="H344" t="n">
        <v>233.624758</v>
      </c>
      <c r="I344" t="n">
        <v>492.26657</v>
      </c>
      <c r="J344" t="n">
        <v>510.78557</v>
      </c>
      <c r="K344" t="n">
        <v>219.637795</v>
      </c>
      <c r="L344" t="n">
        <v>1275.246638</v>
      </c>
      <c r="M344" t="n">
        <v>948.706608</v>
      </c>
      <c r="N344" t="n">
        <v>948.706608</v>
      </c>
      <c r="O344" t="n">
        <v>213.713009</v>
      </c>
      <c r="P344" t="n">
        <v>67.906436</v>
      </c>
      <c r="Q344" t="n">
        <v>948.706608</v>
      </c>
      <c r="R344" t="n">
        <v>948.706608</v>
      </c>
      <c r="S344" t="n">
        <v>213.713009</v>
      </c>
      <c r="T344" t="n">
        <v>213.713009</v>
      </c>
      <c r="U344" t="n">
        <v>67.906436</v>
      </c>
      <c r="V344" t="n">
        <v>67.906436</v>
      </c>
      <c r="W344" t="n">
        <v>220.688261</v>
      </c>
      <c r="X344" t="n">
        <v>981.457341</v>
      </c>
    </row>
    <row r="345">
      <c r="A345" t="inlineStr">
        <is>
          <t>Lithodes maja</t>
        </is>
      </c>
      <c r="D345" t="inlineStr">
        <is>
          <t>Crustacea</t>
        </is>
      </c>
      <c r="H345" t="n">
        <v>24.212502</v>
      </c>
      <c r="I345" t="n">
        <v>19.703615</v>
      </c>
      <c r="J345" t="n">
        <v>19.736166</v>
      </c>
      <c r="K345" t="n">
        <v>15.986295</v>
      </c>
      <c r="L345" t="n">
        <v>47.671907</v>
      </c>
      <c r="M345" t="n">
        <v>28.050267</v>
      </c>
      <c r="N345" t="n">
        <v>28.050267</v>
      </c>
      <c r="O345" t="n">
        <v>17.385749</v>
      </c>
      <c r="P345" t="n">
        <v>8.183744000000001</v>
      </c>
      <c r="Q345" t="n">
        <v>28.050267</v>
      </c>
      <c r="R345" t="n">
        <v>28.050267</v>
      </c>
      <c r="S345" t="n">
        <v>17.385749</v>
      </c>
      <c r="T345" t="n">
        <v>17.385749</v>
      </c>
      <c r="U345" t="n">
        <v>8.183744000000001</v>
      </c>
      <c r="V345" t="n">
        <v>8.183744000000001</v>
      </c>
      <c r="W345" t="n">
        <v>17.597621</v>
      </c>
      <c r="X345" t="n">
        <v>27.987895</v>
      </c>
    </row>
    <row r="346">
      <c r="A346" t="inlineStr">
        <is>
          <t>Mactridae</t>
        </is>
      </c>
      <c r="D346" t="inlineStr">
        <is>
          <t>Infauna</t>
        </is>
      </c>
      <c r="H346" t="n">
        <v>1.695379</v>
      </c>
      <c r="I346" t="n">
        <v>1.315556</v>
      </c>
      <c r="J346" t="n">
        <v>1.315556</v>
      </c>
      <c r="K346" t="n">
        <v>1.184</v>
      </c>
      <c r="L346" t="n">
        <v>3.864936</v>
      </c>
      <c r="M346" t="n">
        <v>1.321429</v>
      </c>
      <c r="N346" t="n">
        <v>1.321429</v>
      </c>
      <c r="O346" t="n">
        <v>1.188755</v>
      </c>
      <c r="P346" t="n">
        <v>0.950241</v>
      </c>
      <c r="Q346" t="n">
        <v>1.321429</v>
      </c>
      <c r="R346" t="n">
        <v>1.321429</v>
      </c>
      <c r="S346" t="n">
        <v>1.188755</v>
      </c>
      <c r="T346" t="n">
        <v>1.188755</v>
      </c>
      <c r="U346" t="n">
        <v>0.950241</v>
      </c>
      <c r="V346" t="n">
        <v>0.950241</v>
      </c>
      <c r="W346" t="n">
        <v>1.170683</v>
      </c>
      <c r="X346" t="n">
        <v>1.343305</v>
      </c>
    </row>
    <row r="347">
      <c r="A347" t="inlineStr">
        <is>
          <t>Scomber</t>
        </is>
      </c>
      <c r="B347" t="n">
        <v>3.65</v>
      </c>
      <c r="C347" t="n">
        <v>446.683592</v>
      </c>
      <c r="D347" t="inlineStr">
        <is>
          <t>Large Pelagics</t>
        </is>
      </c>
      <c r="H347" t="n">
        <v>139.957891</v>
      </c>
      <c r="I347" t="n">
        <v>118.942542</v>
      </c>
      <c r="J347" t="n">
        <v>128.033231</v>
      </c>
      <c r="K347" t="n">
        <v>115.229908</v>
      </c>
      <c r="L347" t="n">
        <v>208.675232</v>
      </c>
      <c r="M347" t="n">
        <v>172.524137</v>
      </c>
      <c r="N347" t="n">
        <v>172.524137</v>
      </c>
      <c r="O347" t="n">
        <v>107.933606</v>
      </c>
      <c r="P347" t="n">
        <v>40.156364</v>
      </c>
      <c r="Q347" t="n">
        <v>172.524137</v>
      </c>
      <c r="R347" t="n">
        <v>172.524137</v>
      </c>
      <c r="S347" t="n">
        <v>107.933606</v>
      </c>
      <c r="T347" t="n">
        <v>107.933606</v>
      </c>
      <c r="U347" t="n">
        <v>40.156364</v>
      </c>
      <c r="V347" t="n">
        <v>40.156364</v>
      </c>
      <c r="W347" t="n">
        <v>107.778581</v>
      </c>
      <c r="X347" t="n">
        <v>174.242777</v>
      </c>
    </row>
    <row r="348">
      <c r="A348" t="inlineStr">
        <is>
          <t>Polititapes rhomboides</t>
        </is>
      </c>
      <c r="B348" t="n">
        <v>2</v>
      </c>
      <c r="C348" t="n">
        <v>10</v>
      </c>
      <c r="D348" t="inlineStr">
        <is>
          <t>Infauna</t>
        </is>
      </c>
      <c r="H348" t="n">
        <v>1.695379</v>
      </c>
      <c r="I348" t="n">
        <v>1.315556</v>
      </c>
      <c r="J348" t="n">
        <v>1.315556</v>
      </c>
      <c r="K348" t="n">
        <v>1.184</v>
      </c>
      <c r="L348" t="n">
        <v>3.864936</v>
      </c>
      <c r="M348" t="n">
        <v>1.321429</v>
      </c>
      <c r="N348" t="n">
        <v>1.321429</v>
      </c>
      <c r="O348" t="n">
        <v>1.188755</v>
      </c>
      <c r="P348" t="n">
        <v>0.950241</v>
      </c>
      <c r="Q348" t="n">
        <v>1.321429</v>
      </c>
      <c r="R348" t="n">
        <v>1.321429</v>
      </c>
      <c r="S348" t="n">
        <v>1.188755</v>
      </c>
      <c r="T348" t="n">
        <v>1.188755</v>
      </c>
      <c r="U348" t="n">
        <v>0.950241</v>
      </c>
      <c r="V348" t="n">
        <v>0.950241</v>
      </c>
      <c r="W348" t="n">
        <v>1.170683</v>
      </c>
      <c r="X348" t="n">
        <v>1.343305</v>
      </c>
    </row>
    <row r="349">
      <c r="A349" t="inlineStr">
        <is>
          <t>Acipenser sturio</t>
        </is>
      </c>
      <c r="B349" t="n">
        <v>3.51</v>
      </c>
      <c r="C349" t="n">
        <v>323.593657</v>
      </c>
      <c r="D349" t="inlineStr">
        <is>
          <t>Unresolved</t>
        </is>
      </c>
    </row>
    <row r="350">
      <c r="A350" t="inlineStr">
        <is>
          <t>Sebastes viviparus</t>
        </is>
      </c>
      <c r="D350" t="inlineStr">
        <is>
          <t>Large Dem. fish</t>
        </is>
      </c>
      <c r="H350" t="n">
        <v>257.213239</v>
      </c>
      <c r="I350" t="n">
        <v>242.020787</v>
      </c>
      <c r="J350" t="n">
        <v>251.673548</v>
      </c>
      <c r="K350" t="n">
        <v>236.573135</v>
      </c>
      <c r="L350" t="n">
        <v>461.958282</v>
      </c>
      <c r="M350" t="n">
        <v>374.891707</v>
      </c>
      <c r="N350" t="n">
        <v>374.891707</v>
      </c>
      <c r="O350" t="n">
        <v>228.730494</v>
      </c>
      <c r="P350" t="n">
        <v>73.767325</v>
      </c>
      <c r="Q350" t="n">
        <v>374.891707</v>
      </c>
      <c r="R350" t="n">
        <v>374.891707</v>
      </c>
      <c r="S350" t="n">
        <v>228.730494</v>
      </c>
      <c r="T350" t="n">
        <v>228.730494</v>
      </c>
      <c r="U350" t="n">
        <v>73.767325</v>
      </c>
      <c r="V350" t="n">
        <v>73.767325</v>
      </c>
      <c r="W350" t="n">
        <v>231.104367</v>
      </c>
      <c r="X350" t="n">
        <v>381.526081</v>
      </c>
    </row>
    <row r="351">
      <c r="A351" t="inlineStr">
        <is>
          <t>Scomberesocidae</t>
        </is>
      </c>
      <c r="B351" t="n">
        <v>4.01</v>
      </c>
      <c r="C351" t="n">
        <v>1023.292992</v>
      </c>
      <c r="D351" t="inlineStr">
        <is>
          <t>Large Pelagics</t>
        </is>
      </c>
      <c r="H351" t="n">
        <v>139.957891</v>
      </c>
      <c r="I351" t="n">
        <v>118.942542</v>
      </c>
      <c r="J351" t="n">
        <v>128.033231</v>
      </c>
      <c r="K351" t="n">
        <v>115.229908</v>
      </c>
      <c r="L351" t="n">
        <v>208.675232</v>
      </c>
      <c r="M351" t="n">
        <v>172.524137</v>
      </c>
      <c r="N351" t="n">
        <v>172.524137</v>
      </c>
      <c r="O351" t="n">
        <v>107.933606</v>
      </c>
      <c r="P351" t="n">
        <v>40.156364</v>
      </c>
      <c r="Q351" t="n">
        <v>172.524137</v>
      </c>
      <c r="R351" t="n">
        <v>172.524137</v>
      </c>
      <c r="S351" t="n">
        <v>107.933606</v>
      </c>
      <c r="T351" t="n">
        <v>107.933606</v>
      </c>
      <c r="U351" t="n">
        <v>40.156364</v>
      </c>
      <c r="V351" t="n">
        <v>40.156364</v>
      </c>
      <c r="W351" t="n">
        <v>107.778581</v>
      </c>
      <c r="X351" t="n">
        <v>174.242777</v>
      </c>
    </row>
    <row r="352">
      <c r="A352" t="inlineStr">
        <is>
          <t>Ensis ensis</t>
        </is>
      </c>
      <c r="B352" t="n">
        <v>2</v>
      </c>
      <c r="C352" t="n">
        <v>10</v>
      </c>
      <c r="D352" t="inlineStr">
        <is>
          <t>Infauna</t>
        </is>
      </c>
      <c r="H352" t="n">
        <v>1.695379</v>
      </c>
      <c r="I352" t="n">
        <v>1.315556</v>
      </c>
      <c r="J352" t="n">
        <v>1.315556</v>
      </c>
      <c r="K352" t="n">
        <v>1.184</v>
      </c>
      <c r="L352" t="n">
        <v>3.864936</v>
      </c>
      <c r="M352" t="n">
        <v>1.321429</v>
      </c>
      <c r="N352" t="n">
        <v>1.321429</v>
      </c>
      <c r="O352" t="n">
        <v>1.188755</v>
      </c>
      <c r="P352" t="n">
        <v>0.950241</v>
      </c>
      <c r="Q352" t="n">
        <v>1.321429</v>
      </c>
      <c r="R352" t="n">
        <v>1.321429</v>
      </c>
      <c r="S352" t="n">
        <v>1.188755</v>
      </c>
      <c r="T352" t="n">
        <v>1.188755</v>
      </c>
      <c r="U352" t="n">
        <v>0.950241</v>
      </c>
      <c r="V352" t="n">
        <v>0.950241</v>
      </c>
      <c r="W352" t="n">
        <v>1.170683</v>
      </c>
      <c r="X352" t="n">
        <v>1.343305</v>
      </c>
    </row>
    <row r="353">
      <c r="A353" t="inlineStr">
        <is>
          <t>Donax</t>
        </is>
      </c>
      <c r="B353" t="n">
        <v>2</v>
      </c>
      <c r="C353" t="n">
        <v>10</v>
      </c>
      <c r="D353" t="inlineStr">
        <is>
          <t>Infauna</t>
        </is>
      </c>
      <c r="H353" t="n">
        <v>1.695379</v>
      </c>
      <c r="I353" t="n">
        <v>1.315556</v>
      </c>
      <c r="J353" t="n">
        <v>1.315556</v>
      </c>
      <c r="K353" t="n">
        <v>1.184</v>
      </c>
      <c r="L353" t="n">
        <v>3.864936</v>
      </c>
      <c r="M353" t="n">
        <v>1.321429</v>
      </c>
      <c r="N353" t="n">
        <v>1.321429</v>
      </c>
      <c r="O353" t="n">
        <v>1.188755</v>
      </c>
      <c r="P353" t="n">
        <v>0.950241</v>
      </c>
      <c r="Q353" t="n">
        <v>1.321429</v>
      </c>
      <c r="R353" t="n">
        <v>1.321429</v>
      </c>
      <c r="S353" t="n">
        <v>1.188755</v>
      </c>
      <c r="T353" t="n">
        <v>1.188755</v>
      </c>
      <c r="U353" t="n">
        <v>0.950241</v>
      </c>
      <c r="V353" t="n">
        <v>0.950241</v>
      </c>
      <c r="W353" t="n">
        <v>1.170683</v>
      </c>
      <c r="X353" t="n">
        <v>1.343305</v>
      </c>
    </row>
    <row r="354">
      <c r="A354" t="inlineStr">
        <is>
          <t>Palinurus elephas</t>
        </is>
      </c>
      <c r="B354" t="n">
        <v>3.34</v>
      </c>
      <c r="C354" t="n">
        <v>218.776162</v>
      </c>
      <c r="D354" t="inlineStr">
        <is>
          <t>Crustacea</t>
        </is>
      </c>
      <c r="H354" t="n">
        <v>24.212502</v>
      </c>
      <c r="I354" t="n">
        <v>19.703615</v>
      </c>
      <c r="J354" t="n">
        <v>19.736166</v>
      </c>
      <c r="K354" t="n">
        <v>15.986295</v>
      </c>
      <c r="L354" t="n">
        <v>47.671907</v>
      </c>
      <c r="M354" t="n">
        <v>28.050267</v>
      </c>
      <c r="N354" t="n">
        <v>28.050267</v>
      </c>
      <c r="O354" t="n">
        <v>17.385749</v>
      </c>
      <c r="P354" t="n">
        <v>8.183744000000001</v>
      </c>
      <c r="Q354" t="n">
        <v>28.050267</v>
      </c>
      <c r="R354" t="n">
        <v>28.050267</v>
      </c>
      <c r="S354" t="n">
        <v>17.385749</v>
      </c>
      <c r="T354" t="n">
        <v>17.385749</v>
      </c>
      <c r="U354" t="n">
        <v>8.183744000000001</v>
      </c>
      <c r="V354" t="n">
        <v>8.183744000000001</v>
      </c>
      <c r="W354" t="n">
        <v>17.597621</v>
      </c>
      <c r="X354" t="n">
        <v>27.987895</v>
      </c>
    </row>
    <row r="355">
      <c r="A355" t="inlineStr">
        <is>
          <t>Callista chione</t>
        </is>
      </c>
      <c r="B355" t="n">
        <v>2</v>
      </c>
      <c r="C355" t="n">
        <v>10</v>
      </c>
      <c r="D355" t="inlineStr">
        <is>
          <t>Infauna</t>
        </is>
      </c>
      <c r="H355" t="n">
        <v>1.695379</v>
      </c>
      <c r="I355" t="n">
        <v>1.315556</v>
      </c>
      <c r="J355" t="n">
        <v>1.315556</v>
      </c>
      <c r="K355" t="n">
        <v>1.184</v>
      </c>
      <c r="L355" t="n">
        <v>3.864936</v>
      </c>
      <c r="M355" t="n">
        <v>1.321429</v>
      </c>
      <c r="N355" t="n">
        <v>1.321429</v>
      </c>
      <c r="O355" t="n">
        <v>1.188755</v>
      </c>
      <c r="P355" t="n">
        <v>0.950241</v>
      </c>
      <c r="Q355" t="n">
        <v>1.321429</v>
      </c>
      <c r="R355" t="n">
        <v>1.321429</v>
      </c>
      <c r="S355" t="n">
        <v>1.188755</v>
      </c>
      <c r="T355" t="n">
        <v>1.188755</v>
      </c>
      <c r="U355" t="n">
        <v>0.950241</v>
      </c>
      <c r="V355" t="n">
        <v>0.950241</v>
      </c>
      <c r="W355" t="n">
        <v>1.170683</v>
      </c>
      <c r="X355" t="n">
        <v>1.343305</v>
      </c>
    </row>
    <row r="356">
      <c r="A356" t="inlineStr">
        <is>
          <t>Ommastrephidae</t>
        </is>
      </c>
      <c r="B356" t="n">
        <v>4.09</v>
      </c>
      <c r="C356" t="n">
        <v>1230.268771</v>
      </c>
      <c r="D356" t="inlineStr">
        <is>
          <t>Squid &amp; Octopus</t>
        </is>
      </c>
      <c r="H356" t="n">
        <v>62.376626</v>
      </c>
      <c r="I356" t="n">
        <v>51.428785</v>
      </c>
      <c r="J356" t="n">
        <v>51.639947</v>
      </c>
      <c r="K356" t="n">
        <v>49.05795</v>
      </c>
      <c r="L356" t="n">
        <v>94.097724</v>
      </c>
      <c r="M356" t="n">
        <v>69.667844</v>
      </c>
      <c r="N356" t="n">
        <v>69.667844</v>
      </c>
      <c r="O356" t="n">
        <v>47.704772</v>
      </c>
      <c r="P356" t="n">
        <v>19.528933</v>
      </c>
      <c r="Q356" t="n">
        <v>69.667844</v>
      </c>
      <c r="R356" t="n">
        <v>69.667844</v>
      </c>
      <c r="S356" t="n">
        <v>47.704772</v>
      </c>
      <c r="T356" t="n">
        <v>47.704772</v>
      </c>
      <c r="U356" t="n">
        <v>19.528933</v>
      </c>
      <c r="V356" t="n">
        <v>19.528933</v>
      </c>
      <c r="W356" t="n">
        <v>48.333282</v>
      </c>
      <c r="X356" t="n">
        <v>72.484779</v>
      </c>
    </row>
    <row r="357">
      <c r="A357" t="inlineStr">
        <is>
          <t>Palaemon longirostris</t>
        </is>
      </c>
      <c r="B357" t="n">
        <v>2.6</v>
      </c>
      <c r="C357" t="n">
        <v>39.810717</v>
      </c>
      <c r="D357" t="inlineStr">
        <is>
          <t>Crustacea</t>
        </is>
      </c>
      <c r="H357" t="n">
        <v>24.212502</v>
      </c>
      <c r="I357" t="n">
        <v>19.703615</v>
      </c>
      <c r="J357" t="n">
        <v>19.736166</v>
      </c>
      <c r="K357" t="n">
        <v>15.986295</v>
      </c>
      <c r="L357" t="n">
        <v>47.671907</v>
      </c>
      <c r="M357" t="n">
        <v>28.050267</v>
      </c>
      <c r="N357" t="n">
        <v>28.050267</v>
      </c>
      <c r="O357" t="n">
        <v>17.385749</v>
      </c>
      <c r="P357" t="n">
        <v>8.183744000000001</v>
      </c>
      <c r="Q357" t="n">
        <v>28.050267</v>
      </c>
      <c r="R357" t="n">
        <v>28.050267</v>
      </c>
      <c r="S357" t="n">
        <v>17.385749</v>
      </c>
      <c r="T357" t="n">
        <v>17.385749</v>
      </c>
      <c r="U357" t="n">
        <v>8.183744000000001</v>
      </c>
      <c r="V357" t="n">
        <v>8.183744000000001</v>
      </c>
      <c r="W357" t="n">
        <v>17.597621</v>
      </c>
      <c r="X357" t="n">
        <v>27.987895</v>
      </c>
    </row>
    <row r="358">
      <c r="A358" t="inlineStr">
        <is>
          <t>Phycis</t>
        </is>
      </c>
      <c r="B358" t="n">
        <v>3.99</v>
      </c>
      <c r="C358" t="n">
        <v>977.237221</v>
      </c>
      <c r="D358" t="inlineStr">
        <is>
          <t>Large Dem. fish</t>
        </is>
      </c>
      <c r="H358" t="n">
        <v>257.213239</v>
      </c>
      <c r="I358" t="n">
        <v>242.020787</v>
      </c>
      <c r="J358" t="n">
        <v>251.673548</v>
      </c>
      <c r="K358" t="n">
        <v>236.573135</v>
      </c>
      <c r="L358" t="n">
        <v>461.958282</v>
      </c>
      <c r="M358" t="n">
        <v>374.891707</v>
      </c>
      <c r="N358" t="n">
        <v>374.891707</v>
      </c>
      <c r="O358" t="n">
        <v>228.730494</v>
      </c>
      <c r="P358" t="n">
        <v>73.767325</v>
      </c>
      <c r="Q358" t="n">
        <v>374.891707</v>
      </c>
      <c r="R358" t="n">
        <v>374.891707</v>
      </c>
      <c r="S358" t="n">
        <v>228.730494</v>
      </c>
      <c r="T358" t="n">
        <v>228.730494</v>
      </c>
      <c r="U358" t="n">
        <v>73.767325</v>
      </c>
      <c r="V358" t="n">
        <v>73.767325</v>
      </c>
      <c r="W358" t="n">
        <v>231.104367</v>
      </c>
      <c r="X358" t="n">
        <v>381.526081</v>
      </c>
    </row>
    <row r="359">
      <c r="A359" t="inlineStr">
        <is>
          <t>Palinuridae</t>
        </is>
      </c>
      <c r="B359" t="n">
        <v>3.14</v>
      </c>
      <c r="C359" t="n">
        <v>138.038426</v>
      </c>
      <c r="D359" t="inlineStr">
        <is>
          <t>Crustacea</t>
        </is>
      </c>
      <c r="H359" t="n">
        <v>24.212502</v>
      </c>
      <c r="I359" t="n">
        <v>19.703615</v>
      </c>
      <c r="J359" t="n">
        <v>19.736166</v>
      </c>
      <c r="K359" t="n">
        <v>15.986295</v>
      </c>
      <c r="L359" t="n">
        <v>47.671907</v>
      </c>
      <c r="M359" t="n">
        <v>28.050267</v>
      </c>
      <c r="N359" t="n">
        <v>28.050267</v>
      </c>
      <c r="O359" t="n">
        <v>17.385749</v>
      </c>
      <c r="P359" t="n">
        <v>8.183744000000001</v>
      </c>
      <c r="Q359" t="n">
        <v>28.050267</v>
      </c>
      <c r="R359" t="n">
        <v>28.050267</v>
      </c>
      <c r="S359" t="n">
        <v>17.385749</v>
      </c>
      <c r="T359" t="n">
        <v>17.385749</v>
      </c>
      <c r="U359" t="n">
        <v>8.183744000000001</v>
      </c>
      <c r="V359" t="n">
        <v>8.183744000000001</v>
      </c>
      <c r="W359" t="n">
        <v>17.597621</v>
      </c>
      <c r="X359" t="n">
        <v>27.987895</v>
      </c>
    </row>
    <row r="360">
      <c r="A360" t="inlineStr">
        <is>
          <t>Chelon auratus</t>
        </is>
      </c>
      <c r="B360" t="n">
        <v>2.8</v>
      </c>
      <c r="C360" t="n">
        <v>63.095734</v>
      </c>
      <c r="D360" t="inlineStr">
        <is>
          <t>Large Pelagics</t>
        </is>
      </c>
      <c r="H360" t="n">
        <v>139.957891</v>
      </c>
      <c r="I360" t="n">
        <v>118.942542</v>
      </c>
      <c r="J360" t="n">
        <v>128.033231</v>
      </c>
      <c r="K360" t="n">
        <v>115.229908</v>
      </c>
      <c r="L360" t="n">
        <v>208.675232</v>
      </c>
      <c r="M360" t="n">
        <v>172.524137</v>
      </c>
      <c r="N360" t="n">
        <v>172.524137</v>
      </c>
      <c r="O360" t="n">
        <v>107.933606</v>
      </c>
      <c r="P360" t="n">
        <v>40.156364</v>
      </c>
      <c r="Q360" t="n">
        <v>172.524137</v>
      </c>
      <c r="R360" t="n">
        <v>172.524137</v>
      </c>
      <c r="S360" t="n">
        <v>107.933606</v>
      </c>
      <c r="T360" t="n">
        <v>107.933606</v>
      </c>
      <c r="U360" t="n">
        <v>40.156364</v>
      </c>
      <c r="V360" t="n">
        <v>40.156364</v>
      </c>
      <c r="W360" t="n">
        <v>107.778581</v>
      </c>
      <c r="X360" t="n">
        <v>174.242777</v>
      </c>
    </row>
    <row r="361">
      <c r="A361" t="inlineStr">
        <is>
          <t>Trachichthyidae</t>
        </is>
      </c>
      <c r="B361" t="n">
        <v>3.72</v>
      </c>
      <c r="C361" t="n">
        <v>524.80746</v>
      </c>
      <c r="D361" t="inlineStr">
        <is>
          <t>Unresolved</t>
        </is>
      </c>
    </row>
    <row r="362">
      <c r="A362" t="inlineStr">
        <is>
          <t>Paracentrotus lividus</t>
        </is>
      </c>
      <c r="D362" t="inlineStr">
        <is>
          <t>Epifauna</t>
        </is>
      </c>
      <c r="H362" t="n">
        <v>8.395077000000001</v>
      </c>
      <c r="I362" t="n">
        <v>5.225253</v>
      </c>
      <c r="J362" t="n">
        <v>5.225253</v>
      </c>
      <c r="K362" t="n">
        <v>4.598222</v>
      </c>
      <c r="L362" t="n">
        <v>10.950321</v>
      </c>
      <c r="M362" t="n">
        <v>5.811987</v>
      </c>
      <c r="N362" t="n">
        <v>5.811987</v>
      </c>
      <c r="O362" t="n">
        <v>4.520226</v>
      </c>
      <c r="P362" t="n">
        <v>2.746443</v>
      </c>
      <c r="Q362" t="n">
        <v>5.811987</v>
      </c>
      <c r="R362" t="n">
        <v>5.811987</v>
      </c>
      <c r="S362" t="n">
        <v>4.520226</v>
      </c>
      <c r="T362" t="n">
        <v>4.520226</v>
      </c>
      <c r="U362" t="n">
        <v>2.746443</v>
      </c>
      <c r="V362" t="n">
        <v>2.746443</v>
      </c>
      <c r="W362" t="n">
        <v>4.485747</v>
      </c>
      <c r="X362" t="n">
        <v>5.703863</v>
      </c>
    </row>
    <row r="363">
      <c r="A363" t="inlineStr">
        <is>
          <t>Istiophorus albicans</t>
        </is>
      </c>
      <c r="D363" t="inlineStr">
        <is>
          <t>Unresolved</t>
        </is>
      </c>
    </row>
    <row r="364">
      <c r="A364" t="inlineStr">
        <is>
          <t>Dicentrarchus punctatus</t>
        </is>
      </c>
      <c r="B364" t="n">
        <v>3.94</v>
      </c>
      <c r="C364" t="n">
        <v>870.96359</v>
      </c>
      <c r="D364" t="inlineStr">
        <is>
          <t>Large Pelagics</t>
        </is>
      </c>
      <c r="H364" t="n">
        <v>139.957891</v>
      </c>
      <c r="I364" t="n">
        <v>118.942542</v>
      </c>
      <c r="J364" t="n">
        <v>128.033231</v>
      </c>
      <c r="K364" t="n">
        <v>115.229908</v>
      </c>
      <c r="L364" t="n">
        <v>208.675232</v>
      </c>
      <c r="M364" t="n">
        <v>172.524137</v>
      </c>
      <c r="N364" t="n">
        <v>172.524137</v>
      </c>
      <c r="O364" t="n">
        <v>107.933606</v>
      </c>
      <c r="P364" t="n">
        <v>40.156364</v>
      </c>
      <c r="Q364" t="n">
        <v>172.524137</v>
      </c>
      <c r="R364" t="n">
        <v>172.524137</v>
      </c>
      <c r="S364" t="n">
        <v>107.933606</v>
      </c>
      <c r="T364" t="n">
        <v>107.933606</v>
      </c>
      <c r="U364" t="n">
        <v>40.156364</v>
      </c>
      <c r="V364" t="n">
        <v>40.156364</v>
      </c>
      <c r="W364" t="n">
        <v>107.778581</v>
      </c>
      <c r="X364" t="n">
        <v>174.242777</v>
      </c>
    </row>
    <row r="365">
      <c r="A365" t="inlineStr">
        <is>
          <t>Bramidae</t>
        </is>
      </c>
      <c r="B365" t="n">
        <v>4.14</v>
      </c>
      <c r="C365" t="n">
        <v>1380.384265</v>
      </c>
      <c r="D365" t="inlineStr">
        <is>
          <t>Unresolved</t>
        </is>
      </c>
    </row>
    <row r="366">
      <c r="A366" t="inlineStr">
        <is>
          <t>Spisula ovalis</t>
        </is>
      </c>
      <c r="B366" t="n">
        <v>2</v>
      </c>
      <c r="C366" t="n">
        <v>10</v>
      </c>
      <c r="D366" t="inlineStr">
        <is>
          <t>Infauna</t>
        </is>
      </c>
      <c r="H366" t="n">
        <v>1.695379</v>
      </c>
      <c r="I366" t="n">
        <v>1.315556</v>
      </c>
      <c r="J366" t="n">
        <v>1.315556</v>
      </c>
      <c r="K366" t="n">
        <v>1.184</v>
      </c>
      <c r="L366" t="n">
        <v>3.864936</v>
      </c>
      <c r="M366" t="n">
        <v>1.321429</v>
      </c>
      <c r="N366" t="n">
        <v>1.321429</v>
      </c>
      <c r="O366" t="n">
        <v>1.188755</v>
      </c>
      <c r="P366" t="n">
        <v>0.950241</v>
      </c>
      <c r="Q366" t="n">
        <v>1.321429</v>
      </c>
      <c r="R366" t="n">
        <v>1.321429</v>
      </c>
      <c r="S366" t="n">
        <v>1.188755</v>
      </c>
      <c r="T366" t="n">
        <v>1.188755</v>
      </c>
      <c r="U366" t="n">
        <v>0.950241</v>
      </c>
      <c r="V366" t="n">
        <v>0.950241</v>
      </c>
      <c r="W366" t="n">
        <v>1.170683</v>
      </c>
      <c r="X366" t="n">
        <v>1.343305</v>
      </c>
    </row>
    <row r="367">
      <c r="A367" t="inlineStr">
        <is>
          <t>Chlamys islandica</t>
        </is>
      </c>
      <c r="D367" t="inlineStr">
        <is>
          <t>Epifauna</t>
        </is>
      </c>
      <c r="H367" t="n">
        <v>8.395077000000001</v>
      </c>
      <c r="I367" t="n">
        <v>5.225253</v>
      </c>
      <c r="J367" t="n">
        <v>5.225253</v>
      </c>
      <c r="K367" t="n">
        <v>4.598222</v>
      </c>
      <c r="L367" t="n">
        <v>10.950321</v>
      </c>
      <c r="M367" t="n">
        <v>5.811987</v>
      </c>
      <c r="N367" t="n">
        <v>5.811987</v>
      </c>
      <c r="O367" t="n">
        <v>4.520226</v>
      </c>
      <c r="P367" t="n">
        <v>2.746443</v>
      </c>
      <c r="Q367" t="n">
        <v>5.811987</v>
      </c>
      <c r="R367" t="n">
        <v>5.811987</v>
      </c>
      <c r="S367" t="n">
        <v>4.520226</v>
      </c>
      <c r="T367" t="n">
        <v>4.520226</v>
      </c>
      <c r="U367" t="n">
        <v>2.746443</v>
      </c>
      <c r="V367" t="n">
        <v>2.746443</v>
      </c>
      <c r="W367" t="n">
        <v>4.485747</v>
      </c>
      <c r="X367" t="n">
        <v>5.703863</v>
      </c>
    </row>
    <row r="368">
      <c r="A368" t="inlineStr">
        <is>
          <t>Ammodytes tobianus</t>
        </is>
      </c>
      <c r="B368" t="n">
        <v>3.08</v>
      </c>
      <c r="C368" t="n">
        <v>120.226443</v>
      </c>
      <c r="D368" t="inlineStr">
        <is>
          <t>Small pelagics</t>
        </is>
      </c>
      <c r="H368" t="n">
        <v>47.986658</v>
      </c>
      <c r="I368" t="n">
        <v>23.215644</v>
      </c>
      <c r="J368" t="n">
        <v>23.303441</v>
      </c>
      <c r="K368" t="n">
        <v>20.507028</v>
      </c>
      <c r="L368" t="n">
        <v>37.444032</v>
      </c>
      <c r="M368" t="n">
        <v>31.413829</v>
      </c>
      <c r="N368" t="n">
        <v>31.413829</v>
      </c>
      <c r="O368" t="n">
        <v>21.233792</v>
      </c>
      <c r="P368" t="n">
        <v>9.36406</v>
      </c>
      <c r="Q368" t="n">
        <v>31.413829</v>
      </c>
      <c r="R368" t="n">
        <v>31.413829</v>
      </c>
      <c r="S368" t="n">
        <v>21.233792</v>
      </c>
      <c r="T368" t="n">
        <v>21.233792</v>
      </c>
      <c r="U368" t="n">
        <v>9.36406</v>
      </c>
      <c r="V368" t="n">
        <v>9.36406</v>
      </c>
      <c r="W368" t="n">
        <v>21.105884</v>
      </c>
      <c r="X368" t="n">
        <v>33.32407</v>
      </c>
    </row>
    <row r="369">
      <c r="A369" t="inlineStr">
        <is>
          <t>Centroscyllium fabricii</t>
        </is>
      </c>
      <c r="D369" t="inlineStr">
        <is>
          <t>Sharks &amp; rays</t>
        </is>
      </c>
      <c r="H369" t="n">
        <v>233.624758</v>
      </c>
      <c r="I369" t="n">
        <v>492.26657</v>
      </c>
      <c r="J369" t="n">
        <v>510.78557</v>
      </c>
      <c r="K369" t="n">
        <v>219.637795</v>
      </c>
      <c r="L369" t="n">
        <v>1275.246638</v>
      </c>
      <c r="M369" t="n">
        <v>948.706608</v>
      </c>
      <c r="N369" t="n">
        <v>948.706608</v>
      </c>
      <c r="O369" t="n">
        <v>213.713009</v>
      </c>
      <c r="P369" t="n">
        <v>67.906436</v>
      </c>
      <c r="Q369" t="n">
        <v>948.706608</v>
      </c>
      <c r="R369" t="n">
        <v>948.706608</v>
      </c>
      <c r="S369" t="n">
        <v>213.713009</v>
      </c>
      <c r="T369" t="n">
        <v>213.713009</v>
      </c>
      <c r="U369" t="n">
        <v>67.906436</v>
      </c>
      <c r="V369" t="n">
        <v>67.906436</v>
      </c>
      <c r="W369" t="n">
        <v>220.688261</v>
      </c>
      <c r="X369" t="n">
        <v>981.457341</v>
      </c>
    </row>
    <row r="370">
      <c r="A370" t="inlineStr">
        <is>
          <t>Myliobatis aquila</t>
        </is>
      </c>
      <c r="D370" t="inlineStr">
        <is>
          <t>Sharks &amp; rays</t>
        </is>
      </c>
      <c r="H370" t="n">
        <v>233.624758</v>
      </c>
      <c r="I370" t="n">
        <v>492.26657</v>
      </c>
      <c r="J370" t="n">
        <v>510.78557</v>
      </c>
      <c r="K370" t="n">
        <v>219.637795</v>
      </c>
      <c r="L370" t="n">
        <v>1275.246638</v>
      </c>
      <c r="M370" t="n">
        <v>948.706608</v>
      </c>
      <c r="N370" t="n">
        <v>948.706608</v>
      </c>
      <c r="O370" t="n">
        <v>213.713009</v>
      </c>
      <c r="P370" t="n">
        <v>67.906436</v>
      </c>
      <c r="Q370" t="n">
        <v>948.706608</v>
      </c>
      <c r="R370" t="n">
        <v>948.706608</v>
      </c>
      <c r="S370" t="n">
        <v>213.713009</v>
      </c>
      <c r="T370" t="n">
        <v>213.713009</v>
      </c>
      <c r="U370" t="n">
        <v>67.906436</v>
      </c>
      <c r="V370" t="n">
        <v>67.906436</v>
      </c>
      <c r="W370" t="n">
        <v>220.688261</v>
      </c>
      <c r="X370" t="n">
        <v>981.457341</v>
      </c>
    </row>
    <row r="371">
      <c r="A371" t="inlineStr">
        <is>
          <t>Galeus melastomus</t>
        </is>
      </c>
      <c r="B371" t="n">
        <v>4.17</v>
      </c>
      <c r="C371" t="n">
        <v>1479.108388</v>
      </c>
      <c r="D371" t="inlineStr">
        <is>
          <t>Sharks &amp; rays</t>
        </is>
      </c>
      <c r="H371" t="n">
        <v>233.624758</v>
      </c>
      <c r="I371" t="n">
        <v>492.26657</v>
      </c>
      <c r="J371" t="n">
        <v>510.78557</v>
      </c>
      <c r="K371" t="n">
        <v>219.637795</v>
      </c>
      <c r="L371" t="n">
        <v>1275.246638</v>
      </c>
      <c r="M371" t="n">
        <v>948.706608</v>
      </c>
      <c r="N371" t="n">
        <v>948.706608</v>
      </c>
      <c r="O371" t="n">
        <v>213.713009</v>
      </c>
      <c r="P371" t="n">
        <v>67.906436</v>
      </c>
      <c r="Q371" t="n">
        <v>948.706608</v>
      </c>
      <c r="R371" t="n">
        <v>948.706608</v>
      </c>
      <c r="S371" t="n">
        <v>213.713009</v>
      </c>
      <c r="T371" t="n">
        <v>213.713009</v>
      </c>
      <c r="U371" t="n">
        <v>67.906436</v>
      </c>
      <c r="V371" t="n">
        <v>67.906436</v>
      </c>
      <c r="W371" t="n">
        <v>220.688261</v>
      </c>
      <c r="X371" t="n">
        <v>981.457341</v>
      </c>
    </row>
    <row r="372">
      <c r="A372" t="inlineStr">
        <is>
          <t>Pagellus</t>
        </is>
      </c>
      <c r="B372" t="n">
        <v>3.44</v>
      </c>
      <c r="C372" t="n">
        <v>275.42287</v>
      </c>
      <c r="D372" t="inlineStr">
        <is>
          <t>Large Dem. fish</t>
        </is>
      </c>
      <c r="H372" t="n">
        <v>257.213239</v>
      </c>
      <c r="I372" t="n">
        <v>242.020787</v>
      </c>
      <c r="J372" t="n">
        <v>251.673548</v>
      </c>
      <c r="K372" t="n">
        <v>236.573135</v>
      </c>
      <c r="L372" t="n">
        <v>461.958282</v>
      </c>
      <c r="M372" t="n">
        <v>374.891707</v>
      </c>
      <c r="N372" t="n">
        <v>374.891707</v>
      </c>
      <c r="O372" t="n">
        <v>228.730494</v>
      </c>
      <c r="P372" t="n">
        <v>73.767325</v>
      </c>
      <c r="Q372" t="n">
        <v>374.891707</v>
      </c>
      <c r="R372" t="n">
        <v>374.891707</v>
      </c>
      <c r="S372" t="n">
        <v>228.730494</v>
      </c>
      <c r="T372" t="n">
        <v>228.730494</v>
      </c>
      <c r="U372" t="n">
        <v>73.767325</v>
      </c>
      <c r="V372" t="n">
        <v>73.767325</v>
      </c>
      <c r="W372" t="n">
        <v>231.104367</v>
      </c>
      <c r="X372" t="n">
        <v>381.526081</v>
      </c>
    </row>
    <row r="373">
      <c r="A373" t="inlineStr">
        <is>
          <t>Hexanchus griseus</t>
        </is>
      </c>
      <c r="D373" t="inlineStr">
        <is>
          <t>Sharks &amp; rays</t>
        </is>
      </c>
      <c r="H373" t="n">
        <v>233.624758</v>
      </c>
      <c r="I373" t="n">
        <v>492.26657</v>
      </c>
      <c r="J373" t="n">
        <v>510.78557</v>
      </c>
      <c r="K373" t="n">
        <v>219.637795</v>
      </c>
      <c r="L373" t="n">
        <v>1275.246638</v>
      </c>
      <c r="M373" t="n">
        <v>948.706608</v>
      </c>
      <c r="N373" t="n">
        <v>948.706608</v>
      </c>
      <c r="O373" t="n">
        <v>213.713009</v>
      </c>
      <c r="P373" t="n">
        <v>67.906436</v>
      </c>
      <c r="Q373" t="n">
        <v>948.706608</v>
      </c>
      <c r="R373" t="n">
        <v>948.706608</v>
      </c>
      <c r="S373" t="n">
        <v>213.713009</v>
      </c>
      <c r="T373" t="n">
        <v>213.713009</v>
      </c>
      <c r="U373" t="n">
        <v>67.906436</v>
      </c>
      <c r="V373" t="n">
        <v>67.906436</v>
      </c>
      <c r="W373" t="n">
        <v>220.688261</v>
      </c>
      <c r="X373" t="n">
        <v>981.457341</v>
      </c>
    </row>
    <row r="374">
      <c r="A374" t="inlineStr">
        <is>
          <t>Lamnidae</t>
        </is>
      </c>
      <c r="B374" t="n">
        <v>4.5</v>
      </c>
      <c r="C374" t="n">
        <v>3162.27766</v>
      </c>
      <c r="D374" t="inlineStr">
        <is>
          <t>Sharks &amp; rays</t>
        </is>
      </c>
      <c r="H374" t="n">
        <v>233.624758</v>
      </c>
      <c r="I374" t="n">
        <v>492.26657</v>
      </c>
      <c r="J374" t="n">
        <v>510.78557</v>
      </c>
      <c r="K374" t="n">
        <v>219.637795</v>
      </c>
      <c r="L374" t="n">
        <v>1275.246638</v>
      </c>
      <c r="M374" t="n">
        <v>948.706608</v>
      </c>
      <c r="N374" t="n">
        <v>948.706608</v>
      </c>
      <c r="O374" t="n">
        <v>213.713009</v>
      </c>
      <c r="P374" t="n">
        <v>67.906436</v>
      </c>
      <c r="Q374" t="n">
        <v>948.706608</v>
      </c>
      <c r="R374" t="n">
        <v>948.706608</v>
      </c>
      <c r="S374" t="n">
        <v>213.713009</v>
      </c>
      <c r="T374" t="n">
        <v>213.713009</v>
      </c>
      <c r="U374" t="n">
        <v>67.906436</v>
      </c>
      <c r="V374" t="n">
        <v>67.906436</v>
      </c>
      <c r="W374" t="n">
        <v>220.688261</v>
      </c>
      <c r="X374" t="n">
        <v>981.457341</v>
      </c>
    </row>
    <row r="375">
      <c r="A375" t="inlineStr">
        <is>
          <t>Sepia</t>
        </is>
      </c>
      <c r="D375" t="inlineStr">
        <is>
          <t>Squid &amp; Octopus</t>
        </is>
      </c>
      <c r="H375" t="n">
        <v>62.376626</v>
      </c>
      <c r="I375" t="n">
        <v>51.428785</v>
      </c>
      <c r="J375" t="n">
        <v>51.639947</v>
      </c>
      <c r="K375" t="n">
        <v>49.05795</v>
      </c>
      <c r="L375" t="n">
        <v>94.097724</v>
      </c>
      <c r="M375" t="n">
        <v>69.667844</v>
      </c>
      <c r="N375" t="n">
        <v>69.667844</v>
      </c>
      <c r="O375" t="n">
        <v>47.704772</v>
      </c>
      <c r="P375" t="n">
        <v>19.528933</v>
      </c>
      <c r="Q375" t="n">
        <v>69.667844</v>
      </c>
      <c r="R375" t="n">
        <v>69.667844</v>
      </c>
      <c r="S375" t="n">
        <v>47.704772</v>
      </c>
      <c r="T375" t="n">
        <v>47.704772</v>
      </c>
      <c r="U375" t="n">
        <v>19.528933</v>
      </c>
      <c r="V375" t="n">
        <v>19.528933</v>
      </c>
      <c r="W375" t="n">
        <v>48.333282</v>
      </c>
      <c r="X375" t="n">
        <v>72.484779</v>
      </c>
    </row>
    <row r="376">
      <c r="A376" t="inlineStr">
        <is>
          <t>Chlamys</t>
        </is>
      </c>
      <c r="B376" t="n">
        <v>2</v>
      </c>
      <c r="C376" t="n">
        <v>10</v>
      </c>
      <c r="D376" t="inlineStr">
        <is>
          <t>Epifauna</t>
        </is>
      </c>
      <c r="H376" t="n">
        <v>8.395077000000001</v>
      </c>
      <c r="I376" t="n">
        <v>5.225253</v>
      </c>
      <c r="J376" t="n">
        <v>5.225253</v>
      </c>
      <c r="K376" t="n">
        <v>4.598222</v>
      </c>
      <c r="L376" t="n">
        <v>10.950321</v>
      </c>
      <c r="M376" t="n">
        <v>5.811987</v>
      </c>
      <c r="N376" t="n">
        <v>5.811987</v>
      </c>
      <c r="O376" t="n">
        <v>4.520226</v>
      </c>
      <c r="P376" t="n">
        <v>2.746443</v>
      </c>
      <c r="Q376" t="n">
        <v>5.811987</v>
      </c>
      <c r="R376" t="n">
        <v>5.811987</v>
      </c>
      <c r="S376" t="n">
        <v>4.520226</v>
      </c>
      <c r="T376" t="n">
        <v>4.520226</v>
      </c>
      <c r="U376" t="n">
        <v>2.746443</v>
      </c>
      <c r="V376" t="n">
        <v>2.746443</v>
      </c>
      <c r="W376" t="n">
        <v>4.485747</v>
      </c>
      <c r="X376" t="n">
        <v>5.703863</v>
      </c>
    </row>
    <row r="377">
      <c r="A377" t="inlineStr">
        <is>
          <t>Torpedo marmorata</t>
        </is>
      </c>
      <c r="B377" t="n">
        <v>4.5</v>
      </c>
      <c r="C377" t="n">
        <v>3162.27766</v>
      </c>
      <c r="D377" t="inlineStr">
        <is>
          <t>Sharks &amp; rays</t>
        </is>
      </c>
      <c r="H377" t="n">
        <v>233.624758</v>
      </c>
      <c r="I377" t="n">
        <v>492.26657</v>
      </c>
      <c r="J377" t="n">
        <v>510.78557</v>
      </c>
      <c r="K377" t="n">
        <v>219.637795</v>
      </c>
      <c r="L377" t="n">
        <v>1275.246638</v>
      </c>
      <c r="M377" t="n">
        <v>948.706608</v>
      </c>
      <c r="N377" t="n">
        <v>948.706608</v>
      </c>
      <c r="O377" t="n">
        <v>213.713009</v>
      </c>
      <c r="P377" t="n">
        <v>67.906436</v>
      </c>
      <c r="Q377" t="n">
        <v>948.706608</v>
      </c>
      <c r="R377" t="n">
        <v>948.706608</v>
      </c>
      <c r="S377" t="n">
        <v>213.713009</v>
      </c>
      <c r="T377" t="n">
        <v>213.713009</v>
      </c>
      <c r="U377" t="n">
        <v>67.906436</v>
      </c>
      <c r="V377" t="n">
        <v>67.906436</v>
      </c>
      <c r="W377" t="n">
        <v>220.688261</v>
      </c>
      <c r="X377" t="n">
        <v>981.457341</v>
      </c>
    </row>
    <row r="378">
      <c r="A378" t="inlineStr">
        <is>
          <t>Haliotis tuberculata</t>
        </is>
      </c>
      <c r="D378" t="inlineStr">
        <is>
          <t>Epifauna</t>
        </is>
      </c>
      <c r="H378" t="n">
        <v>8.395077000000001</v>
      </c>
      <c r="I378" t="n">
        <v>5.225253</v>
      </c>
      <c r="J378" t="n">
        <v>5.225253</v>
      </c>
      <c r="K378" t="n">
        <v>4.598222</v>
      </c>
      <c r="L378" t="n">
        <v>10.950321</v>
      </c>
      <c r="M378" t="n">
        <v>5.811987</v>
      </c>
      <c r="N378" t="n">
        <v>5.811987</v>
      </c>
      <c r="O378" t="n">
        <v>4.520226</v>
      </c>
      <c r="P378" t="n">
        <v>2.746443</v>
      </c>
      <c r="Q378" t="n">
        <v>5.811987</v>
      </c>
      <c r="R378" t="n">
        <v>5.811987</v>
      </c>
      <c r="S378" t="n">
        <v>4.520226</v>
      </c>
      <c r="T378" t="n">
        <v>4.520226</v>
      </c>
      <c r="U378" t="n">
        <v>2.746443</v>
      </c>
      <c r="V378" t="n">
        <v>2.746443</v>
      </c>
      <c r="W378" t="n">
        <v>4.485747</v>
      </c>
      <c r="X378" t="n">
        <v>5.703863</v>
      </c>
    </row>
    <row r="379">
      <c r="A379" t="inlineStr">
        <is>
          <t>Ostreidae</t>
        </is>
      </c>
      <c r="B379" t="n">
        <v>2</v>
      </c>
      <c r="C379" t="n">
        <v>10</v>
      </c>
      <c r="D379" t="inlineStr">
        <is>
          <t>Epifauna</t>
        </is>
      </c>
      <c r="H379" t="n">
        <v>8.395077000000001</v>
      </c>
      <c r="I379" t="n">
        <v>5.225253</v>
      </c>
      <c r="J379" t="n">
        <v>5.225253</v>
      </c>
      <c r="K379" t="n">
        <v>4.598222</v>
      </c>
      <c r="L379" t="n">
        <v>10.950321</v>
      </c>
      <c r="M379" t="n">
        <v>5.811987</v>
      </c>
      <c r="N379" t="n">
        <v>5.811987</v>
      </c>
      <c r="O379" t="n">
        <v>4.520226</v>
      </c>
      <c r="P379" t="n">
        <v>2.746443</v>
      </c>
      <c r="Q379" t="n">
        <v>5.811987</v>
      </c>
      <c r="R379" t="n">
        <v>5.811987</v>
      </c>
      <c r="S379" t="n">
        <v>4.520226</v>
      </c>
      <c r="T379" t="n">
        <v>4.520226</v>
      </c>
      <c r="U379" t="n">
        <v>2.746443</v>
      </c>
      <c r="V379" t="n">
        <v>2.746443</v>
      </c>
      <c r="W379" t="n">
        <v>4.485747</v>
      </c>
      <c r="X379" t="n">
        <v>5.703863</v>
      </c>
    </row>
    <row r="380">
      <c r="A380" t="inlineStr">
        <is>
          <t>Murex</t>
        </is>
      </c>
      <c r="B380" t="n">
        <v>2</v>
      </c>
      <c r="C380" t="n">
        <v>10</v>
      </c>
      <c r="D380" t="inlineStr">
        <is>
          <t>Epifauna</t>
        </is>
      </c>
      <c r="H380" t="n">
        <v>8.395077000000001</v>
      </c>
      <c r="I380" t="n">
        <v>5.225253</v>
      </c>
      <c r="J380" t="n">
        <v>5.225253</v>
      </c>
      <c r="K380" t="n">
        <v>4.598222</v>
      </c>
      <c r="L380" t="n">
        <v>10.950321</v>
      </c>
      <c r="M380" t="n">
        <v>5.811987</v>
      </c>
      <c r="N380" t="n">
        <v>5.811987</v>
      </c>
      <c r="O380" t="n">
        <v>4.520226</v>
      </c>
      <c r="P380" t="n">
        <v>2.746443</v>
      </c>
      <c r="Q380" t="n">
        <v>5.811987</v>
      </c>
      <c r="R380" t="n">
        <v>5.811987</v>
      </c>
      <c r="S380" t="n">
        <v>4.520226</v>
      </c>
      <c r="T380" t="n">
        <v>4.520226</v>
      </c>
      <c r="U380" t="n">
        <v>2.746443</v>
      </c>
      <c r="V380" t="n">
        <v>2.746443</v>
      </c>
      <c r="W380" t="n">
        <v>4.485747</v>
      </c>
      <c r="X380" t="n">
        <v>5.703863</v>
      </c>
    </row>
    <row r="381">
      <c r="A381" t="inlineStr">
        <is>
          <t>Modiolus</t>
        </is>
      </c>
      <c r="D381" t="inlineStr">
        <is>
          <t>Epifauna</t>
        </is>
      </c>
      <c r="H381" t="n">
        <v>8.395077000000001</v>
      </c>
      <c r="I381" t="n">
        <v>5.225253</v>
      </c>
      <c r="J381" t="n">
        <v>5.225253</v>
      </c>
      <c r="K381" t="n">
        <v>4.598222</v>
      </c>
      <c r="L381" t="n">
        <v>10.950321</v>
      </c>
      <c r="M381" t="n">
        <v>5.811987</v>
      </c>
      <c r="N381" t="n">
        <v>5.811987</v>
      </c>
      <c r="O381" t="n">
        <v>4.520226</v>
      </c>
      <c r="P381" t="n">
        <v>2.746443</v>
      </c>
      <c r="Q381" t="n">
        <v>5.811987</v>
      </c>
      <c r="R381" t="n">
        <v>5.811987</v>
      </c>
      <c r="S381" t="n">
        <v>4.520226</v>
      </c>
      <c r="T381" t="n">
        <v>4.520226</v>
      </c>
      <c r="U381" t="n">
        <v>2.746443</v>
      </c>
      <c r="V381" t="n">
        <v>2.746443</v>
      </c>
      <c r="W381" t="n">
        <v>4.485747</v>
      </c>
      <c r="X381" t="n">
        <v>5.703863</v>
      </c>
    </row>
    <row r="382">
      <c r="A382" t="inlineStr">
        <is>
          <t>Solen vagina</t>
        </is>
      </c>
      <c r="B382" t="n">
        <v>2</v>
      </c>
      <c r="C382" t="n">
        <v>10</v>
      </c>
      <c r="D382" t="inlineStr">
        <is>
          <t>Infauna</t>
        </is>
      </c>
      <c r="H382" t="n">
        <v>1.695379</v>
      </c>
      <c r="I382" t="n">
        <v>1.315556</v>
      </c>
      <c r="J382" t="n">
        <v>1.315556</v>
      </c>
      <c r="K382" t="n">
        <v>1.184</v>
      </c>
      <c r="L382" t="n">
        <v>3.864936</v>
      </c>
      <c r="M382" t="n">
        <v>1.321429</v>
      </c>
      <c r="N382" t="n">
        <v>1.321429</v>
      </c>
      <c r="O382" t="n">
        <v>1.188755</v>
      </c>
      <c r="P382" t="n">
        <v>0.950241</v>
      </c>
      <c r="Q382" t="n">
        <v>1.321429</v>
      </c>
      <c r="R382" t="n">
        <v>1.321429</v>
      </c>
      <c r="S382" t="n">
        <v>1.188755</v>
      </c>
      <c r="T382" t="n">
        <v>1.188755</v>
      </c>
      <c r="U382" t="n">
        <v>0.950241</v>
      </c>
      <c r="V382" t="n">
        <v>0.950241</v>
      </c>
      <c r="W382" t="n">
        <v>1.170683</v>
      </c>
      <c r="X382" t="n">
        <v>1.343305</v>
      </c>
    </row>
    <row r="383">
      <c r="A383" t="inlineStr">
        <is>
          <t>Trichiurus</t>
        </is>
      </c>
      <c r="B383" t="n">
        <v>4.42</v>
      </c>
      <c r="C383" t="n">
        <v>2630.267992</v>
      </c>
      <c r="D383" t="inlineStr">
        <is>
          <t>Unresolved</t>
        </is>
      </c>
    </row>
    <row r="384">
      <c r="A384" t="inlineStr">
        <is>
          <t>Petromyzontidae</t>
        </is>
      </c>
      <c r="D384" t="inlineStr">
        <is>
          <t>Unresolved</t>
        </is>
      </c>
    </row>
    <row r="385">
      <c r="A385" t="inlineStr">
        <is>
          <t>Chelon saliens</t>
        </is>
      </c>
      <c r="D385" t="inlineStr">
        <is>
          <t>Large Dem. fish</t>
        </is>
      </c>
      <c r="H385" t="n">
        <v>257.213239</v>
      </c>
      <c r="I385" t="n">
        <v>242.020787</v>
      </c>
      <c r="J385" t="n">
        <v>251.673548</v>
      </c>
      <c r="K385" t="n">
        <v>236.573135</v>
      </c>
      <c r="L385" t="n">
        <v>461.958282</v>
      </c>
      <c r="M385" t="n">
        <v>374.891707</v>
      </c>
      <c r="N385" t="n">
        <v>374.891707</v>
      </c>
      <c r="O385" t="n">
        <v>228.730494</v>
      </c>
      <c r="P385" t="n">
        <v>73.767325</v>
      </c>
      <c r="Q385" t="n">
        <v>374.891707</v>
      </c>
      <c r="R385" t="n">
        <v>374.891707</v>
      </c>
      <c r="S385" t="n">
        <v>228.730494</v>
      </c>
      <c r="T385" t="n">
        <v>228.730494</v>
      </c>
      <c r="U385" t="n">
        <v>73.767325</v>
      </c>
      <c r="V385" t="n">
        <v>73.767325</v>
      </c>
      <c r="W385" t="n">
        <v>231.104367</v>
      </c>
      <c r="X385" t="n">
        <v>381.526081</v>
      </c>
    </row>
    <row r="386">
      <c r="A386" t="inlineStr">
        <is>
          <t>Dasyatidae</t>
        </is>
      </c>
      <c r="D386" t="inlineStr">
        <is>
          <t>Sharks &amp; rays</t>
        </is>
      </c>
      <c r="H386" t="n">
        <v>233.624758</v>
      </c>
      <c r="I386" t="n">
        <v>492.26657</v>
      </c>
      <c r="J386" t="n">
        <v>510.78557</v>
      </c>
      <c r="K386" t="n">
        <v>219.637795</v>
      </c>
      <c r="L386" t="n">
        <v>1275.246638</v>
      </c>
      <c r="M386" t="n">
        <v>948.706608</v>
      </c>
      <c r="N386" t="n">
        <v>948.706608</v>
      </c>
      <c r="O386" t="n">
        <v>213.713009</v>
      </c>
      <c r="P386" t="n">
        <v>67.906436</v>
      </c>
      <c r="Q386" t="n">
        <v>948.706608</v>
      </c>
      <c r="R386" t="n">
        <v>948.706608</v>
      </c>
      <c r="S386" t="n">
        <v>213.713009</v>
      </c>
      <c r="T386" t="n">
        <v>213.713009</v>
      </c>
      <c r="U386" t="n">
        <v>67.906436</v>
      </c>
      <c r="V386" t="n">
        <v>67.906436</v>
      </c>
      <c r="W386" t="n">
        <v>220.688261</v>
      </c>
      <c r="X386" t="n">
        <v>981.457341</v>
      </c>
    </row>
    <row r="387">
      <c r="A387" t="inlineStr">
        <is>
          <t>Patella</t>
        </is>
      </c>
      <c r="D387" t="inlineStr">
        <is>
          <t>Epifauna</t>
        </is>
      </c>
      <c r="H387" t="n">
        <v>8.395077000000001</v>
      </c>
      <c r="I387" t="n">
        <v>5.225253</v>
      </c>
      <c r="J387" t="n">
        <v>5.225253</v>
      </c>
      <c r="K387" t="n">
        <v>4.598222</v>
      </c>
      <c r="L387" t="n">
        <v>10.950321</v>
      </c>
      <c r="M387" t="n">
        <v>5.811987</v>
      </c>
      <c r="N387" t="n">
        <v>5.811987</v>
      </c>
      <c r="O387" t="n">
        <v>4.520226</v>
      </c>
      <c r="P387" t="n">
        <v>2.746443</v>
      </c>
      <c r="Q387" t="n">
        <v>5.811987</v>
      </c>
      <c r="R387" t="n">
        <v>5.811987</v>
      </c>
      <c r="S387" t="n">
        <v>4.520226</v>
      </c>
      <c r="T387" t="n">
        <v>4.520226</v>
      </c>
      <c r="U387" t="n">
        <v>2.746443</v>
      </c>
      <c r="V387" t="n">
        <v>2.746443</v>
      </c>
      <c r="W387" t="n">
        <v>4.485747</v>
      </c>
      <c r="X387" t="n">
        <v>5.703863</v>
      </c>
    </row>
    <row r="388">
      <c r="A388" t="inlineStr">
        <is>
          <t>Merluccius</t>
        </is>
      </c>
      <c r="B388" t="n">
        <v>4.27</v>
      </c>
      <c r="C388" t="n">
        <v>1862.087137</v>
      </c>
      <c r="D388" t="inlineStr">
        <is>
          <t>Hake</t>
        </is>
      </c>
      <c r="H388" t="n">
        <v>744.405669</v>
      </c>
      <c r="I388" t="n">
        <v>395.125726</v>
      </c>
      <c r="J388" t="n">
        <v>424.153179</v>
      </c>
      <c r="K388" t="n">
        <v>390.220925</v>
      </c>
      <c r="L388" t="n">
        <v>696.576775</v>
      </c>
      <c r="M388" t="n">
        <v>575.1156570000001</v>
      </c>
      <c r="N388" t="n">
        <v>575.1156570000001</v>
      </c>
      <c r="O388" t="n">
        <v>330.608517</v>
      </c>
      <c r="P388" t="n">
        <v>98.41734</v>
      </c>
      <c r="Q388" t="n">
        <v>575.1156570000001</v>
      </c>
      <c r="R388" t="n">
        <v>575.1156570000001</v>
      </c>
      <c r="S388" t="n">
        <v>330.608517</v>
      </c>
      <c r="T388" t="n">
        <v>330.608517</v>
      </c>
      <c r="U388" t="n">
        <v>98.41734</v>
      </c>
      <c r="V388" t="n">
        <v>98.41734</v>
      </c>
      <c r="W388" t="n">
        <v>333.080801</v>
      </c>
      <c r="X388" t="n">
        <v>598.584395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3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6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1" t="inlineStr">
        <is>
          <t>Total PPR by method and year — every taxon summed, tonnes wet weight equivalent of primary production.</t>
        </is>
      </c>
    </row>
    <row r="2">
      <c r="A2" t="inlineStr">
        <is>
          <t>Primary producers only; excludes detritus and imports. The simple chain rows are unpartitioned references; model rows use this scope.</t>
        </is>
      </c>
    </row>
    <row r="3">
      <c r="A3" t="inlineStr">
        <is>
          <t>Methods are not alternatives to be averaged. They rest on different assumptions and the spread between them is the result.</t>
        </is>
      </c>
    </row>
    <row r="4">
      <c r="A4" t="inlineStr">
        <is>
          <t>The two grey rows aggregate the catch to a group before exponentiating, which understates the total: SPPR is convex in trophic level, so they measure the Jensen effect rather than the PPR.</t>
        </is>
      </c>
    </row>
    <row r="5">
      <c r="A5" s="4" t="inlineStr">
        <is>
          <t>method</t>
        </is>
      </c>
      <c r="B5" s="4" t="inlineStr">
        <is>
          <t>status</t>
        </is>
      </c>
      <c r="C5" s="4" t="n">
        <v>1950</v>
      </c>
      <c r="D5" s="4" t="n">
        <v>1951</v>
      </c>
      <c r="E5" s="4" t="n">
        <v>1952</v>
      </c>
      <c r="F5" s="4" t="n">
        <v>1953</v>
      </c>
      <c r="G5" s="4" t="n">
        <v>1954</v>
      </c>
      <c r="H5" s="4" t="n">
        <v>1955</v>
      </c>
      <c r="I5" s="4" t="n">
        <v>1956</v>
      </c>
      <c r="J5" s="4" t="n">
        <v>1957</v>
      </c>
      <c r="K5" s="4" t="n">
        <v>1958</v>
      </c>
      <c r="L5" s="4" t="n">
        <v>1959</v>
      </c>
      <c r="M5" s="4" t="n">
        <v>1960</v>
      </c>
      <c r="N5" s="4" t="n">
        <v>1961</v>
      </c>
      <c r="O5" s="4" t="n">
        <v>1962</v>
      </c>
      <c r="P5" s="4" t="n">
        <v>1963</v>
      </c>
      <c r="Q5" s="4" t="n">
        <v>1964</v>
      </c>
      <c r="R5" s="4" t="n">
        <v>1965</v>
      </c>
      <c r="S5" s="4" t="n">
        <v>1966</v>
      </c>
      <c r="T5" s="4" t="n">
        <v>1967</v>
      </c>
      <c r="U5" s="4" t="n">
        <v>1968</v>
      </c>
      <c r="V5" s="4" t="n">
        <v>1969</v>
      </c>
      <c r="W5" s="4" t="n">
        <v>1970</v>
      </c>
      <c r="X5" s="4" t="n">
        <v>1971</v>
      </c>
      <c r="Y5" s="4" t="n">
        <v>1972</v>
      </c>
      <c r="Z5" s="4" t="n">
        <v>1973</v>
      </c>
      <c r="AA5" s="4" t="n">
        <v>1974</v>
      </c>
      <c r="AB5" s="4" t="n">
        <v>1975</v>
      </c>
      <c r="AC5" s="4" t="n">
        <v>1976</v>
      </c>
      <c r="AD5" s="4" t="n">
        <v>1977</v>
      </c>
      <c r="AE5" s="4" t="n">
        <v>1978</v>
      </c>
      <c r="AF5" s="4" t="n">
        <v>1979</v>
      </c>
      <c r="AG5" s="4" t="n">
        <v>1980</v>
      </c>
      <c r="AH5" s="4" t="n">
        <v>1981</v>
      </c>
      <c r="AI5" s="4" t="n">
        <v>1982</v>
      </c>
      <c r="AJ5" s="4" t="n">
        <v>1983</v>
      </c>
      <c r="AK5" s="4" t="n">
        <v>1984</v>
      </c>
      <c r="AL5" s="4" t="n">
        <v>1985</v>
      </c>
      <c r="AM5" s="4" t="n">
        <v>1986</v>
      </c>
      <c r="AN5" s="4" t="n">
        <v>1987</v>
      </c>
      <c r="AO5" s="4" t="n">
        <v>1988</v>
      </c>
      <c r="AP5" s="4" t="n">
        <v>1989</v>
      </c>
      <c r="AQ5" s="4" t="n">
        <v>1990</v>
      </c>
      <c r="AR5" s="4" t="n">
        <v>1991</v>
      </c>
      <c r="AS5" s="4" t="n">
        <v>1992</v>
      </c>
      <c r="AT5" s="4" t="n">
        <v>1993</v>
      </c>
      <c r="AU5" s="4" t="n">
        <v>1994</v>
      </c>
      <c r="AV5" s="4" t="n">
        <v>1995</v>
      </c>
      <c r="AW5" s="4" t="n">
        <v>1996</v>
      </c>
      <c r="AX5" s="4" t="n">
        <v>1997</v>
      </c>
      <c r="AY5" s="4" t="n">
        <v>1998</v>
      </c>
      <c r="AZ5" s="4" t="n">
        <v>1999</v>
      </c>
      <c r="BA5" s="4" t="n">
        <v>2000</v>
      </c>
      <c r="BB5" s="4" t="n">
        <v>2001</v>
      </c>
      <c r="BC5" s="4" t="n">
        <v>2002</v>
      </c>
      <c r="BD5" s="4" t="n">
        <v>2003</v>
      </c>
      <c r="BE5" s="4" t="n">
        <v>2004</v>
      </c>
      <c r="BF5" s="4" t="n">
        <v>2005</v>
      </c>
      <c r="BG5" s="4" t="n">
        <v>2006</v>
      </c>
      <c r="BH5" s="4" t="n">
        <v>2007</v>
      </c>
      <c r="BI5" s="4" t="n">
        <v>2008</v>
      </c>
      <c r="BJ5" s="4" t="n">
        <v>2009</v>
      </c>
      <c r="BK5" s="4" t="n">
        <v>2010</v>
      </c>
      <c r="BL5" s="4" t="n">
        <v>2011</v>
      </c>
      <c r="BM5" s="4" t="n">
        <v>2012</v>
      </c>
      <c r="BN5" s="4" t="n">
        <v>2013</v>
      </c>
      <c r="BO5" s="4" t="n">
        <v>2014</v>
      </c>
      <c r="BP5" s="4" t="n">
        <v>2015</v>
      </c>
      <c r="BQ5" s="4" t="n">
        <v>2016</v>
      </c>
      <c r="BR5" s="4" t="n">
        <v>2017</v>
      </c>
      <c r="BS5" s="4" t="n">
        <v>2018</v>
      </c>
      <c r="BT5" s="4" t="n">
        <v>2019</v>
      </c>
    </row>
    <row r="6">
      <c r="A6" s="3" t="inlineStr">
        <is>
          <t>simple trophic chain, per taxon</t>
        </is>
      </c>
      <c r="B6" t="inlineStr">
        <is>
          <t>ok</t>
        </is>
      </c>
      <c r="C6" t="n">
        <v>968833784.474</v>
      </c>
      <c r="D6" t="n">
        <v>1116696883.715</v>
      </c>
      <c r="E6" t="n">
        <v>1105472927.697</v>
      </c>
      <c r="F6" t="n">
        <v>1175682564.867</v>
      </c>
      <c r="G6" t="n">
        <v>1337171481.102</v>
      </c>
      <c r="H6" t="n">
        <v>1239356788.43</v>
      </c>
      <c r="I6" t="n">
        <v>1243872576.112</v>
      </c>
      <c r="J6" t="n">
        <v>1402603315.903</v>
      </c>
      <c r="K6" t="n">
        <v>1323050811.095</v>
      </c>
      <c r="L6" t="n">
        <v>1387472816.399</v>
      </c>
      <c r="M6" t="n">
        <v>1175308544.029</v>
      </c>
      <c r="N6" t="n">
        <v>1364659510.602</v>
      </c>
      <c r="O6" t="n">
        <v>1208669448.564</v>
      </c>
      <c r="P6" t="n">
        <v>1447570890.468</v>
      </c>
      <c r="Q6" t="n">
        <v>1750787912.935</v>
      </c>
      <c r="R6" t="n">
        <v>1969628397.905</v>
      </c>
      <c r="S6" t="n">
        <v>2495641797.909</v>
      </c>
      <c r="T6" t="n">
        <v>2311760622.944</v>
      </c>
      <c r="U6" t="n">
        <v>2575944515.787</v>
      </c>
      <c r="V6" t="n">
        <v>3291841937.37</v>
      </c>
      <c r="W6" t="n">
        <v>3597468628.018</v>
      </c>
      <c r="X6" t="n">
        <v>2806711294.754</v>
      </c>
      <c r="Y6" t="n">
        <v>2734766466.217</v>
      </c>
      <c r="Z6" t="n">
        <v>2726142032.366</v>
      </c>
      <c r="AA6" t="n">
        <v>2970558978.538</v>
      </c>
      <c r="AB6" t="n">
        <v>2687259011.792</v>
      </c>
      <c r="AC6" t="n">
        <v>2907199172.495</v>
      </c>
      <c r="AD6" t="n">
        <v>2208153967.278</v>
      </c>
      <c r="AE6" t="n">
        <v>2148019698.716</v>
      </c>
      <c r="AF6" t="n">
        <v>1967185915.043</v>
      </c>
      <c r="AG6" t="n">
        <v>1937206752.937</v>
      </c>
      <c r="AH6" t="n">
        <v>2044062257.958</v>
      </c>
      <c r="AI6" t="n">
        <v>2191552512.477</v>
      </c>
      <c r="AJ6" t="n">
        <v>2185643563.868</v>
      </c>
      <c r="AK6" t="n">
        <v>2142822328.849</v>
      </c>
      <c r="AL6" t="n">
        <v>2127867273.545</v>
      </c>
      <c r="AM6" t="n">
        <v>1965245799.919</v>
      </c>
      <c r="AN6" t="n">
        <v>1894836401.913</v>
      </c>
      <c r="AO6" t="n">
        <v>1879970708.447</v>
      </c>
      <c r="AP6" t="n">
        <v>1605036516.616</v>
      </c>
      <c r="AQ6" t="n">
        <v>1498812614.626</v>
      </c>
      <c r="AR6" t="n">
        <v>1645368194.952</v>
      </c>
      <c r="AS6" t="n">
        <v>1659566996.466</v>
      </c>
      <c r="AT6" t="n">
        <v>1735271581.964</v>
      </c>
      <c r="AU6" t="n">
        <v>1655334474.358</v>
      </c>
      <c r="AV6" t="n">
        <v>1707434501.767</v>
      </c>
      <c r="AW6" t="n">
        <v>1442811055.468</v>
      </c>
      <c r="AX6" t="n">
        <v>1475314920.57</v>
      </c>
      <c r="AY6" t="n">
        <v>1411866662.291</v>
      </c>
      <c r="AZ6" t="n">
        <v>1460196692.552</v>
      </c>
      <c r="BA6" t="n">
        <v>1399581728.772</v>
      </c>
      <c r="BB6" t="n">
        <v>1288983923.853</v>
      </c>
      <c r="BC6" t="n">
        <v>1411818772.963</v>
      </c>
      <c r="BD6" t="n">
        <v>1279750285.327</v>
      </c>
      <c r="BE6" t="n">
        <v>1242241615.866</v>
      </c>
      <c r="BF6" t="n">
        <v>1129223201.71</v>
      </c>
      <c r="BG6" t="n">
        <v>1077486288.531</v>
      </c>
      <c r="BH6" t="n">
        <v>930946375.712</v>
      </c>
      <c r="BI6" t="n">
        <v>921214742.012</v>
      </c>
      <c r="BJ6" t="n">
        <v>931626037.8</v>
      </c>
      <c r="BK6" t="n">
        <v>864808958.534</v>
      </c>
      <c r="BL6" t="n">
        <v>823500035.188</v>
      </c>
      <c r="BM6" t="n">
        <v>737070173.877</v>
      </c>
      <c r="BN6" t="n">
        <v>857252775.51</v>
      </c>
      <c r="BO6" t="n">
        <v>966580495.768</v>
      </c>
      <c r="BP6" t="n">
        <v>968272325.604</v>
      </c>
      <c r="BQ6" t="n">
        <v>930050625.716</v>
      </c>
      <c r="BR6" t="n">
        <v>1051994981.736</v>
      </c>
      <c r="BS6" t="n">
        <v>1059040774.838</v>
      </c>
      <c r="BT6" t="n">
        <v>1700184792.549</v>
      </c>
    </row>
    <row r="7">
      <c r="A7" s="10" t="inlineStr">
        <is>
          <t>simple, aggregated to SAU functional group</t>
        </is>
      </c>
      <c r="B7" t="inlineStr">
        <is>
          <t>Jensen comparison, not a PPR estimate</t>
        </is>
      </c>
      <c r="C7" t="n">
        <v>889176060.962</v>
      </c>
      <c r="D7" t="n">
        <v>1027759715.068</v>
      </c>
      <c r="E7" t="n">
        <v>1027307442.029</v>
      </c>
      <c r="F7" t="n">
        <v>1090177606.673</v>
      </c>
      <c r="G7" t="n">
        <v>1260579989.509</v>
      </c>
      <c r="H7" t="n">
        <v>1147809137.966</v>
      </c>
      <c r="I7" t="n">
        <v>1146945351.728</v>
      </c>
      <c r="J7" t="n">
        <v>1293843982.479</v>
      </c>
      <c r="K7" t="n">
        <v>1217989045.541</v>
      </c>
      <c r="L7" t="n">
        <v>1249310661.682</v>
      </c>
      <c r="M7" t="n">
        <v>998194182.7180001</v>
      </c>
      <c r="N7" t="n">
        <v>1195122943.126</v>
      </c>
      <c r="O7" t="n">
        <v>975381139.007</v>
      </c>
      <c r="P7" t="n">
        <v>1202824183.844</v>
      </c>
      <c r="Q7" t="n">
        <v>1457510603.351</v>
      </c>
      <c r="R7" t="n">
        <v>1691627943.879</v>
      </c>
      <c r="S7" t="n">
        <v>2159173523.836</v>
      </c>
      <c r="T7" t="n">
        <v>1933029984.136</v>
      </c>
      <c r="U7" t="n">
        <v>2069026599.726</v>
      </c>
      <c r="V7" t="n">
        <v>2812743865.289</v>
      </c>
      <c r="W7" t="n">
        <v>3004597961.348</v>
      </c>
      <c r="X7" t="n">
        <v>2352515264.4</v>
      </c>
      <c r="Y7" t="n">
        <v>2298702192.44</v>
      </c>
      <c r="Z7" t="n">
        <v>2225763779.961</v>
      </c>
      <c r="AA7" t="n">
        <v>2338410968.08</v>
      </c>
      <c r="AB7" t="n">
        <v>2181008243.481</v>
      </c>
      <c r="AC7" t="n">
        <v>2319953267.021</v>
      </c>
      <c r="AD7" t="n">
        <v>1773490482.608</v>
      </c>
      <c r="AE7" t="n">
        <v>1725526047.081</v>
      </c>
      <c r="AF7" t="n">
        <v>1537618383.531</v>
      </c>
      <c r="AG7" t="n">
        <v>1507279013.855</v>
      </c>
      <c r="AH7" t="n">
        <v>1633662786.469</v>
      </c>
      <c r="AI7" t="n">
        <v>1722985228.48</v>
      </c>
      <c r="AJ7" t="n">
        <v>1717662368.753</v>
      </c>
      <c r="AK7" t="n">
        <v>1711641540.627</v>
      </c>
      <c r="AL7" t="n">
        <v>1743468468.486</v>
      </c>
      <c r="AM7" t="n">
        <v>1617830736.303</v>
      </c>
      <c r="AN7" t="n">
        <v>1579061875.337</v>
      </c>
      <c r="AO7" t="n">
        <v>1544244728.309</v>
      </c>
      <c r="AP7" t="n">
        <v>1349086068.012</v>
      </c>
      <c r="AQ7" t="n">
        <v>1253523448.745</v>
      </c>
      <c r="AR7" t="n">
        <v>1361278598.977</v>
      </c>
      <c r="AS7" t="n">
        <v>1371130861.972</v>
      </c>
      <c r="AT7" t="n">
        <v>1419719040.865</v>
      </c>
      <c r="AU7" t="n">
        <v>1363954339.605</v>
      </c>
      <c r="AV7" t="n">
        <v>1417344210.893</v>
      </c>
      <c r="AW7" t="n">
        <v>1195495379.358</v>
      </c>
      <c r="AX7" t="n">
        <v>1238195484.442</v>
      </c>
      <c r="AY7" t="n">
        <v>1224807147.329</v>
      </c>
      <c r="AZ7" t="n">
        <v>1254138831.049</v>
      </c>
      <c r="BA7" t="n">
        <v>1162949456.911</v>
      </c>
      <c r="BB7" t="n">
        <v>1121335919.157</v>
      </c>
      <c r="BC7" t="n">
        <v>1222189283.131</v>
      </c>
      <c r="BD7" t="n">
        <v>1169543876.844</v>
      </c>
      <c r="BE7" t="n">
        <v>1139595336.139</v>
      </c>
      <c r="BF7" t="n">
        <v>1065454060.236</v>
      </c>
      <c r="BG7" t="n">
        <v>943367957.337</v>
      </c>
      <c r="BH7" t="n">
        <v>861004629.029</v>
      </c>
      <c r="BI7" t="n">
        <v>819281960.446</v>
      </c>
      <c r="BJ7" t="n">
        <v>822234437.571</v>
      </c>
      <c r="BK7" t="n">
        <v>747815962.0700001</v>
      </c>
      <c r="BL7" t="n">
        <v>750844651.864</v>
      </c>
      <c r="BM7" t="n">
        <v>644875737.6950001</v>
      </c>
      <c r="BN7" t="n">
        <v>741159187.883</v>
      </c>
      <c r="BO7" t="n">
        <v>843775546.36</v>
      </c>
      <c r="BP7" t="n">
        <v>841569289.855</v>
      </c>
      <c r="BQ7" t="n">
        <v>806044691.5089999</v>
      </c>
      <c r="BR7" t="n">
        <v>940860321.48</v>
      </c>
      <c r="BS7" t="n">
        <v>944908278.8559999</v>
      </c>
      <c r="BT7" t="n">
        <v>1529129232.223</v>
      </c>
    </row>
    <row r="8">
      <c r="A8" s="10" t="inlineStr">
        <is>
          <t>simple, aggregated to SAU commercial group</t>
        </is>
      </c>
      <c r="B8" t="inlineStr">
        <is>
          <t>Jensen comparison, not a PPR estimate</t>
        </is>
      </c>
      <c r="C8" t="n">
        <v>898317692.9400001</v>
      </c>
      <c r="D8" t="n">
        <v>1030934053.795</v>
      </c>
      <c r="E8" t="n">
        <v>1027855229.985</v>
      </c>
      <c r="F8" t="n">
        <v>1093539180.578</v>
      </c>
      <c r="G8" t="n">
        <v>1249394353.969</v>
      </c>
      <c r="H8" t="n">
        <v>1146437279.645</v>
      </c>
      <c r="I8" t="n">
        <v>1151094225.647</v>
      </c>
      <c r="J8" t="n">
        <v>1304462633.182</v>
      </c>
      <c r="K8" t="n">
        <v>1228924372.641</v>
      </c>
      <c r="L8" t="n">
        <v>1269007202.086</v>
      </c>
      <c r="M8" t="n">
        <v>1018373217.987</v>
      </c>
      <c r="N8" t="n">
        <v>1214205633.863</v>
      </c>
      <c r="O8" t="n">
        <v>968323958.449</v>
      </c>
      <c r="P8" t="n">
        <v>1224688999.72</v>
      </c>
      <c r="Q8" t="n">
        <v>1540372887.26</v>
      </c>
      <c r="R8" t="n">
        <v>1781500229.792</v>
      </c>
      <c r="S8" t="n">
        <v>2254911966.403</v>
      </c>
      <c r="T8" t="n">
        <v>1961765749.86</v>
      </c>
      <c r="U8" t="n">
        <v>1976473636.76</v>
      </c>
      <c r="V8" t="n">
        <v>2950273449.876</v>
      </c>
      <c r="W8" t="n">
        <v>3096217974.9</v>
      </c>
      <c r="X8" t="n">
        <v>2242926670.896</v>
      </c>
      <c r="Y8" t="n">
        <v>2079626408.932</v>
      </c>
      <c r="Z8" t="n">
        <v>2107299105.23</v>
      </c>
      <c r="AA8" t="n">
        <v>2056046031.251</v>
      </c>
      <c r="AB8" t="n">
        <v>1924279997.832</v>
      </c>
      <c r="AC8" t="n">
        <v>2152101855.98</v>
      </c>
      <c r="AD8" t="n">
        <v>1620601013.551</v>
      </c>
      <c r="AE8" t="n">
        <v>1661975476.741</v>
      </c>
      <c r="AF8" t="n">
        <v>1461968455.541</v>
      </c>
      <c r="AG8" t="n">
        <v>1362826370.355</v>
      </c>
      <c r="AH8" t="n">
        <v>1577841126.064</v>
      </c>
      <c r="AI8" t="n">
        <v>1618270742.111</v>
      </c>
      <c r="AJ8" t="n">
        <v>1608745387.215</v>
      </c>
      <c r="AK8" t="n">
        <v>1605253717.674</v>
      </c>
      <c r="AL8" t="n">
        <v>1673895935.761</v>
      </c>
      <c r="AM8" t="n">
        <v>1593061004.379</v>
      </c>
      <c r="AN8" t="n">
        <v>1511488341.378</v>
      </c>
      <c r="AO8" t="n">
        <v>1527731391.5</v>
      </c>
      <c r="AP8" t="n">
        <v>1267505289.944</v>
      </c>
      <c r="AQ8" t="n">
        <v>1181292318.066</v>
      </c>
      <c r="AR8" t="n">
        <v>1287564660.284</v>
      </c>
      <c r="AS8" t="n">
        <v>1239320524.043</v>
      </c>
      <c r="AT8" t="n">
        <v>1337435953.038</v>
      </c>
      <c r="AU8" t="n">
        <v>1287773888.493</v>
      </c>
      <c r="AV8" t="n">
        <v>1292893859.731</v>
      </c>
      <c r="AW8" t="n">
        <v>1081925351.388</v>
      </c>
      <c r="AX8" t="n">
        <v>1141126483.6</v>
      </c>
      <c r="AY8" t="n">
        <v>1175052263.115</v>
      </c>
      <c r="AZ8" t="n">
        <v>1215325121.895</v>
      </c>
      <c r="BA8" t="n">
        <v>1083401882.66</v>
      </c>
      <c r="BB8" t="n">
        <v>1079251433.81</v>
      </c>
      <c r="BC8" t="n">
        <v>1170339631.976</v>
      </c>
      <c r="BD8" t="n">
        <v>1132167674.018</v>
      </c>
      <c r="BE8" t="n">
        <v>1099897069.414</v>
      </c>
      <c r="BF8" t="n">
        <v>1013883660.509</v>
      </c>
      <c r="BG8" t="n">
        <v>905087928.559</v>
      </c>
      <c r="BH8" t="n">
        <v>848126731.687</v>
      </c>
      <c r="BI8" t="n">
        <v>781681566.549</v>
      </c>
      <c r="BJ8" t="n">
        <v>769541601.141</v>
      </c>
      <c r="BK8" t="n">
        <v>652939767.4170001</v>
      </c>
      <c r="BL8" t="n">
        <v>743341073.428</v>
      </c>
      <c r="BM8" t="n">
        <v>623391099.34</v>
      </c>
      <c r="BN8" t="n">
        <v>688322214.2640001</v>
      </c>
      <c r="BO8" t="n">
        <v>820463996.704</v>
      </c>
      <c r="BP8" t="n">
        <v>796447810.7640001</v>
      </c>
      <c r="BQ8" t="n">
        <v>755415837.777</v>
      </c>
      <c r="BR8" t="n">
        <v>905905407.747</v>
      </c>
      <c r="BS8" t="n">
        <v>910263828.7869999</v>
      </c>
      <c r="BT8" t="n">
        <v>1461271649.863</v>
      </c>
    </row>
    <row r="9">
      <c r="A9" s="11" t="inlineStr">
        <is>
          <t>SPPR_1986</t>
        </is>
      </c>
      <c r="B9" s="9" t="inlineStr">
        <is>
          <t>did not resolve for any mapped group</t>
        </is>
      </c>
    </row>
    <row r="10">
      <c r="A10" s="11" t="inlineStr">
        <is>
          <t>SPPR_1995_TE0.1</t>
        </is>
      </c>
      <c r="B10" s="9" t="inlineStr">
        <is>
          <t>did not resolve for any mapped group</t>
        </is>
      </c>
    </row>
    <row r="11">
      <c r="A11" s="11" t="inlineStr">
        <is>
          <t>SPPR_1995_TEmean</t>
        </is>
      </c>
      <c r="B11" s="9" t="inlineStr">
        <is>
          <t>did not resolve for any mapped group</t>
        </is>
      </c>
    </row>
    <row r="12">
      <c r="A12" t="inlineStr">
        <is>
          <t>Ulanowicz_globalTEmean</t>
        </is>
      </c>
      <c r="B12" t="inlineStr">
        <is>
          <t>ok</t>
        </is>
      </c>
      <c r="C12" t="n">
        <v>204479140.789</v>
      </c>
      <c r="D12" t="n">
        <v>234487602.037</v>
      </c>
      <c r="E12" t="n">
        <v>217350506.683</v>
      </c>
      <c r="F12" t="n">
        <v>244764042.252</v>
      </c>
      <c r="G12" t="n">
        <v>260764225.352</v>
      </c>
      <c r="H12" t="n">
        <v>231056109.386</v>
      </c>
      <c r="I12" t="n">
        <v>242647179.644</v>
      </c>
      <c r="J12" t="n">
        <v>274015216.57</v>
      </c>
      <c r="K12" t="n">
        <v>262565212.784</v>
      </c>
      <c r="L12" t="n">
        <v>279909330.181</v>
      </c>
      <c r="M12" t="n">
        <v>240819241.482</v>
      </c>
      <c r="N12" t="n">
        <v>256031984.87</v>
      </c>
      <c r="O12" t="n">
        <v>245171519.508</v>
      </c>
      <c r="P12" t="n">
        <v>293704122.473</v>
      </c>
      <c r="Q12" t="n">
        <v>338052963.981</v>
      </c>
      <c r="R12" t="n">
        <v>376268630.504</v>
      </c>
      <c r="S12" t="n">
        <v>454009986.097</v>
      </c>
      <c r="T12" t="n">
        <v>481619590.547</v>
      </c>
      <c r="U12" t="n">
        <v>521666463.686</v>
      </c>
      <c r="V12" t="n">
        <v>540813310.607</v>
      </c>
      <c r="W12" t="n">
        <v>546547053.431</v>
      </c>
      <c r="X12" t="n">
        <v>496714423.928</v>
      </c>
      <c r="Y12" t="n">
        <v>492184554.989</v>
      </c>
      <c r="Z12" t="n">
        <v>494858607.055</v>
      </c>
      <c r="AA12" t="n">
        <v>541295098.132</v>
      </c>
      <c r="AB12" t="n">
        <v>502590061.425</v>
      </c>
      <c r="AC12" t="n">
        <v>523634313.54</v>
      </c>
      <c r="AD12" t="n">
        <v>434066943.9</v>
      </c>
      <c r="AE12" t="n">
        <v>414078282.693</v>
      </c>
      <c r="AF12" t="n">
        <v>376167854.446</v>
      </c>
      <c r="AG12" t="n">
        <v>386376795.22</v>
      </c>
      <c r="AH12" t="n">
        <v>392376754.645</v>
      </c>
      <c r="AI12" t="n">
        <v>411034236.284</v>
      </c>
      <c r="AJ12" t="n">
        <v>407564601.035</v>
      </c>
      <c r="AK12" t="n">
        <v>415229209.482</v>
      </c>
      <c r="AL12" t="n">
        <v>413894407.758</v>
      </c>
      <c r="AM12" t="n">
        <v>405331109.476</v>
      </c>
      <c r="AN12" t="n">
        <v>401340371.929</v>
      </c>
      <c r="AO12" t="n">
        <v>412600858.377</v>
      </c>
      <c r="AP12" t="n">
        <v>398480940.528</v>
      </c>
      <c r="AQ12" t="n">
        <v>347422965.164</v>
      </c>
      <c r="AR12" t="n">
        <v>380714416.307</v>
      </c>
      <c r="AS12" t="n">
        <v>398451899.605</v>
      </c>
      <c r="AT12" t="n">
        <v>382133520.946</v>
      </c>
      <c r="AU12" t="n">
        <v>383759245.198</v>
      </c>
      <c r="AV12" t="n">
        <v>402250238.655</v>
      </c>
      <c r="AW12" t="n">
        <v>316920480.716</v>
      </c>
      <c r="AX12" t="n">
        <v>340006262.19</v>
      </c>
      <c r="AY12" t="n">
        <v>316091354.37</v>
      </c>
      <c r="AZ12" t="n">
        <v>308174200.965</v>
      </c>
      <c r="BA12" t="n">
        <v>308463512.041</v>
      </c>
      <c r="BB12" t="n">
        <v>298642505.782</v>
      </c>
      <c r="BC12" t="n">
        <v>318955917.742</v>
      </c>
      <c r="BD12" t="n">
        <v>261717806.814</v>
      </c>
      <c r="BE12" t="n">
        <v>259467451.712</v>
      </c>
      <c r="BF12" t="n">
        <v>228690757.473</v>
      </c>
      <c r="BG12" t="n">
        <v>227138060.405</v>
      </c>
      <c r="BH12" t="n">
        <v>197216449.975</v>
      </c>
      <c r="BI12" t="n">
        <v>199070104.932</v>
      </c>
      <c r="BJ12" t="n">
        <v>214187652.217</v>
      </c>
      <c r="BK12" t="n">
        <v>202251759.408</v>
      </c>
      <c r="BL12" t="n">
        <v>206376218.936</v>
      </c>
      <c r="BM12" t="n">
        <v>166109118.888</v>
      </c>
      <c r="BN12" t="n">
        <v>207664211.868</v>
      </c>
      <c r="BO12" t="n">
        <v>227186046.329</v>
      </c>
      <c r="BP12" t="n">
        <v>228572142.624</v>
      </c>
      <c r="BQ12" t="n">
        <v>208224450.013</v>
      </c>
      <c r="BR12" t="n">
        <v>255207209.277</v>
      </c>
      <c r="BS12" t="n">
        <v>249133594</v>
      </c>
      <c r="BT12" t="n">
        <v>341309646.949</v>
      </c>
    </row>
    <row r="13">
      <c r="A13" t="inlineStr">
        <is>
          <t>Ulanowicz_TE</t>
        </is>
      </c>
      <c r="B13" t="inlineStr">
        <is>
          <t>ok</t>
        </is>
      </c>
      <c r="C13" t="n">
        <v>133320770.701</v>
      </c>
      <c r="D13" t="n">
        <v>156007787.639</v>
      </c>
      <c r="E13" t="n">
        <v>145442234.606</v>
      </c>
      <c r="F13" t="n">
        <v>159855876.713</v>
      </c>
      <c r="G13" t="n">
        <v>165570579.198</v>
      </c>
      <c r="H13" t="n">
        <v>154589069.207</v>
      </c>
      <c r="I13" t="n">
        <v>160948615.924</v>
      </c>
      <c r="J13" t="n">
        <v>181271684.856</v>
      </c>
      <c r="K13" t="n">
        <v>175989790.673</v>
      </c>
      <c r="L13" t="n">
        <v>189679808.725</v>
      </c>
      <c r="M13" t="n">
        <v>163910381.112</v>
      </c>
      <c r="N13" t="n">
        <v>177100710.427</v>
      </c>
      <c r="O13" t="n">
        <v>166924652.567</v>
      </c>
      <c r="P13" t="n">
        <v>200867803.313</v>
      </c>
      <c r="Q13" t="n">
        <v>223620123.949</v>
      </c>
      <c r="R13" t="n">
        <v>253438559.11</v>
      </c>
      <c r="S13" t="n">
        <v>314450578.766</v>
      </c>
      <c r="T13" t="n">
        <v>344167259.458</v>
      </c>
      <c r="U13" t="n">
        <v>365299806.463</v>
      </c>
      <c r="V13" t="n">
        <v>386099115.373</v>
      </c>
      <c r="W13" t="n">
        <v>368293279.792</v>
      </c>
      <c r="X13" t="n">
        <v>326565171.595</v>
      </c>
      <c r="Y13" t="n">
        <v>326475415.892</v>
      </c>
      <c r="Z13" t="n">
        <v>331481524.104</v>
      </c>
      <c r="AA13" t="n">
        <v>365062919.456</v>
      </c>
      <c r="AB13" t="n">
        <v>336351069.823</v>
      </c>
      <c r="AC13" t="n">
        <v>349004559.002</v>
      </c>
      <c r="AD13" t="n">
        <v>296306087.063</v>
      </c>
      <c r="AE13" t="n">
        <v>284936747.648</v>
      </c>
      <c r="AF13" t="n">
        <v>258721752.469</v>
      </c>
      <c r="AG13" t="n">
        <v>258451313.208</v>
      </c>
      <c r="AH13" t="n">
        <v>262853010.213</v>
      </c>
      <c r="AI13" t="n">
        <v>273652835.743</v>
      </c>
      <c r="AJ13" t="n">
        <v>271284649.973</v>
      </c>
      <c r="AK13" t="n">
        <v>278126158.713</v>
      </c>
      <c r="AL13" t="n">
        <v>274387248.448</v>
      </c>
      <c r="AM13" t="n">
        <v>273063146.393</v>
      </c>
      <c r="AN13" t="n">
        <v>271027672.653</v>
      </c>
      <c r="AO13" t="n">
        <v>285800248.265</v>
      </c>
      <c r="AP13" t="n">
        <v>277653662.99</v>
      </c>
      <c r="AQ13" t="n">
        <v>243417757.089</v>
      </c>
      <c r="AR13" t="n">
        <v>269668246.666</v>
      </c>
      <c r="AS13" t="n">
        <v>279135846.686</v>
      </c>
      <c r="AT13" t="n">
        <v>264259885.177</v>
      </c>
      <c r="AU13" t="n">
        <v>266718772.632</v>
      </c>
      <c r="AV13" t="n">
        <v>273607095.367</v>
      </c>
      <c r="AW13" t="n">
        <v>216384253.492</v>
      </c>
      <c r="AX13" t="n">
        <v>236009614.006</v>
      </c>
      <c r="AY13" t="n">
        <v>214896210.275</v>
      </c>
      <c r="AZ13" t="n">
        <v>213297097.564</v>
      </c>
      <c r="BA13" t="n">
        <v>214326954.82</v>
      </c>
      <c r="BB13" t="n">
        <v>211179474.161</v>
      </c>
      <c r="BC13" t="n">
        <v>224915328.414</v>
      </c>
      <c r="BD13" t="n">
        <v>182944774.854</v>
      </c>
      <c r="BE13" t="n">
        <v>179657716.204</v>
      </c>
      <c r="BF13" t="n">
        <v>152459868.355</v>
      </c>
      <c r="BG13" t="n">
        <v>155465729.883</v>
      </c>
      <c r="BH13" t="n">
        <v>135650831.56</v>
      </c>
      <c r="BI13" t="n">
        <v>136418811.541</v>
      </c>
      <c r="BJ13" t="n">
        <v>148193797.992</v>
      </c>
      <c r="BK13" t="n">
        <v>137914480.883</v>
      </c>
      <c r="BL13" t="n">
        <v>144482639.186</v>
      </c>
      <c r="BM13" t="n">
        <v>109725743.66</v>
      </c>
      <c r="BN13" t="n">
        <v>139360708.769</v>
      </c>
      <c r="BO13" t="n">
        <v>155542706.509</v>
      </c>
      <c r="BP13" t="n">
        <v>153199454.61</v>
      </c>
      <c r="BQ13" t="n">
        <v>135784788.945</v>
      </c>
      <c r="BR13" t="n">
        <v>172506863.478</v>
      </c>
      <c r="BS13" t="n">
        <v>166949177.126</v>
      </c>
      <c r="BT13" t="n">
        <v>212220962.113</v>
      </c>
    </row>
    <row r="14">
      <c r="A14" t="inlineStr">
        <is>
          <t>EwE_TE_noEE</t>
        </is>
      </c>
      <c r="B14" t="inlineStr">
        <is>
          <t>ok</t>
        </is>
      </c>
      <c r="C14" t="n">
        <v>137570556.218</v>
      </c>
      <c r="D14" t="n">
        <v>161122104.464</v>
      </c>
      <c r="E14" t="n">
        <v>150471656.524</v>
      </c>
      <c r="F14" t="n">
        <v>164993443.621</v>
      </c>
      <c r="G14" t="n">
        <v>170934481.933</v>
      </c>
      <c r="H14" t="n">
        <v>159875378.854</v>
      </c>
      <c r="I14" t="n">
        <v>166225650.27</v>
      </c>
      <c r="J14" t="n">
        <v>187475727.922</v>
      </c>
      <c r="K14" t="n">
        <v>182087560.244</v>
      </c>
      <c r="L14" t="n">
        <v>196310823.091</v>
      </c>
      <c r="M14" t="n">
        <v>169583039.148</v>
      </c>
      <c r="N14" t="n">
        <v>183588937.825</v>
      </c>
      <c r="O14" t="n">
        <v>172702683.479</v>
      </c>
      <c r="P14" t="n">
        <v>207863902.629</v>
      </c>
      <c r="Q14" t="n">
        <v>231421783.237</v>
      </c>
      <c r="R14" t="n">
        <v>262986105.453</v>
      </c>
      <c r="S14" t="n">
        <v>328582723.521</v>
      </c>
      <c r="T14" t="n">
        <v>361184008.53</v>
      </c>
      <c r="U14" t="n">
        <v>382412557.64</v>
      </c>
      <c r="V14" t="n">
        <v>404650494.918</v>
      </c>
      <c r="W14" t="n">
        <v>383867453.05</v>
      </c>
      <c r="X14" t="n">
        <v>339290131.913</v>
      </c>
      <c r="Y14" t="n">
        <v>338788759.536</v>
      </c>
      <c r="Z14" t="n">
        <v>344904115.925</v>
      </c>
      <c r="AA14" t="n">
        <v>379561595.285</v>
      </c>
      <c r="AB14" t="n">
        <v>349230473.608</v>
      </c>
      <c r="AC14" t="n">
        <v>363045110.795</v>
      </c>
      <c r="AD14" t="n">
        <v>308212924.92</v>
      </c>
      <c r="AE14" t="n">
        <v>296900617.513</v>
      </c>
      <c r="AF14" t="n">
        <v>269696466.798</v>
      </c>
      <c r="AG14" t="n">
        <v>268589030.035</v>
      </c>
      <c r="AH14" t="n">
        <v>273390828.362</v>
      </c>
      <c r="AI14" t="n">
        <v>284470600.521</v>
      </c>
      <c r="AJ14" t="n">
        <v>281991782.983</v>
      </c>
      <c r="AK14" t="n">
        <v>289061228.255</v>
      </c>
      <c r="AL14" t="n">
        <v>284888607.537</v>
      </c>
      <c r="AM14" t="n">
        <v>283504568.115</v>
      </c>
      <c r="AN14" t="n">
        <v>281558615.359</v>
      </c>
      <c r="AO14" t="n">
        <v>297301854.458</v>
      </c>
      <c r="AP14" t="n">
        <v>288609803.873</v>
      </c>
      <c r="AQ14" t="n">
        <v>253423166.238</v>
      </c>
      <c r="AR14" t="n">
        <v>281119204.636</v>
      </c>
      <c r="AS14" t="n">
        <v>290787693.75</v>
      </c>
      <c r="AT14" t="n">
        <v>275902706.258</v>
      </c>
      <c r="AU14" t="n">
        <v>278034562.932</v>
      </c>
      <c r="AV14" t="n">
        <v>284752774.648</v>
      </c>
      <c r="AW14" t="n">
        <v>225387806.798</v>
      </c>
      <c r="AX14" t="n">
        <v>245985756.561</v>
      </c>
      <c r="AY14" t="n">
        <v>223911304.746</v>
      </c>
      <c r="AZ14" t="n">
        <v>222812414.934</v>
      </c>
      <c r="BA14" t="n">
        <v>223799379.275</v>
      </c>
      <c r="BB14" t="n">
        <v>220538299.275</v>
      </c>
      <c r="BC14" t="n">
        <v>235113601.163</v>
      </c>
      <c r="BD14" t="n">
        <v>191472913.712</v>
      </c>
      <c r="BE14" t="n">
        <v>187829478.632</v>
      </c>
      <c r="BF14" t="n">
        <v>159023599.243</v>
      </c>
      <c r="BG14" t="n">
        <v>162309735.887</v>
      </c>
      <c r="BH14" t="n">
        <v>141848199.063</v>
      </c>
      <c r="BI14" t="n">
        <v>142507638.062</v>
      </c>
      <c r="BJ14" t="n">
        <v>154929090.223</v>
      </c>
      <c r="BK14" t="n">
        <v>143932270.083</v>
      </c>
      <c r="BL14" t="n">
        <v>150979858.274</v>
      </c>
      <c r="BM14" t="n">
        <v>114350741.23</v>
      </c>
      <c r="BN14" t="n">
        <v>145154817.322</v>
      </c>
      <c r="BO14" t="n">
        <v>162807795.527</v>
      </c>
      <c r="BP14" t="n">
        <v>159962412.151</v>
      </c>
      <c r="BQ14" t="n">
        <v>141765502.702</v>
      </c>
      <c r="BR14" t="n">
        <v>180051084.508</v>
      </c>
      <c r="BS14" t="n">
        <v>174432262.471</v>
      </c>
      <c r="BT14" t="n">
        <v>220574588.644</v>
      </c>
    </row>
    <row r="15">
      <c r="A15" t="inlineStr">
        <is>
          <t>EwE_TE_EE</t>
        </is>
      </c>
      <c r="B15" t="inlineStr">
        <is>
          <t>ok</t>
        </is>
      </c>
      <c r="C15" t="n">
        <v>114354088.953</v>
      </c>
      <c r="D15" t="n">
        <v>133677673.137</v>
      </c>
      <c r="E15" t="n">
        <v>125185179.597</v>
      </c>
      <c r="F15" t="n">
        <v>138125004.027</v>
      </c>
      <c r="G15" t="n">
        <v>142609084.863</v>
      </c>
      <c r="H15" t="n">
        <v>132478655.544</v>
      </c>
      <c r="I15" t="n">
        <v>138310460.42</v>
      </c>
      <c r="J15" t="n">
        <v>157718682.388</v>
      </c>
      <c r="K15" t="n">
        <v>152067061.095</v>
      </c>
      <c r="L15" t="n">
        <v>165196081.868</v>
      </c>
      <c r="M15" t="n">
        <v>140677784.992</v>
      </c>
      <c r="N15" t="n">
        <v>152216656.694</v>
      </c>
      <c r="O15" t="n">
        <v>145025984.903</v>
      </c>
      <c r="P15" t="n">
        <v>174826878.076</v>
      </c>
      <c r="Q15" t="n">
        <v>198469609.775</v>
      </c>
      <c r="R15" t="n">
        <v>224567735.065</v>
      </c>
      <c r="S15" t="n">
        <v>284180840.671</v>
      </c>
      <c r="T15" t="n">
        <v>311755626.183</v>
      </c>
      <c r="U15" t="n">
        <v>329526274.293</v>
      </c>
      <c r="V15" t="n">
        <v>350133818.397</v>
      </c>
      <c r="W15" t="n">
        <v>334749068.145</v>
      </c>
      <c r="X15" t="n">
        <v>293838501.403</v>
      </c>
      <c r="Y15" t="n">
        <v>291070139.568</v>
      </c>
      <c r="Z15" t="n">
        <v>298192328.089</v>
      </c>
      <c r="AA15" t="n">
        <v>329833269.615</v>
      </c>
      <c r="AB15" t="n">
        <v>302512991.82</v>
      </c>
      <c r="AC15" t="n">
        <v>317252543.513</v>
      </c>
      <c r="AD15" t="n">
        <v>269004760.299</v>
      </c>
      <c r="AE15" t="n">
        <v>258295330.775</v>
      </c>
      <c r="AF15" t="n">
        <v>234205103.375</v>
      </c>
      <c r="AG15" t="n">
        <v>234543160.62</v>
      </c>
      <c r="AH15" t="n">
        <v>238748242.652</v>
      </c>
      <c r="AI15" t="n">
        <v>250176101.595</v>
      </c>
      <c r="AJ15" t="n">
        <v>247331231.972</v>
      </c>
      <c r="AK15" t="n">
        <v>254365260.124</v>
      </c>
      <c r="AL15" t="n">
        <v>251365982.146</v>
      </c>
      <c r="AM15" t="n">
        <v>251573790.929</v>
      </c>
      <c r="AN15" t="n">
        <v>248734275.925</v>
      </c>
      <c r="AO15" t="n">
        <v>263517550.869</v>
      </c>
      <c r="AP15" t="n">
        <v>256637377.902</v>
      </c>
      <c r="AQ15" t="n">
        <v>223860026.709</v>
      </c>
      <c r="AR15" t="n">
        <v>249670899.333</v>
      </c>
      <c r="AS15" t="n">
        <v>258590666.514</v>
      </c>
      <c r="AT15" t="n">
        <v>245479976.559</v>
      </c>
      <c r="AU15" t="n">
        <v>248556461.965</v>
      </c>
      <c r="AV15" t="n">
        <v>253520336.698</v>
      </c>
      <c r="AW15" t="n">
        <v>200765705.499</v>
      </c>
      <c r="AX15" t="n">
        <v>219949281.106</v>
      </c>
      <c r="AY15" t="n">
        <v>199805887.157</v>
      </c>
      <c r="AZ15" t="n">
        <v>199039863.326</v>
      </c>
      <c r="BA15" t="n">
        <v>199951302.612</v>
      </c>
      <c r="BB15" t="n">
        <v>197063533.026</v>
      </c>
      <c r="BC15" t="n">
        <v>210360469.33</v>
      </c>
      <c r="BD15" t="n">
        <v>170806149.032</v>
      </c>
      <c r="BE15" t="n">
        <v>167738155.546</v>
      </c>
      <c r="BF15" t="n">
        <v>141982353.679</v>
      </c>
      <c r="BG15" t="n">
        <v>145135409.475</v>
      </c>
      <c r="BH15" t="n">
        <v>126871516.214</v>
      </c>
      <c r="BI15" t="n">
        <v>127619693.582</v>
      </c>
      <c r="BJ15" t="n">
        <v>138868196.441</v>
      </c>
      <c r="BK15" t="n">
        <v>129155158.504</v>
      </c>
      <c r="BL15" t="n">
        <v>135609878.586</v>
      </c>
      <c r="BM15" t="n">
        <v>101932214.816</v>
      </c>
      <c r="BN15" t="n">
        <v>130074151.915</v>
      </c>
      <c r="BO15" t="n">
        <v>145713325.378</v>
      </c>
      <c r="BP15" t="n">
        <v>143433079.094</v>
      </c>
      <c r="BQ15" t="n">
        <v>126815290.414</v>
      </c>
      <c r="BR15" t="n">
        <v>162205499.564</v>
      </c>
      <c r="BS15" t="n">
        <v>156061243.11</v>
      </c>
      <c r="BT15" t="n">
        <v>197053672.401</v>
      </c>
    </row>
    <row r="16">
      <c r="A16" s="11" t="inlineStr">
        <is>
          <t>SPPR_2015</t>
        </is>
      </c>
      <c r="B16" s="9" t="inlineStr">
        <is>
          <t>DIVERGED - negative SPPR in a source-model group</t>
        </is>
      </c>
      <c r="C16" t="n">
        <v>257138323.892</v>
      </c>
      <c r="D16" t="n">
        <v>301546464.154</v>
      </c>
      <c r="E16" t="n">
        <v>282944688.555</v>
      </c>
      <c r="F16" t="n">
        <v>308198823.761</v>
      </c>
      <c r="G16" t="n">
        <v>316861647.374</v>
      </c>
      <c r="H16" t="n">
        <v>300486110.585</v>
      </c>
      <c r="I16" t="n">
        <v>311496913.68</v>
      </c>
      <c r="J16" t="n">
        <v>349581320.327</v>
      </c>
      <c r="K16" t="n">
        <v>342466945.95</v>
      </c>
      <c r="L16" t="n">
        <v>368462652.345</v>
      </c>
      <c r="M16" t="n">
        <v>319690822.87</v>
      </c>
      <c r="N16" t="n">
        <v>346339732.083</v>
      </c>
      <c r="O16" t="n">
        <v>323164536.009</v>
      </c>
      <c r="P16" t="n">
        <v>390160958.923</v>
      </c>
      <c r="Q16" t="n">
        <v>428717206.674</v>
      </c>
      <c r="R16" t="n">
        <v>487313937.224</v>
      </c>
      <c r="S16" t="n">
        <v>598383166.801</v>
      </c>
      <c r="T16" t="n">
        <v>649321126.742</v>
      </c>
      <c r="U16" t="n">
        <v>689282497.262</v>
      </c>
      <c r="V16" t="n">
        <v>739489935.405</v>
      </c>
      <c r="W16" t="n">
        <v>711218303.951</v>
      </c>
      <c r="X16" t="n">
        <v>630961171.625</v>
      </c>
      <c r="Y16" t="n">
        <v>634932012.3279999</v>
      </c>
      <c r="Z16" t="n">
        <v>635037683.415</v>
      </c>
      <c r="AA16" t="n">
        <v>700886965.8049999</v>
      </c>
      <c r="AB16" t="n">
        <v>646922130.339</v>
      </c>
      <c r="AC16" t="n">
        <v>671078973.041</v>
      </c>
      <c r="AD16" t="n">
        <v>574561322.242</v>
      </c>
      <c r="AE16" t="n">
        <v>553531317.9119999</v>
      </c>
      <c r="AF16" t="n">
        <v>501411787.434</v>
      </c>
      <c r="AG16" t="n">
        <v>500262508.021</v>
      </c>
      <c r="AH16" t="n">
        <v>510335518.676</v>
      </c>
      <c r="AI16" t="n">
        <v>528959779.769</v>
      </c>
      <c r="AJ16" t="n">
        <v>523018240.769</v>
      </c>
      <c r="AK16" t="n">
        <v>536200136.264</v>
      </c>
      <c r="AL16" t="n">
        <v>527683170.685</v>
      </c>
      <c r="AM16" t="n">
        <v>524952761.146</v>
      </c>
      <c r="AN16" t="n">
        <v>518147812.678</v>
      </c>
      <c r="AO16" t="n">
        <v>546008790.464</v>
      </c>
      <c r="AP16" t="n">
        <v>530871612.359</v>
      </c>
      <c r="AQ16" t="n">
        <v>465123116.744</v>
      </c>
      <c r="AR16" t="n">
        <v>513959014.079</v>
      </c>
      <c r="AS16" t="n">
        <v>530735333.457</v>
      </c>
      <c r="AT16" t="n">
        <v>496987938.94</v>
      </c>
      <c r="AU16" t="n">
        <v>504648863.776</v>
      </c>
      <c r="AV16" t="n">
        <v>516379263.985</v>
      </c>
      <c r="AW16" t="n">
        <v>413275117.883</v>
      </c>
      <c r="AX16" t="n">
        <v>450655762.99</v>
      </c>
      <c r="AY16" t="n">
        <v>408058203.974</v>
      </c>
      <c r="AZ16" t="n">
        <v>401994807.853</v>
      </c>
      <c r="BA16" t="n">
        <v>403262367.636</v>
      </c>
      <c r="BB16" t="n">
        <v>398767995.625</v>
      </c>
      <c r="BC16" t="n">
        <v>422606048.383</v>
      </c>
      <c r="BD16" t="n">
        <v>339691088.438</v>
      </c>
      <c r="BE16" t="n">
        <v>333064219.936</v>
      </c>
      <c r="BF16" t="n">
        <v>280154688.216</v>
      </c>
      <c r="BG16" t="n">
        <v>288345520.471</v>
      </c>
      <c r="BH16" t="n">
        <v>252100621.472</v>
      </c>
      <c r="BI16" t="n">
        <v>256274629.922</v>
      </c>
      <c r="BJ16" t="n">
        <v>278115462.906</v>
      </c>
      <c r="BK16" t="n">
        <v>258347719.435</v>
      </c>
      <c r="BL16" t="n">
        <v>272155453.553</v>
      </c>
      <c r="BM16" t="n">
        <v>203374615.557</v>
      </c>
      <c r="BN16" t="n">
        <v>259017006.958</v>
      </c>
      <c r="BO16" t="n">
        <v>285903773.209</v>
      </c>
      <c r="BP16" t="n">
        <v>281836916.927</v>
      </c>
      <c r="BQ16" t="n">
        <v>247765109.678</v>
      </c>
      <c r="BR16" t="n">
        <v>321067785.721</v>
      </c>
      <c r="BS16" t="n">
        <v>307062014.775</v>
      </c>
      <c r="BT16" t="n">
        <v>395791832.837</v>
      </c>
    </row>
    <row r="17">
      <c r="A17" s="11" t="inlineStr">
        <is>
          <t>new_TE_noEEfix</t>
        </is>
      </c>
      <c r="B17" s="9" t="inlineStr">
        <is>
          <t>DIVERGED - negative SPPR in a source-model group</t>
        </is>
      </c>
      <c r="C17" t="n">
        <v>197787822.126</v>
      </c>
      <c r="D17" t="n">
        <v>232343843.354</v>
      </c>
      <c r="E17" t="n">
        <v>216256138.942</v>
      </c>
      <c r="F17" t="n">
        <v>236050446.788</v>
      </c>
      <c r="G17" t="n">
        <v>244945177.207</v>
      </c>
      <c r="H17" t="n">
        <v>230559686.563</v>
      </c>
      <c r="I17" t="n">
        <v>239208389.794</v>
      </c>
      <c r="J17" t="n">
        <v>268277544.275</v>
      </c>
      <c r="K17" t="n">
        <v>261580620.957</v>
      </c>
      <c r="L17" t="n">
        <v>280980025.83</v>
      </c>
      <c r="M17" t="n">
        <v>244205127.492</v>
      </c>
      <c r="N17" t="n">
        <v>265004104.864</v>
      </c>
      <c r="O17" t="n">
        <v>247059691.59</v>
      </c>
      <c r="P17" t="n">
        <v>297407146.112</v>
      </c>
      <c r="Q17" t="n">
        <v>326767316.535</v>
      </c>
      <c r="R17" t="n">
        <v>372204251.011</v>
      </c>
      <c r="S17" t="n">
        <v>459869933.109</v>
      </c>
      <c r="T17" t="n">
        <v>504466379.296</v>
      </c>
      <c r="U17" t="n">
        <v>535602685.123</v>
      </c>
      <c r="V17" t="n">
        <v>564874816.15</v>
      </c>
      <c r="W17" t="n">
        <v>533228202.224</v>
      </c>
      <c r="X17" t="n">
        <v>474321181.228</v>
      </c>
      <c r="Y17" t="n">
        <v>478185508.097</v>
      </c>
      <c r="Z17" t="n">
        <v>483279528.142</v>
      </c>
      <c r="AA17" t="n">
        <v>532506627.583</v>
      </c>
      <c r="AB17" t="n">
        <v>490302338.084</v>
      </c>
      <c r="AC17" t="n">
        <v>505758987.869</v>
      </c>
      <c r="AD17" t="n">
        <v>429897196.009</v>
      </c>
      <c r="AE17" t="n">
        <v>415109614.39</v>
      </c>
      <c r="AF17" t="n">
        <v>377315018.583</v>
      </c>
      <c r="AG17" t="n">
        <v>374175639.762</v>
      </c>
      <c r="AH17" t="n">
        <v>380680191.308</v>
      </c>
      <c r="AI17" t="n">
        <v>394190993.847</v>
      </c>
      <c r="AJ17" t="n">
        <v>391528548.853</v>
      </c>
      <c r="AK17" t="n">
        <v>401253781.084</v>
      </c>
      <c r="AL17" t="n">
        <v>394552455.066</v>
      </c>
      <c r="AM17" t="n">
        <v>391209111.699</v>
      </c>
      <c r="AN17" t="n">
        <v>391046796.739</v>
      </c>
      <c r="AO17" t="n">
        <v>411921629.628</v>
      </c>
      <c r="AP17" t="n">
        <v>398961604.598</v>
      </c>
      <c r="AQ17" t="n">
        <v>351508858.71</v>
      </c>
      <c r="AR17" t="n">
        <v>388281012.151</v>
      </c>
      <c r="AS17" t="n">
        <v>401097038.248</v>
      </c>
      <c r="AT17" t="n">
        <v>379668720.297</v>
      </c>
      <c r="AU17" t="n">
        <v>381979572.188</v>
      </c>
      <c r="AV17" t="n">
        <v>391630923.293</v>
      </c>
      <c r="AW17" t="n">
        <v>310344721.604</v>
      </c>
      <c r="AX17" t="n">
        <v>337760740.725</v>
      </c>
      <c r="AY17" t="n">
        <v>307108679.86</v>
      </c>
      <c r="AZ17" t="n">
        <v>305143720.093</v>
      </c>
      <c r="BA17" t="n">
        <v>306629436.802</v>
      </c>
      <c r="BB17" t="n">
        <v>302435577.275</v>
      </c>
      <c r="BC17" t="n">
        <v>321940218.43</v>
      </c>
      <c r="BD17" t="n">
        <v>262400049.821</v>
      </c>
      <c r="BE17" t="n">
        <v>257147199.693</v>
      </c>
      <c r="BF17" t="n">
        <v>217732366.948</v>
      </c>
      <c r="BG17" t="n">
        <v>222529332.953</v>
      </c>
      <c r="BH17" t="n">
        <v>194326836.158</v>
      </c>
      <c r="BI17" t="n">
        <v>195320114.818</v>
      </c>
      <c r="BJ17" t="n">
        <v>212037129.173</v>
      </c>
      <c r="BK17" t="n">
        <v>196556646.979</v>
      </c>
      <c r="BL17" t="n">
        <v>206570170.646</v>
      </c>
      <c r="BM17" t="n">
        <v>157022042.828</v>
      </c>
      <c r="BN17" t="n">
        <v>198822905.785</v>
      </c>
      <c r="BO17" t="n">
        <v>222781146.315</v>
      </c>
      <c r="BP17" t="n">
        <v>218765506.315</v>
      </c>
      <c r="BQ17" t="n">
        <v>194077531.805</v>
      </c>
      <c r="BR17" t="n">
        <v>246161969.936</v>
      </c>
      <c r="BS17" t="n">
        <v>239067060.305</v>
      </c>
      <c r="BT17" t="n">
        <v>302580861.034</v>
      </c>
    </row>
    <row r="18">
      <c r="A18" s="11" t="inlineStr">
        <is>
          <t>new_TE_EEfix</t>
        </is>
      </c>
      <c r="B18" s="9" t="inlineStr">
        <is>
          <t>FAILED diagnostic for this SPPR_new configuration</t>
        </is>
      </c>
      <c r="C18" t="n">
        <v>197787822.126</v>
      </c>
      <c r="D18" t="n">
        <v>232343843.354</v>
      </c>
      <c r="E18" t="n">
        <v>216256138.942</v>
      </c>
      <c r="F18" t="n">
        <v>236050446.788</v>
      </c>
      <c r="G18" t="n">
        <v>244945177.207</v>
      </c>
      <c r="H18" t="n">
        <v>230559686.563</v>
      </c>
      <c r="I18" t="n">
        <v>239208389.794</v>
      </c>
      <c r="J18" t="n">
        <v>268277544.275</v>
      </c>
      <c r="K18" t="n">
        <v>261580620.957</v>
      </c>
      <c r="L18" t="n">
        <v>280980025.83</v>
      </c>
      <c r="M18" t="n">
        <v>244205127.492</v>
      </c>
      <c r="N18" t="n">
        <v>265004104.864</v>
      </c>
      <c r="O18" t="n">
        <v>247059691.59</v>
      </c>
      <c r="P18" t="n">
        <v>297407146.112</v>
      </c>
      <c r="Q18" t="n">
        <v>326767316.535</v>
      </c>
      <c r="R18" t="n">
        <v>372204251.011</v>
      </c>
      <c r="S18" t="n">
        <v>459869933.109</v>
      </c>
      <c r="T18" t="n">
        <v>504466379.296</v>
      </c>
      <c r="U18" t="n">
        <v>535602685.123</v>
      </c>
      <c r="V18" t="n">
        <v>564874816.15</v>
      </c>
      <c r="W18" t="n">
        <v>533228202.224</v>
      </c>
      <c r="X18" t="n">
        <v>474321181.228</v>
      </c>
      <c r="Y18" t="n">
        <v>478185508.097</v>
      </c>
      <c r="Z18" t="n">
        <v>483279528.142</v>
      </c>
      <c r="AA18" t="n">
        <v>532506627.583</v>
      </c>
      <c r="AB18" t="n">
        <v>490302338.084</v>
      </c>
      <c r="AC18" t="n">
        <v>505758987.869</v>
      </c>
      <c r="AD18" t="n">
        <v>429897196.009</v>
      </c>
      <c r="AE18" t="n">
        <v>415109614.39</v>
      </c>
      <c r="AF18" t="n">
        <v>377315018.583</v>
      </c>
      <c r="AG18" t="n">
        <v>374175639.762</v>
      </c>
      <c r="AH18" t="n">
        <v>380680191.308</v>
      </c>
      <c r="AI18" t="n">
        <v>394190993.847</v>
      </c>
      <c r="AJ18" t="n">
        <v>391528548.853</v>
      </c>
      <c r="AK18" t="n">
        <v>401253781.084</v>
      </c>
      <c r="AL18" t="n">
        <v>394552455.066</v>
      </c>
      <c r="AM18" t="n">
        <v>391209111.699</v>
      </c>
      <c r="AN18" t="n">
        <v>391046796.739</v>
      </c>
      <c r="AO18" t="n">
        <v>411921629.628</v>
      </c>
      <c r="AP18" t="n">
        <v>398961604.598</v>
      </c>
      <c r="AQ18" t="n">
        <v>351508858.71</v>
      </c>
      <c r="AR18" t="n">
        <v>388281012.151</v>
      </c>
      <c r="AS18" t="n">
        <v>401097038.248</v>
      </c>
      <c r="AT18" t="n">
        <v>379668720.297</v>
      </c>
      <c r="AU18" t="n">
        <v>381979572.188</v>
      </c>
      <c r="AV18" t="n">
        <v>391630923.293</v>
      </c>
      <c r="AW18" t="n">
        <v>310344721.604</v>
      </c>
      <c r="AX18" t="n">
        <v>337760740.725</v>
      </c>
      <c r="AY18" t="n">
        <v>307108679.86</v>
      </c>
      <c r="AZ18" t="n">
        <v>305143720.093</v>
      </c>
      <c r="BA18" t="n">
        <v>306629436.802</v>
      </c>
      <c r="BB18" t="n">
        <v>302435577.275</v>
      </c>
      <c r="BC18" t="n">
        <v>321940218.43</v>
      </c>
      <c r="BD18" t="n">
        <v>262400049.821</v>
      </c>
      <c r="BE18" t="n">
        <v>257147199.693</v>
      </c>
      <c r="BF18" t="n">
        <v>217732366.948</v>
      </c>
      <c r="BG18" t="n">
        <v>222529332.953</v>
      </c>
      <c r="BH18" t="n">
        <v>194326836.158</v>
      </c>
      <c r="BI18" t="n">
        <v>195320114.818</v>
      </c>
      <c r="BJ18" t="n">
        <v>212037129.173</v>
      </c>
      <c r="BK18" t="n">
        <v>196556646.979</v>
      </c>
      <c r="BL18" t="n">
        <v>206570170.646</v>
      </c>
      <c r="BM18" t="n">
        <v>157022042.828</v>
      </c>
      <c r="BN18" t="n">
        <v>198822905.785</v>
      </c>
      <c r="BO18" t="n">
        <v>222781146.315</v>
      </c>
      <c r="BP18" t="n">
        <v>218765506.315</v>
      </c>
      <c r="BQ18" t="n">
        <v>194077531.805</v>
      </c>
      <c r="BR18" t="n">
        <v>246161969.936</v>
      </c>
      <c r="BS18" t="n">
        <v>239067060.305</v>
      </c>
      <c r="BT18" t="n">
        <v>302580861.034</v>
      </c>
    </row>
    <row r="19">
      <c r="A19" t="inlineStr">
        <is>
          <t>new_GE</t>
        </is>
      </c>
      <c r="B19" t="inlineStr">
        <is>
          <t>ok</t>
        </is>
      </c>
      <c r="C19" t="n">
        <v>107619965.003</v>
      </c>
      <c r="D19" t="n">
        <v>125756570.661</v>
      </c>
      <c r="E19" t="n">
        <v>117017821.65</v>
      </c>
      <c r="F19" t="n">
        <v>129736706.428</v>
      </c>
      <c r="G19" t="n">
        <v>134165660.598</v>
      </c>
      <c r="H19" t="n">
        <v>124291049.032</v>
      </c>
      <c r="I19" t="n">
        <v>129935969.487</v>
      </c>
      <c r="J19" t="n">
        <v>147528330.863</v>
      </c>
      <c r="K19" t="n">
        <v>141828175.956</v>
      </c>
      <c r="L19" t="n">
        <v>154011862.397</v>
      </c>
      <c r="M19" t="n">
        <v>131666762.199</v>
      </c>
      <c r="N19" t="n">
        <v>142260405.276</v>
      </c>
      <c r="O19" t="n">
        <v>136054060.114</v>
      </c>
      <c r="P19" t="n">
        <v>163656726.235</v>
      </c>
      <c r="Q19" t="n">
        <v>185178904.877</v>
      </c>
      <c r="R19" t="n">
        <v>209045138.231</v>
      </c>
      <c r="S19" t="n">
        <v>263420024.929</v>
      </c>
      <c r="T19" t="n">
        <v>289624045.432</v>
      </c>
      <c r="U19" t="n">
        <v>306736922.108</v>
      </c>
      <c r="V19" t="n">
        <v>323220802.664</v>
      </c>
      <c r="W19" t="n">
        <v>306465008.417</v>
      </c>
      <c r="X19" t="n">
        <v>268451531.841</v>
      </c>
      <c r="Y19" t="n">
        <v>266749465.458</v>
      </c>
      <c r="Z19" t="n">
        <v>274706862.831</v>
      </c>
      <c r="AA19" t="n">
        <v>303828236.816</v>
      </c>
      <c r="AB19" t="n">
        <v>278710251.935</v>
      </c>
      <c r="AC19" t="n">
        <v>290254883.199</v>
      </c>
      <c r="AD19" t="n">
        <v>245679322.582</v>
      </c>
      <c r="AE19" t="n">
        <v>235844870.812</v>
      </c>
      <c r="AF19" t="n">
        <v>214457634.588</v>
      </c>
      <c r="AG19" t="n">
        <v>214812730.065</v>
      </c>
      <c r="AH19" t="n">
        <v>217905376.679</v>
      </c>
      <c r="AI19" t="n">
        <v>228476537.432</v>
      </c>
      <c r="AJ19" t="n">
        <v>226305649.23</v>
      </c>
      <c r="AK19" t="n">
        <v>232343997.89</v>
      </c>
      <c r="AL19" t="n">
        <v>229750488.812</v>
      </c>
      <c r="AM19" t="n">
        <v>229956864.332</v>
      </c>
      <c r="AN19" t="n">
        <v>228820842.647</v>
      </c>
      <c r="AO19" t="n">
        <v>242555274.174</v>
      </c>
      <c r="AP19" t="n">
        <v>236122076.261</v>
      </c>
      <c r="AQ19" t="n">
        <v>206018289.523</v>
      </c>
      <c r="AR19" t="n">
        <v>229552177.778</v>
      </c>
      <c r="AS19" t="n">
        <v>237857401.653</v>
      </c>
      <c r="AT19" t="n">
        <v>226190852.186</v>
      </c>
      <c r="AU19" t="n">
        <v>228539141.951</v>
      </c>
      <c r="AV19" t="n">
        <v>233556685.552</v>
      </c>
      <c r="AW19" t="n">
        <v>183066130.205</v>
      </c>
      <c r="AX19" t="n">
        <v>200643056.295</v>
      </c>
      <c r="AY19" t="n">
        <v>182823536.848</v>
      </c>
      <c r="AZ19" t="n">
        <v>182772338.492</v>
      </c>
      <c r="BA19" t="n">
        <v>184054812.387</v>
      </c>
      <c r="BB19" t="n">
        <v>181174510.62</v>
      </c>
      <c r="BC19" t="n">
        <v>193551010.767</v>
      </c>
      <c r="BD19" t="n">
        <v>158145281.338</v>
      </c>
      <c r="BE19" t="n">
        <v>155459478.991</v>
      </c>
      <c r="BF19" t="n">
        <v>132114405.152</v>
      </c>
      <c r="BG19" t="n">
        <v>134560508.171</v>
      </c>
      <c r="BH19" t="n">
        <v>117155597.511</v>
      </c>
      <c r="BI19" t="n">
        <v>116944150.991</v>
      </c>
      <c r="BJ19" t="n">
        <v>127429109.944</v>
      </c>
      <c r="BK19" t="n">
        <v>118861764.626</v>
      </c>
      <c r="BL19" t="n">
        <v>124378845.081</v>
      </c>
      <c r="BM19" t="n">
        <v>94566852.37</v>
      </c>
      <c r="BN19" t="n">
        <v>120490914.101</v>
      </c>
      <c r="BO19" t="n">
        <v>135405011.946</v>
      </c>
      <c r="BP19" t="n">
        <v>133040602.12</v>
      </c>
      <c r="BQ19" t="n">
        <v>117869796.466</v>
      </c>
      <c r="BR19" t="n">
        <v>149012015.936</v>
      </c>
      <c r="BS19" t="n">
        <v>144624792.676</v>
      </c>
      <c r="BT19" t="n">
        <v>180424281.054</v>
      </c>
    </row>
    <row r="20">
      <c r="A20" t="inlineStr">
        <is>
          <t>new_WithEgestion</t>
        </is>
      </c>
      <c r="B20" t="inlineStr">
        <is>
          <t>ok</t>
        </is>
      </c>
      <c r="C20" t="n">
        <v>40088388.189</v>
      </c>
      <c r="D20" t="n">
        <v>46639360.183</v>
      </c>
      <c r="E20" t="n">
        <v>43089419.298</v>
      </c>
      <c r="F20" t="n">
        <v>48340627.983</v>
      </c>
      <c r="G20" t="n">
        <v>49851449.099</v>
      </c>
      <c r="H20" t="n">
        <v>45884903.034</v>
      </c>
      <c r="I20" t="n">
        <v>48180324.556</v>
      </c>
      <c r="J20" t="n">
        <v>54347783.43</v>
      </c>
      <c r="K20" t="n">
        <v>52022710.139</v>
      </c>
      <c r="L20" t="n">
        <v>56489585.377</v>
      </c>
      <c r="M20" t="n">
        <v>48611008.162</v>
      </c>
      <c r="N20" t="n">
        <v>52006771.895</v>
      </c>
      <c r="O20" t="n">
        <v>50443504.787</v>
      </c>
      <c r="P20" t="n">
        <v>60415254.923</v>
      </c>
      <c r="Q20" t="n">
        <v>68612886.035</v>
      </c>
      <c r="R20" t="n">
        <v>76901674.682</v>
      </c>
      <c r="S20" t="n">
        <v>96444248.161</v>
      </c>
      <c r="T20" t="n">
        <v>106423620.193</v>
      </c>
      <c r="U20" t="n">
        <v>112708144.37</v>
      </c>
      <c r="V20" t="n">
        <v>118267141.714</v>
      </c>
      <c r="W20" t="n">
        <v>111777977.233</v>
      </c>
      <c r="X20" t="n">
        <v>97053123.014</v>
      </c>
      <c r="Y20" t="n">
        <v>95840512.808</v>
      </c>
      <c r="Z20" t="n">
        <v>99961036.44</v>
      </c>
      <c r="AA20" t="n">
        <v>109863644.232</v>
      </c>
      <c r="AB20" t="n">
        <v>101213139.581</v>
      </c>
      <c r="AC20" t="n">
        <v>104858015.874</v>
      </c>
      <c r="AD20" t="n">
        <v>88701945.402</v>
      </c>
      <c r="AE20" t="n">
        <v>84657587.80400001</v>
      </c>
      <c r="AF20" t="n">
        <v>77228349.565</v>
      </c>
      <c r="AG20" t="n">
        <v>77872888.252</v>
      </c>
      <c r="AH20" t="n">
        <v>78598181.03399999</v>
      </c>
      <c r="AI20" t="n">
        <v>82811811.7</v>
      </c>
      <c r="AJ20" t="n">
        <v>82143014.51000001</v>
      </c>
      <c r="AK20" t="n">
        <v>84058946.692</v>
      </c>
      <c r="AL20" t="n">
        <v>83493539.788</v>
      </c>
      <c r="AM20" t="n">
        <v>83897393.66599999</v>
      </c>
      <c r="AN20" t="n">
        <v>83264653.521</v>
      </c>
      <c r="AO20" t="n">
        <v>88522462.33499999</v>
      </c>
      <c r="AP20" t="n">
        <v>86461247.12899999</v>
      </c>
      <c r="AQ20" t="n">
        <v>75257105.845</v>
      </c>
      <c r="AR20" t="n">
        <v>83934875.70100001</v>
      </c>
      <c r="AS20" t="n">
        <v>87193089.229</v>
      </c>
      <c r="AT20" t="n">
        <v>82990608.653</v>
      </c>
      <c r="AU20" t="n">
        <v>83826583.553</v>
      </c>
      <c r="AV20" t="n">
        <v>86118018.18700001</v>
      </c>
      <c r="AW20" t="n">
        <v>66422754.851</v>
      </c>
      <c r="AX20" t="n">
        <v>73010478.01899999</v>
      </c>
      <c r="AY20" t="n">
        <v>66941132.766</v>
      </c>
      <c r="AZ20" t="n">
        <v>67122211.873</v>
      </c>
      <c r="BA20" t="n">
        <v>67786943.436</v>
      </c>
      <c r="BB20" t="n">
        <v>66641145.789</v>
      </c>
      <c r="BC20" t="n">
        <v>71230035.41</v>
      </c>
      <c r="BD20" t="n">
        <v>58530333.671</v>
      </c>
      <c r="BE20" t="n">
        <v>57732321.961</v>
      </c>
      <c r="BF20" t="n">
        <v>49302494.056</v>
      </c>
      <c r="BG20" t="n">
        <v>49850678.954</v>
      </c>
      <c r="BH20" t="n">
        <v>43155514.664</v>
      </c>
      <c r="BI20" t="n">
        <v>42646542.834</v>
      </c>
      <c r="BJ20" t="n">
        <v>46610103.046</v>
      </c>
      <c r="BK20" t="n">
        <v>43818792.144</v>
      </c>
      <c r="BL20" t="n">
        <v>45479377.166</v>
      </c>
      <c r="BM20" t="n">
        <v>35036648.863</v>
      </c>
      <c r="BN20" t="n">
        <v>44674926.21</v>
      </c>
      <c r="BO20" t="n">
        <v>50214576.308</v>
      </c>
      <c r="BP20" t="n">
        <v>49310908.365</v>
      </c>
      <c r="BQ20" t="n">
        <v>43718596.605</v>
      </c>
      <c r="BR20" t="n">
        <v>54495538.096</v>
      </c>
      <c r="BS20" t="n">
        <v>53409132.284</v>
      </c>
      <c r="BT20" t="n">
        <v>65497858.316</v>
      </c>
    </row>
    <row r="21">
      <c r="A21" s="11" t="inlineStr">
        <is>
          <t>sym_TE_asPP</t>
        </is>
      </c>
      <c r="B21" s="9" t="inlineStr">
        <is>
          <t>DIVERGED - negative SPPR in a source-model group</t>
        </is>
      </c>
      <c r="C21" t="n">
        <v>197787822.126</v>
      </c>
      <c r="D21" t="n">
        <v>232343843.354</v>
      </c>
      <c r="E21" t="n">
        <v>216256138.942</v>
      </c>
      <c r="F21" t="n">
        <v>236050446.788</v>
      </c>
      <c r="G21" t="n">
        <v>244945177.207</v>
      </c>
      <c r="H21" t="n">
        <v>230559686.563</v>
      </c>
      <c r="I21" t="n">
        <v>239208389.794</v>
      </c>
      <c r="J21" t="n">
        <v>268277544.275</v>
      </c>
      <c r="K21" t="n">
        <v>261580620.957</v>
      </c>
      <c r="L21" t="n">
        <v>280980025.83</v>
      </c>
      <c r="M21" t="n">
        <v>244205127.492</v>
      </c>
      <c r="N21" t="n">
        <v>265004104.864</v>
      </c>
      <c r="O21" t="n">
        <v>247059691.59</v>
      </c>
      <c r="P21" t="n">
        <v>297407146.112</v>
      </c>
      <c r="Q21" t="n">
        <v>326767316.535</v>
      </c>
      <c r="R21" t="n">
        <v>372204251.011</v>
      </c>
      <c r="S21" t="n">
        <v>459869933.109</v>
      </c>
      <c r="T21" t="n">
        <v>504466379.296</v>
      </c>
      <c r="U21" t="n">
        <v>535602685.123</v>
      </c>
      <c r="V21" t="n">
        <v>564874816.15</v>
      </c>
      <c r="W21" t="n">
        <v>533228202.224</v>
      </c>
      <c r="X21" t="n">
        <v>474321181.228</v>
      </c>
      <c r="Y21" t="n">
        <v>478185508.097</v>
      </c>
      <c r="Z21" t="n">
        <v>483279528.142</v>
      </c>
      <c r="AA21" t="n">
        <v>532506627.583</v>
      </c>
      <c r="AB21" t="n">
        <v>490302338.084</v>
      </c>
      <c r="AC21" t="n">
        <v>505758987.869</v>
      </c>
      <c r="AD21" t="n">
        <v>429897196.009</v>
      </c>
      <c r="AE21" t="n">
        <v>415109614.39</v>
      </c>
      <c r="AF21" t="n">
        <v>377315018.583</v>
      </c>
      <c r="AG21" t="n">
        <v>374175639.762</v>
      </c>
      <c r="AH21" t="n">
        <v>380680191.308</v>
      </c>
      <c r="AI21" t="n">
        <v>394190993.847</v>
      </c>
      <c r="AJ21" t="n">
        <v>391528548.853</v>
      </c>
      <c r="AK21" t="n">
        <v>401253781.084</v>
      </c>
      <c r="AL21" t="n">
        <v>394552455.066</v>
      </c>
      <c r="AM21" t="n">
        <v>391209111.699</v>
      </c>
      <c r="AN21" t="n">
        <v>391046796.739</v>
      </c>
      <c r="AO21" t="n">
        <v>411921629.628</v>
      </c>
      <c r="AP21" t="n">
        <v>398961604.598</v>
      </c>
      <c r="AQ21" t="n">
        <v>351508858.71</v>
      </c>
      <c r="AR21" t="n">
        <v>388281012.151</v>
      </c>
      <c r="AS21" t="n">
        <v>401097038.248</v>
      </c>
      <c r="AT21" t="n">
        <v>379668720.297</v>
      </c>
      <c r="AU21" t="n">
        <v>381979572.188</v>
      </c>
      <c r="AV21" t="n">
        <v>391630923.293</v>
      </c>
      <c r="AW21" t="n">
        <v>310344721.604</v>
      </c>
      <c r="AX21" t="n">
        <v>337760740.725</v>
      </c>
      <c r="AY21" t="n">
        <v>307108679.86</v>
      </c>
      <c r="AZ21" t="n">
        <v>305143720.093</v>
      </c>
      <c r="BA21" t="n">
        <v>306629436.802</v>
      </c>
      <c r="BB21" t="n">
        <v>302435577.275</v>
      </c>
      <c r="BC21" t="n">
        <v>321940218.43</v>
      </c>
      <c r="BD21" t="n">
        <v>262400049.821</v>
      </c>
      <c r="BE21" t="n">
        <v>257147199.693</v>
      </c>
      <c r="BF21" t="n">
        <v>217732366.948</v>
      </c>
      <c r="BG21" t="n">
        <v>222529332.953</v>
      </c>
      <c r="BH21" t="n">
        <v>194326836.158</v>
      </c>
      <c r="BI21" t="n">
        <v>195320114.818</v>
      </c>
      <c r="BJ21" t="n">
        <v>212037129.173</v>
      </c>
      <c r="BK21" t="n">
        <v>196556646.979</v>
      </c>
      <c r="BL21" t="n">
        <v>206570170.646</v>
      </c>
      <c r="BM21" t="n">
        <v>157022042.828</v>
      </c>
      <c r="BN21" t="n">
        <v>198822905.785</v>
      </c>
      <c r="BO21" t="n">
        <v>222781146.315</v>
      </c>
      <c r="BP21" t="n">
        <v>218765506.315</v>
      </c>
      <c r="BQ21" t="n">
        <v>194077531.805</v>
      </c>
      <c r="BR21" t="n">
        <v>246161969.936</v>
      </c>
      <c r="BS21" t="n">
        <v>239067060.305</v>
      </c>
      <c r="BT21" t="n">
        <v>302580861.034</v>
      </c>
    </row>
    <row r="22">
      <c r="A22" s="11" t="inlineStr">
        <is>
          <t>sym_TE_asDC</t>
        </is>
      </c>
      <c r="B22" s="9" t="inlineStr">
        <is>
          <t>DIVERGED - negative SPPR in a source-model group</t>
        </is>
      </c>
      <c r="C22" t="n">
        <v>197787822.126</v>
      </c>
      <c r="D22" t="n">
        <v>232343843.354</v>
      </c>
      <c r="E22" t="n">
        <v>216256138.942</v>
      </c>
      <c r="F22" t="n">
        <v>236050446.788</v>
      </c>
      <c r="G22" t="n">
        <v>244945177.207</v>
      </c>
      <c r="H22" t="n">
        <v>230559686.563</v>
      </c>
      <c r="I22" t="n">
        <v>239208389.794</v>
      </c>
      <c r="J22" t="n">
        <v>268277544.275</v>
      </c>
      <c r="K22" t="n">
        <v>261580620.957</v>
      </c>
      <c r="L22" t="n">
        <v>280980025.83</v>
      </c>
      <c r="M22" t="n">
        <v>244205127.492</v>
      </c>
      <c r="N22" t="n">
        <v>265004104.864</v>
      </c>
      <c r="O22" t="n">
        <v>247059691.59</v>
      </c>
      <c r="P22" t="n">
        <v>297407146.112</v>
      </c>
      <c r="Q22" t="n">
        <v>326767316.535</v>
      </c>
      <c r="R22" t="n">
        <v>372204251.011</v>
      </c>
      <c r="S22" t="n">
        <v>459869933.109</v>
      </c>
      <c r="T22" t="n">
        <v>504466379.296</v>
      </c>
      <c r="U22" t="n">
        <v>535602685.123</v>
      </c>
      <c r="V22" t="n">
        <v>564874816.15</v>
      </c>
      <c r="W22" t="n">
        <v>533228202.224</v>
      </c>
      <c r="X22" t="n">
        <v>474321181.228</v>
      </c>
      <c r="Y22" t="n">
        <v>478185508.097</v>
      </c>
      <c r="Z22" t="n">
        <v>483279528.142</v>
      </c>
      <c r="AA22" t="n">
        <v>532506627.583</v>
      </c>
      <c r="AB22" t="n">
        <v>490302338.084</v>
      </c>
      <c r="AC22" t="n">
        <v>505758987.869</v>
      </c>
      <c r="AD22" t="n">
        <v>429897196.009</v>
      </c>
      <c r="AE22" t="n">
        <v>415109614.39</v>
      </c>
      <c r="AF22" t="n">
        <v>377315018.583</v>
      </c>
      <c r="AG22" t="n">
        <v>374175639.762</v>
      </c>
      <c r="AH22" t="n">
        <v>380680191.308</v>
      </c>
      <c r="AI22" t="n">
        <v>394190993.847</v>
      </c>
      <c r="AJ22" t="n">
        <v>391528548.853</v>
      </c>
      <c r="AK22" t="n">
        <v>401253781.084</v>
      </c>
      <c r="AL22" t="n">
        <v>394552455.066</v>
      </c>
      <c r="AM22" t="n">
        <v>391209111.699</v>
      </c>
      <c r="AN22" t="n">
        <v>391046796.739</v>
      </c>
      <c r="AO22" t="n">
        <v>411921629.628</v>
      </c>
      <c r="AP22" t="n">
        <v>398961604.598</v>
      </c>
      <c r="AQ22" t="n">
        <v>351508858.71</v>
      </c>
      <c r="AR22" t="n">
        <v>388281012.151</v>
      </c>
      <c r="AS22" t="n">
        <v>401097038.248</v>
      </c>
      <c r="AT22" t="n">
        <v>379668720.297</v>
      </c>
      <c r="AU22" t="n">
        <v>381979572.188</v>
      </c>
      <c r="AV22" t="n">
        <v>391630923.293</v>
      </c>
      <c r="AW22" t="n">
        <v>310344721.604</v>
      </c>
      <c r="AX22" t="n">
        <v>337760740.725</v>
      </c>
      <c r="AY22" t="n">
        <v>307108679.86</v>
      </c>
      <c r="AZ22" t="n">
        <v>305143720.093</v>
      </c>
      <c r="BA22" t="n">
        <v>306629436.802</v>
      </c>
      <c r="BB22" t="n">
        <v>302435577.275</v>
      </c>
      <c r="BC22" t="n">
        <v>321940218.43</v>
      </c>
      <c r="BD22" t="n">
        <v>262400049.821</v>
      </c>
      <c r="BE22" t="n">
        <v>257147199.693</v>
      </c>
      <c r="BF22" t="n">
        <v>217732366.948</v>
      </c>
      <c r="BG22" t="n">
        <v>222529332.953</v>
      </c>
      <c r="BH22" t="n">
        <v>194326836.158</v>
      </c>
      <c r="BI22" t="n">
        <v>195320114.818</v>
      </c>
      <c r="BJ22" t="n">
        <v>212037129.173</v>
      </c>
      <c r="BK22" t="n">
        <v>196556646.979</v>
      </c>
      <c r="BL22" t="n">
        <v>206570170.646</v>
      </c>
      <c r="BM22" t="n">
        <v>157022042.828</v>
      </c>
      <c r="BN22" t="n">
        <v>198822905.785</v>
      </c>
      <c r="BO22" t="n">
        <v>222781146.315</v>
      </c>
      <c r="BP22" t="n">
        <v>218765506.315</v>
      </c>
      <c r="BQ22" t="n">
        <v>194077531.805</v>
      </c>
      <c r="BR22" t="n">
        <v>246161969.936</v>
      </c>
      <c r="BS22" t="n">
        <v>239067060.305</v>
      </c>
      <c r="BT22" t="n">
        <v>302580861.034</v>
      </c>
    </row>
    <row r="23">
      <c r="A23" t="inlineStr">
        <is>
          <t>sym_GE_asPP</t>
        </is>
      </c>
      <c r="B23" t="inlineStr">
        <is>
          <t>ok</t>
        </is>
      </c>
      <c r="C23" t="n">
        <v>107619965.003</v>
      </c>
      <c r="D23" t="n">
        <v>125756570.661</v>
      </c>
      <c r="E23" t="n">
        <v>117017821.65</v>
      </c>
      <c r="F23" t="n">
        <v>129736706.428</v>
      </c>
      <c r="G23" t="n">
        <v>134165660.598</v>
      </c>
      <c r="H23" t="n">
        <v>124291049.032</v>
      </c>
      <c r="I23" t="n">
        <v>129935969.487</v>
      </c>
      <c r="J23" t="n">
        <v>147528330.863</v>
      </c>
      <c r="K23" t="n">
        <v>141828175.956</v>
      </c>
      <c r="L23" t="n">
        <v>154011862.397</v>
      </c>
      <c r="M23" t="n">
        <v>131666762.199</v>
      </c>
      <c r="N23" t="n">
        <v>142260405.276</v>
      </c>
      <c r="O23" t="n">
        <v>136054060.114</v>
      </c>
      <c r="P23" t="n">
        <v>163656726.235</v>
      </c>
      <c r="Q23" t="n">
        <v>185178904.877</v>
      </c>
      <c r="R23" t="n">
        <v>209045138.231</v>
      </c>
      <c r="S23" t="n">
        <v>263420024.929</v>
      </c>
      <c r="T23" t="n">
        <v>289624045.432</v>
      </c>
      <c r="U23" t="n">
        <v>306736922.108</v>
      </c>
      <c r="V23" t="n">
        <v>323220802.664</v>
      </c>
      <c r="W23" t="n">
        <v>306465008.417</v>
      </c>
      <c r="X23" t="n">
        <v>268451531.841</v>
      </c>
      <c r="Y23" t="n">
        <v>266749465.458</v>
      </c>
      <c r="Z23" t="n">
        <v>274706862.831</v>
      </c>
      <c r="AA23" t="n">
        <v>303828236.816</v>
      </c>
      <c r="AB23" t="n">
        <v>278710251.935</v>
      </c>
      <c r="AC23" t="n">
        <v>290254883.199</v>
      </c>
      <c r="AD23" t="n">
        <v>245679322.582</v>
      </c>
      <c r="AE23" t="n">
        <v>235844870.812</v>
      </c>
      <c r="AF23" t="n">
        <v>214457634.588</v>
      </c>
      <c r="AG23" t="n">
        <v>214812730.065</v>
      </c>
      <c r="AH23" t="n">
        <v>217905376.679</v>
      </c>
      <c r="AI23" t="n">
        <v>228476537.432</v>
      </c>
      <c r="AJ23" t="n">
        <v>226305649.23</v>
      </c>
      <c r="AK23" t="n">
        <v>232343997.89</v>
      </c>
      <c r="AL23" t="n">
        <v>229750488.812</v>
      </c>
      <c r="AM23" t="n">
        <v>229956864.332</v>
      </c>
      <c r="AN23" t="n">
        <v>228820842.647</v>
      </c>
      <c r="AO23" t="n">
        <v>242555274.174</v>
      </c>
      <c r="AP23" t="n">
        <v>236122076.261</v>
      </c>
      <c r="AQ23" t="n">
        <v>206018289.523</v>
      </c>
      <c r="AR23" t="n">
        <v>229552177.778</v>
      </c>
      <c r="AS23" t="n">
        <v>237857401.653</v>
      </c>
      <c r="AT23" t="n">
        <v>226190852.186</v>
      </c>
      <c r="AU23" t="n">
        <v>228539141.951</v>
      </c>
      <c r="AV23" t="n">
        <v>233556685.552</v>
      </c>
      <c r="AW23" t="n">
        <v>183066130.205</v>
      </c>
      <c r="AX23" t="n">
        <v>200643056.295</v>
      </c>
      <c r="AY23" t="n">
        <v>182823536.848</v>
      </c>
      <c r="AZ23" t="n">
        <v>182772338.492</v>
      </c>
      <c r="BA23" t="n">
        <v>184054812.387</v>
      </c>
      <c r="BB23" t="n">
        <v>181174510.62</v>
      </c>
      <c r="BC23" t="n">
        <v>193551010.767</v>
      </c>
      <c r="BD23" t="n">
        <v>158145281.338</v>
      </c>
      <c r="BE23" t="n">
        <v>155459478.991</v>
      </c>
      <c r="BF23" t="n">
        <v>132114405.152</v>
      </c>
      <c r="BG23" t="n">
        <v>134560508.171</v>
      </c>
      <c r="BH23" t="n">
        <v>117155597.511</v>
      </c>
      <c r="BI23" t="n">
        <v>116944150.991</v>
      </c>
      <c r="BJ23" t="n">
        <v>127429109.944</v>
      </c>
      <c r="BK23" t="n">
        <v>118861764.626</v>
      </c>
      <c r="BL23" t="n">
        <v>124378845.081</v>
      </c>
      <c r="BM23" t="n">
        <v>94566852.37</v>
      </c>
      <c r="BN23" t="n">
        <v>120490914.101</v>
      </c>
      <c r="BO23" t="n">
        <v>135405011.946</v>
      </c>
      <c r="BP23" t="n">
        <v>133040602.12</v>
      </c>
      <c r="BQ23" t="n">
        <v>117869796.466</v>
      </c>
      <c r="BR23" t="n">
        <v>149012015.936</v>
      </c>
      <c r="BS23" t="n">
        <v>144624792.676</v>
      </c>
      <c r="BT23" t="n">
        <v>180424281.054</v>
      </c>
    </row>
    <row r="24">
      <c r="A24" t="inlineStr">
        <is>
          <t>sym_GE_asDC</t>
        </is>
      </c>
      <c r="B24" t="inlineStr">
        <is>
          <t>ok</t>
        </is>
      </c>
      <c r="C24" t="n">
        <v>107619965.003</v>
      </c>
      <c r="D24" t="n">
        <v>125756570.661</v>
      </c>
      <c r="E24" t="n">
        <v>117017821.65</v>
      </c>
      <c r="F24" t="n">
        <v>129736706.428</v>
      </c>
      <c r="G24" t="n">
        <v>134165660.598</v>
      </c>
      <c r="H24" t="n">
        <v>124291049.032</v>
      </c>
      <c r="I24" t="n">
        <v>129935969.487</v>
      </c>
      <c r="J24" t="n">
        <v>147528330.863</v>
      </c>
      <c r="K24" t="n">
        <v>141828175.956</v>
      </c>
      <c r="L24" t="n">
        <v>154011862.397</v>
      </c>
      <c r="M24" t="n">
        <v>131666762.199</v>
      </c>
      <c r="N24" t="n">
        <v>142260405.276</v>
      </c>
      <c r="O24" t="n">
        <v>136054060.114</v>
      </c>
      <c r="P24" t="n">
        <v>163656726.235</v>
      </c>
      <c r="Q24" t="n">
        <v>185178904.877</v>
      </c>
      <c r="R24" t="n">
        <v>209045138.231</v>
      </c>
      <c r="S24" t="n">
        <v>263420024.929</v>
      </c>
      <c r="T24" t="n">
        <v>289624045.432</v>
      </c>
      <c r="U24" t="n">
        <v>306736922.108</v>
      </c>
      <c r="V24" t="n">
        <v>323220802.664</v>
      </c>
      <c r="W24" t="n">
        <v>306465008.417</v>
      </c>
      <c r="X24" t="n">
        <v>268451531.841</v>
      </c>
      <c r="Y24" t="n">
        <v>266749465.458</v>
      </c>
      <c r="Z24" t="n">
        <v>274706862.831</v>
      </c>
      <c r="AA24" t="n">
        <v>303828236.816</v>
      </c>
      <c r="AB24" t="n">
        <v>278710251.935</v>
      </c>
      <c r="AC24" t="n">
        <v>290254883.199</v>
      </c>
      <c r="AD24" t="n">
        <v>245679322.582</v>
      </c>
      <c r="AE24" t="n">
        <v>235844870.812</v>
      </c>
      <c r="AF24" t="n">
        <v>214457634.588</v>
      </c>
      <c r="AG24" t="n">
        <v>214812730.065</v>
      </c>
      <c r="AH24" t="n">
        <v>217905376.679</v>
      </c>
      <c r="AI24" t="n">
        <v>228476537.432</v>
      </c>
      <c r="AJ24" t="n">
        <v>226305649.23</v>
      </c>
      <c r="AK24" t="n">
        <v>232343997.89</v>
      </c>
      <c r="AL24" t="n">
        <v>229750488.812</v>
      </c>
      <c r="AM24" t="n">
        <v>229956864.332</v>
      </c>
      <c r="AN24" t="n">
        <v>228820842.647</v>
      </c>
      <c r="AO24" t="n">
        <v>242555274.174</v>
      </c>
      <c r="AP24" t="n">
        <v>236122076.261</v>
      </c>
      <c r="AQ24" t="n">
        <v>206018289.523</v>
      </c>
      <c r="AR24" t="n">
        <v>229552177.778</v>
      </c>
      <c r="AS24" t="n">
        <v>237857401.653</v>
      </c>
      <c r="AT24" t="n">
        <v>226190852.186</v>
      </c>
      <c r="AU24" t="n">
        <v>228539141.951</v>
      </c>
      <c r="AV24" t="n">
        <v>233556685.552</v>
      </c>
      <c r="AW24" t="n">
        <v>183066130.205</v>
      </c>
      <c r="AX24" t="n">
        <v>200643056.295</v>
      </c>
      <c r="AY24" t="n">
        <v>182823536.848</v>
      </c>
      <c r="AZ24" t="n">
        <v>182772338.492</v>
      </c>
      <c r="BA24" t="n">
        <v>184054812.387</v>
      </c>
      <c r="BB24" t="n">
        <v>181174510.62</v>
      </c>
      <c r="BC24" t="n">
        <v>193551010.767</v>
      </c>
      <c r="BD24" t="n">
        <v>158145281.338</v>
      </c>
      <c r="BE24" t="n">
        <v>155459478.991</v>
      </c>
      <c r="BF24" t="n">
        <v>132114405.152</v>
      </c>
      <c r="BG24" t="n">
        <v>134560508.171</v>
      </c>
      <c r="BH24" t="n">
        <v>117155597.511</v>
      </c>
      <c r="BI24" t="n">
        <v>116944150.991</v>
      </c>
      <c r="BJ24" t="n">
        <v>127429109.944</v>
      </c>
      <c r="BK24" t="n">
        <v>118861764.626</v>
      </c>
      <c r="BL24" t="n">
        <v>124378845.081</v>
      </c>
      <c r="BM24" t="n">
        <v>94566852.37</v>
      </c>
      <c r="BN24" t="n">
        <v>120490914.101</v>
      </c>
      <c r="BO24" t="n">
        <v>135405011.946</v>
      </c>
      <c r="BP24" t="n">
        <v>133040602.12</v>
      </c>
      <c r="BQ24" t="n">
        <v>117869796.466</v>
      </c>
      <c r="BR24" t="n">
        <v>149012015.936</v>
      </c>
      <c r="BS24" t="n">
        <v>144624792.676</v>
      </c>
      <c r="BT24" t="n">
        <v>180424281.054</v>
      </c>
    </row>
    <row r="25">
      <c r="A25" t="inlineStr">
        <is>
          <t>sym_WithEgestion_asPP</t>
        </is>
      </c>
      <c r="B25" t="inlineStr">
        <is>
          <t>ok</t>
        </is>
      </c>
      <c r="C25" t="n">
        <v>40088388.189</v>
      </c>
      <c r="D25" t="n">
        <v>46639360.183</v>
      </c>
      <c r="E25" t="n">
        <v>43089419.298</v>
      </c>
      <c r="F25" t="n">
        <v>48340627.983</v>
      </c>
      <c r="G25" t="n">
        <v>49851449.099</v>
      </c>
      <c r="H25" t="n">
        <v>45884903.034</v>
      </c>
      <c r="I25" t="n">
        <v>48180324.556</v>
      </c>
      <c r="J25" t="n">
        <v>54347783.43</v>
      </c>
      <c r="K25" t="n">
        <v>52022710.139</v>
      </c>
      <c r="L25" t="n">
        <v>56489585.377</v>
      </c>
      <c r="M25" t="n">
        <v>48611008.162</v>
      </c>
      <c r="N25" t="n">
        <v>52006771.895</v>
      </c>
      <c r="O25" t="n">
        <v>50443504.787</v>
      </c>
      <c r="P25" t="n">
        <v>60415254.923</v>
      </c>
      <c r="Q25" t="n">
        <v>68612886.035</v>
      </c>
      <c r="R25" t="n">
        <v>76901674.682</v>
      </c>
      <c r="S25" t="n">
        <v>96444248.161</v>
      </c>
      <c r="T25" t="n">
        <v>106423620.193</v>
      </c>
      <c r="U25" t="n">
        <v>112708144.37</v>
      </c>
      <c r="V25" t="n">
        <v>118267141.714</v>
      </c>
      <c r="W25" t="n">
        <v>111777977.233</v>
      </c>
      <c r="X25" t="n">
        <v>97053123.014</v>
      </c>
      <c r="Y25" t="n">
        <v>95840512.808</v>
      </c>
      <c r="Z25" t="n">
        <v>99961036.44</v>
      </c>
      <c r="AA25" t="n">
        <v>109863644.232</v>
      </c>
      <c r="AB25" t="n">
        <v>101213139.581</v>
      </c>
      <c r="AC25" t="n">
        <v>104858015.874</v>
      </c>
      <c r="AD25" t="n">
        <v>88701945.402</v>
      </c>
      <c r="AE25" t="n">
        <v>84657587.80400001</v>
      </c>
      <c r="AF25" t="n">
        <v>77228349.565</v>
      </c>
      <c r="AG25" t="n">
        <v>77872888.252</v>
      </c>
      <c r="AH25" t="n">
        <v>78598181.03399999</v>
      </c>
      <c r="AI25" t="n">
        <v>82811811.7</v>
      </c>
      <c r="AJ25" t="n">
        <v>82143014.51000001</v>
      </c>
      <c r="AK25" t="n">
        <v>84058946.692</v>
      </c>
      <c r="AL25" t="n">
        <v>83493539.788</v>
      </c>
      <c r="AM25" t="n">
        <v>83897393.66599999</v>
      </c>
      <c r="AN25" t="n">
        <v>83264653.521</v>
      </c>
      <c r="AO25" t="n">
        <v>88522462.33499999</v>
      </c>
      <c r="AP25" t="n">
        <v>86461247.12899999</v>
      </c>
      <c r="AQ25" t="n">
        <v>75257105.845</v>
      </c>
      <c r="AR25" t="n">
        <v>83934875.70100001</v>
      </c>
      <c r="AS25" t="n">
        <v>87193089.229</v>
      </c>
      <c r="AT25" t="n">
        <v>82990608.653</v>
      </c>
      <c r="AU25" t="n">
        <v>83826583.553</v>
      </c>
      <c r="AV25" t="n">
        <v>86118018.18700001</v>
      </c>
      <c r="AW25" t="n">
        <v>66422754.851</v>
      </c>
      <c r="AX25" t="n">
        <v>73010478.01899999</v>
      </c>
      <c r="AY25" t="n">
        <v>66941132.766</v>
      </c>
      <c r="AZ25" t="n">
        <v>67122211.873</v>
      </c>
      <c r="BA25" t="n">
        <v>67786943.436</v>
      </c>
      <c r="BB25" t="n">
        <v>66641145.789</v>
      </c>
      <c r="BC25" t="n">
        <v>71230035.41</v>
      </c>
      <c r="BD25" t="n">
        <v>58530333.671</v>
      </c>
      <c r="BE25" t="n">
        <v>57732321.961</v>
      </c>
      <c r="BF25" t="n">
        <v>49302494.056</v>
      </c>
      <c r="BG25" t="n">
        <v>49850678.954</v>
      </c>
      <c r="BH25" t="n">
        <v>43155514.664</v>
      </c>
      <c r="BI25" t="n">
        <v>42646542.834</v>
      </c>
      <c r="BJ25" t="n">
        <v>46610103.046</v>
      </c>
      <c r="BK25" t="n">
        <v>43818792.144</v>
      </c>
      <c r="BL25" t="n">
        <v>45479377.166</v>
      </c>
      <c r="BM25" t="n">
        <v>35036648.863</v>
      </c>
      <c r="BN25" t="n">
        <v>44674926.21</v>
      </c>
      <c r="BO25" t="n">
        <v>50214576.308</v>
      </c>
      <c r="BP25" t="n">
        <v>49310908.365</v>
      </c>
      <c r="BQ25" t="n">
        <v>43718596.605</v>
      </c>
      <c r="BR25" t="n">
        <v>54495538.096</v>
      </c>
      <c r="BS25" t="n">
        <v>53409132.284</v>
      </c>
      <c r="BT25" t="n">
        <v>65497858.316</v>
      </c>
    </row>
    <row r="26">
      <c r="A26" t="inlineStr">
        <is>
          <t>sym_WithEgestion_asDC</t>
        </is>
      </c>
      <c r="B26" t="inlineStr">
        <is>
          <t>ok</t>
        </is>
      </c>
      <c r="C26" t="n">
        <v>40088388.189</v>
      </c>
      <c r="D26" t="n">
        <v>46639360.183</v>
      </c>
      <c r="E26" t="n">
        <v>43089419.298</v>
      </c>
      <c r="F26" t="n">
        <v>48340627.983</v>
      </c>
      <c r="G26" t="n">
        <v>49851449.099</v>
      </c>
      <c r="H26" t="n">
        <v>45884903.034</v>
      </c>
      <c r="I26" t="n">
        <v>48180324.556</v>
      </c>
      <c r="J26" t="n">
        <v>54347783.43</v>
      </c>
      <c r="K26" t="n">
        <v>52022710.139</v>
      </c>
      <c r="L26" t="n">
        <v>56489585.377</v>
      </c>
      <c r="M26" t="n">
        <v>48611008.162</v>
      </c>
      <c r="N26" t="n">
        <v>52006771.895</v>
      </c>
      <c r="O26" t="n">
        <v>50443504.787</v>
      </c>
      <c r="P26" t="n">
        <v>60415254.923</v>
      </c>
      <c r="Q26" t="n">
        <v>68612886.035</v>
      </c>
      <c r="R26" t="n">
        <v>76901674.682</v>
      </c>
      <c r="S26" t="n">
        <v>96444248.161</v>
      </c>
      <c r="T26" t="n">
        <v>106423620.193</v>
      </c>
      <c r="U26" t="n">
        <v>112708144.37</v>
      </c>
      <c r="V26" t="n">
        <v>118267141.714</v>
      </c>
      <c r="W26" t="n">
        <v>111777977.233</v>
      </c>
      <c r="X26" t="n">
        <v>97053123.014</v>
      </c>
      <c r="Y26" t="n">
        <v>95840512.808</v>
      </c>
      <c r="Z26" t="n">
        <v>99961036.44</v>
      </c>
      <c r="AA26" t="n">
        <v>109863644.232</v>
      </c>
      <c r="AB26" t="n">
        <v>101213139.581</v>
      </c>
      <c r="AC26" t="n">
        <v>104858015.874</v>
      </c>
      <c r="AD26" t="n">
        <v>88701945.402</v>
      </c>
      <c r="AE26" t="n">
        <v>84657587.80400001</v>
      </c>
      <c r="AF26" t="n">
        <v>77228349.565</v>
      </c>
      <c r="AG26" t="n">
        <v>77872888.252</v>
      </c>
      <c r="AH26" t="n">
        <v>78598181.03399999</v>
      </c>
      <c r="AI26" t="n">
        <v>82811811.7</v>
      </c>
      <c r="AJ26" t="n">
        <v>82143014.51000001</v>
      </c>
      <c r="AK26" t="n">
        <v>84058946.692</v>
      </c>
      <c r="AL26" t="n">
        <v>83493539.788</v>
      </c>
      <c r="AM26" t="n">
        <v>83897393.66599999</v>
      </c>
      <c r="AN26" t="n">
        <v>83264653.521</v>
      </c>
      <c r="AO26" t="n">
        <v>88522462.33499999</v>
      </c>
      <c r="AP26" t="n">
        <v>86461247.12899999</v>
      </c>
      <c r="AQ26" t="n">
        <v>75257105.845</v>
      </c>
      <c r="AR26" t="n">
        <v>83934875.70100001</v>
      </c>
      <c r="AS26" t="n">
        <v>87193089.229</v>
      </c>
      <c r="AT26" t="n">
        <v>82990608.653</v>
      </c>
      <c r="AU26" t="n">
        <v>83826583.553</v>
      </c>
      <c r="AV26" t="n">
        <v>86118018.18700001</v>
      </c>
      <c r="AW26" t="n">
        <v>66422754.851</v>
      </c>
      <c r="AX26" t="n">
        <v>73010478.01899999</v>
      </c>
      <c r="AY26" t="n">
        <v>66941132.766</v>
      </c>
      <c r="AZ26" t="n">
        <v>67122211.873</v>
      </c>
      <c r="BA26" t="n">
        <v>67786943.436</v>
      </c>
      <c r="BB26" t="n">
        <v>66641145.789</v>
      </c>
      <c r="BC26" t="n">
        <v>71230035.41</v>
      </c>
      <c r="BD26" t="n">
        <v>58530333.671</v>
      </c>
      <c r="BE26" t="n">
        <v>57732321.961</v>
      </c>
      <c r="BF26" t="n">
        <v>49302494.056</v>
      </c>
      <c r="BG26" t="n">
        <v>49850678.954</v>
      </c>
      <c r="BH26" t="n">
        <v>43155514.664</v>
      </c>
      <c r="BI26" t="n">
        <v>42646542.834</v>
      </c>
      <c r="BJ26" t="n">
        <v>46610103.046</v>
      </c>
      <c r="BK26" t="n">
        <v>43818792.144</v>
      </c>
      <c r="BL26" t="n">
        <v>45479377.166</v>
      </c>
      <c r="BM26" t="n">
        <v>35036648.863</v>
      </c>
      <c r="BN26" t="n">
        <v>44674926.21</v>
      </c>
      <c r="BO26" t="n">
        <v>50214576.308</v>
      </c>
      <c r="BP26" t="n">
        <v>49310908.365</v>
      </c>
      <c r="BQ26" t="n">
        <v>43718596.605</v>
      </c>
      <c r="BR26" t="n">
        <v>54495538.096</v>
      </c>
      <c r="BS26" t="n">
        <v>53409132.284</v>
      </c>
      <c r="BT26" t="n">
        <v>65497858.316</v>
      </c>
    </row>
    <row r="27">
      <c r="A27" t="inlineStr">
        <is>
          <t>MC_new_GE</t>
        </is>
      </c>
      <c r="B27" t="inlineStr">
        <is>
          <t>ok</t>
        </is>
      </c>
      <c r="C27" t="n">
        <v>109455352.3</v>
      </c>
      <c r="D27" t="n">
        <v>127794609.603</v>
      </c>
      <c r="E27" t="n">
        <v>118802501.137</v>
      </c>
      <c r="F27" t="n">
        <v>131893572.66</v>
      </c>
      <c r="G27" t="n">
        <v>136457186.307</v>
      </c>
      <c r="H27" t="n">
        <v>126060296.078</v>
      </c>
      <c r="I27" t="n">
        <v>131856973.389</v>
      </c>
      <c r="J27" t="n">
        <v>149585504.772</v>
      </c>
      <c r="K27" t="n">
        <v>143853555.62</v>
      </c>
      <c r="L27" t="n">
        <v>156032519.018</v>
      </c>
      <c r="M27" t="n">
        <v>133572740.387</v>
      </c>
      <c r="N27" t="n">
        <v>144063868.624</v>
      </c>
      <c r="O27" t="n">
        <v>137825178.655</v>
      </c>
      <c r="P27" t="n">
        <v>165717017.701</v>
      </c>
      <c r="Q27" t="n">
        <v>187467753.783</v>
      </c>
      <c r="R27" t="n">
        <v>211510838.782</v>
      </c>
      <c r="S27" t="n">
        <v>265441655.445</v>
      </c>
      <c r="T27" t="n">
        <v>291767470.05</v>
      </c>
      <c r="U27" t="n">
        <v>308987288.362</v>
      </c>
      <c r="V27" t="n">
        <v>325133552.923</v>
      </c>
      <c r="W27" t="n">
        <v>308396633.295</v>
      </c>
      <c r="X27" t="n">
        <v>270528961.36</v>
      </c>
      <c r="Y27" t="n">
        <v>269032169.007</v>
      </c>
      <c r="Z27" t="n">
        <v>276525024.617</v>
      </c>
      <c r="AA27" t="n">
        <v>305275044.225</v>
      </c>
      <c r="AB27" t="n">
        <v>280182391.816</v>
      </c>
      <c r="AC27" t="n">
        <v>291473043.319</v>
      </c>
      <c r="AD27" t="n">
        <v>247069358.89</v>
      </c>
      <c r="AE27" t="n">
        <v>237390077.435</v>
      </c>
      <c r="AF27" t="n">
        <v>215761804.412</v>
      </c>
      <c r="AG27" t="n">
        <v>216242776.731</v>
      </c>
      <c r="AH27" t="n">
        <v>219575826.092</v>
      </c>
      <c r="AI27" t="n">
        <v>230038746.628</v>
      </c>
      <c r="AJ27" t="n">
        <v>227989346.785</v>
      </c>
      <c r="AK27" t="n">
        <v>234044291.877</v>
      </c>
      <c r="AL27" t="n">
        <v>231693475.109</v>
      </c>
      <c r="AM27" t="n">
        <v>231893622.566</v>
      </c>
      <c r="AN27" t="n">
        <v>230771265.464</v>
      </c>
      <c r="AO27" t="n">
        <v>244567902.372</v>
      </c>
      <c r="AP27" t="n">
        <v>238173819.304</v>
      </c>
      <c r="AQ27" t="n">
        <v>207761790.051</v>
      </c>
      <c r="AR27" t="n">
        <v>231283113.687</v>
      </c>
      <c r="AS27" t="n">
        <v>239692530.107</v>
      </c>
      <c r="AT27" t="n">
        <v>227803582.229</v>
      </c>
      <c r="AU27" t="n">
        <v>230227120.43</v>
      </c>
      <c r="AV27" t="n">
        <v>235397203.8</v>
      </c>
      <c r="AW27" t="n">
        <v>184548878.033</v>
      </c>
      <c r="AX27" t="n">
        <v>202200482.649</v>
      </c>
      <c r="AY27" t="n">
        <v>184269534.024</v>
      </c>
      <c r="AZ27" t="n">
        <v>183953534.751</v>
      </c>
      <c r="BA27" t="n">
        <v>185206019.952</v>
      </c>
      <c r="BB27" t="n">
        <v>182316981.04</v>
      </c>
      <c r="BC27" t="n">
        <v>194622179.636</v>
      </c>
      <c r="BD27" t="n">
        <v>158982836.678</v>
      </c>
      <c r="BE27" t="n">
        <v>156331549.384</v>
      </c>
      <c r="BF27" t="n">
        <v>132963856.458</v>
      </c>
      <c r="BG27" t="n">
        <v>135430251.39</v>
      </c>
      <c r="BH27" t="n">
        <v>117853386.49</v>
      </c>
      <c r="BI27" t="n">
        <v>117560578.333</v>
      </c>
      <c r="BJ27" t="n">
        <v>128080097.334</v>
      </c>
      <c r="BK27" t="n">
        <v>119468190.359</v>
      </c>
      <c r="BL27" t="n">
        <v>125113596.816</v>
      </c>
      <c r="BM27" t="n">
        <v>95320594.90000001</v>
      </c>
      <c r="BN27" t="n">
        <v>121467397.519</v>
      </c>
      <c r="BO27" t="n">
        <v>136297057.737</v>
      </c>
      <c r="BP27" t="n">
        <v>133950678.708</v>
      </c>
      <c r="BQ27" t="n">
        <v>118781609.569</v>
      </c>
      <c r="BR27" t="n">
        <v>150179741.521</v>
      </c>
      <c r="BS27" t="n">
        <v>145746680.442</v>
      </c>
      <c r="BT27" t="n">
        <v>182225704.671</v>
      </c>
    </row>
    <row r="28">
      <c r="A28" t="inlineStr">
        <is>
          <t>MC_new_TE_EEfix</t>
        </is>
      </c>
      <c r="B28" t="inlineStr">
        <is>
          <t>ok</t>
        </is>
      </c>
      <c r="C28" t="n">
        <v>205355827.581</v>
      </c>
      <c r="D28" t="n">
        <v>241085860.253</v>
      </c>
      <c r="E28" t="n">
        <v>224128341.319</v>
      </c>
      <c r="F28" t="n">
        <v>244740030.973</v>
      </c>
      <c r="G28" t="n">
        <v>254853604.051</v>
      </c>
      <c r="H28" t="n">
        <v>239315556.891</v>
      </c>
      <c r="I28" t="n">
        <v>248316203.942</v>
      </c>
      <c r="J28" t="n">
        <v>278361981.238</v>
      </c>
      <c r="K28" t="n">
        <v>271165362.543</v>
      </c>
      <c r="L28" t="n">
        <v>290936074.052</v>
      </c>
      <c r="M28" t="n">
        <v>252867012.124</v>
      </c>
      <c r="N28" t="n">
        <v>274613970.71</v>
      </c>
      <c r="O28" t="n">
        <v>255652818.177</v>
      </c>
      <c r="P28" t="n">
        <v>307766900.868</v>
      </c>
      <c r="Q28" t="n">
        <v>337912099.334</v>
      </c>
      <c r="R28" t="n">
        <v>384515909.217</v>
      </c>
      <c r="S28" t="n">
        <v>473780080.683</v>
      </c>
      <c r="T28" t="n">
        <v>518011388.443</v>
      </c>
      <c r="U28" t="n">
        <v>551575202.393</v>
      </c>
      <c r="V28" t="n">
        <v>579747132.09</v>
      </c>
      <c r="W28" t="n">
        <v>548707930.9910001</v>
      </c>
      <c r="X28" t="n">
        <v>490117950.328</v>
      </c>
      <c r="Y28" t="n">
        <v>494569440.391</v>
      </c>
      <c r="Z28" t="n">
        <v>499464732.082</v>
      </c>
      <c r="AA28" t="n">
        <v>550432125.845</v>
      </c>
      <c r="AB28" t="n">
        <v>506788423.707</v>
      </c>
      <c r="AC28" t="n">
        <v>522455278.854</v>
      </c>
      <c r="AD28" t="n">
        <v>442629841.015</v>
      </c>
      <c r="AE28" t="n">
        <v>427283043.144</v>
      </c>
      <c r="AF28" t="n">
        <v>388622162.249</v>
      </c>
      <c r="AG28" t="n">
        <v>385505536.564</v>
      </c>
      <c r="AH28" t="n">
        <v>391943188.679</v>
      </c>
      <c r="AI28" t="n">
        <v>405754573.903</v>
      </c>
      <c r="AJ28" t="n">
        <v>403236953.277</v>
      </c>
      <c r="AK28" t="n">
        <v>413156288.629</v>
      </c>
      <c r="AL28" t="n">
        <v>406093595.82</v>
      </c>
      <c r="AM28" t="n">
        <v>401559505.379</v>
      </c>
      <c r="AN28" t="n">
        <v>402048673.124</v>
      </c>
      <c r="AO28" t="n">
        <v>422326695.217</v>
      </c>
      <c r="AP28" t="n">
        <v>408402091.481</v>
      </c>
      <c r="AQ28" t="n">
        <v>360183165.258</v>
      </c>
      <c r="AR28" t="n">
        <v>397197684.992</v>
      </c>
      <c r="AS28" t="n">
        <v>410461867.06</v>
      </c>
      <c r="AT28" t="n">
        <v>389137734.964</v>
      </c>
      <c r="AU28" t="n">
        <v>390813144.471</v>
      </c>
      <c r="AV28" t="n">
        <v>401438951.886</v>
      </c>
      <c r="AW28" t="n">
        <v>317832715.869</v>
      </c>
      <c r="AX28" t="n">
        <v>345106824.606</v>
      </c>
      <c r="AY28" t="n">
        <v>314414152.696</v>
      </c>
      <c r="AZ28" t="n">
        <v>312270331.762</v>
      </c>
      <c r="BA28" t="n">
        <v>313727039.992</v>
      </c>
      <c r="BB28" t="n">
        <v>308957413.626</v>
      </c>
      <c r="BC28" t="n">
        <v>329044070.3</v>
      </c>
      <c r="BD28" t="n">
        <v>268814126.256</v>
      </c>
      <c r="BE28" t="n">
        <v>263499444.98</v>
      </c>
      <c r="BF28" t="n">
        <v>223944650.537</v>
      </c>
      <c r="BG28" t="n">
        <v>228267017.77</v>
      </c>
      <c r="BH28" t="n">
        <v>199270781.242</v>
      </c>
      <c r="BI28" t="n">
        <v>200296647.446</v>
      </c>
      <c r="BJ28" t="n">
        <v>217138887.866</v>
      </c>
      <c r="BK28" t="n">
        <v>201406078.213</v>
      </c>
      <c r="BL28" t="n">
        <v>211208988.913</v>
      </c>
      <c r="BM28" t="n">
        <v>161617222.108</v>
      </c>
      <c r="BN28" t="n">
        <v>204106187.321</v>
      </c>
      <c r="BO28" t="n">
        <v>228475401.027</v>
      </c>
      <c r="BP28" t="n">
        <v>224625395.84</v>
      </c>
      <c r="BQ28" t="n">
        <v>199865047.174</v>
      </c>
      <c r="BR28" t="n">
        <v>252295863.709</v>
      </c>
      <c r="BS28" t="n">
        <v>245592904.909</v>
      </c>
      <c r="BT28" t="n">
        <v>312589012.409</v>
      </c>
    </row>
    <row r="30">
      <c r="A30" t="inlineStr">
        <is>
          <t>Catch tonnage on a named group: 207,462,135 of 208,301,114 (99.6 %). Unresolved taxa contribute nothing to the model rows and everything to the simple row, so the two are not directly comparable until coverage is 100 %.</t>
        </is>
      </c>
    </row>
    <row r="31">
      <c r="A31" s="11" t="inlineStr">
        <is>
          <t>8 of 20 methods are flagged above. A flagged row is a property of this model under that method, not of the mapping; see model_health in the SPPR workbook.</t>
        </is>
      </c>
    </row>
    <row r="32">
      <c r="A32" t="inlineStr">
        <is>
          <t>Coverage by year, %:</t>
        </is>
      </c>
    </row>
    <row r="33">
      <c r="A33" t="inlineStr">
        <is>
          <t>catch on a named group, %</t>
        </is>
      </c>
      <c r="B33" t="inlineStr"/>
      <c r="C33" t="n">
        <v>99.54000000000001</v>
      </c>
      <c r="D33" t="n">
        <v>99.34999999999999</v>
      </c>
      <c r="E33" t="n">
        <v>98.94</v>
      </c>
      <c r="F33" t="n">
        <v>99.27</v>
      </c>
      <c r="G33" t="n">
        <v>99.27</v>
      </c>
      <c r="H33" t="n">
        <v>99.04000000000001</v>
      </c>
      <c r="I33" t="n">
        <v>99.58</v>
      </c>
      <c r="J33" t="n">
        <v>99.54000000000001</v>
      </c>
      <c r="K33" t="n">
        <v>99.62</v>
      </c>
      <c r="L33" t="n">
        <v>99.64</v>
      </c>
      <c r="M33" t="n">
        <v>99.54000000000001</v>
      </c>
      <c r="N33" t="n">
        <v>99.43000000000001</v>
      </c>
      <c r="O33" t="n">
        <v>99.44</v>
      </c>
      <c r="P33" t="n">
        <v>99.79000000000001</v>
      </c>
      <c r="Q33" t="n">
        <v>99.75</v>
      </c>
      <c r="R33" t="n">
        <v>99.73999999999999</v>
      </c>
      <c r="S33" t="n">
        <v>99.81</v>
      </c>
      <c r="T33" t="n">
        <v>99.78</v>
      </c>
      <c r="U33" t="n">
        <v>99.83</v>
      </c>
      <c r="V33" t="n">
        <v>99.84</v>
      </c>
      <c r="W33" t="n">
        <v>99.86</v>
      </c>
      <c r="X33" t="n">
        <v>99.84</v>
      </c>
      <c r="Y33" t="n">
        <v>99.86</v>
      </c>
      <c r="Z33" t="n">
        <v>99.77</v>
      </c>
      <c r="AA33" t="n">
        <v>99.81</v>
      </c>
      <c r="AB33" t="n">
        <v>99.79000000000001</v>
      </c>
      <c r="AC33" t="n">
        <v>99.84</v>
      </c>
      <c r="AD33" t="n">
        <v>99.83</v>
      </c>
      <c r="AE33" t="n">
        <v>99.87</v>
      </c>
      <c r="AF33" t="n">
        <v>99.88</v>
      </c>
      <c r="AG33" t="n">
        <v>99.87</v>
      </c>
      <c r="AH33" t="n">
        <v>99.86</v>
      </c>
      <c r="AI33" t="n">
        <v>99.86</v>
      </c>
      <c r="AJ33" t="n">
        <v>99.86</v>
      </c>
      <c r="AK33" t="n">
        <v>99.88</v>
      </c>
      <c r="AL33" t="n">
        <v>99.88</v>
      </c>
      <c r="AM33" t="n">
        <v>99.64</v>
      </c>
      <c r="AN33" t="n">
        <v>99.54000000000001</v>
      </c>
      <c r="AO33" t="n">
        <v>99.76000000000001</v>
      </c>
      <c r="AP33" t="n">
        <v>99.7</v>
      </c>
      <c r="AQ33" t="n">
        <v>99.67</v>
      </c>
      <c r="AR33" t="n">
        <v>99.58</v>
      </c>
      <c r="AS33" t="n">
        <v>99.20999999999999</v>
      </c>
      <c r="AT33" t="n">
        <v>99.48999999999999</v>
      </c>
      <c r="AU33" t="n">
        <v>99.44</v>
      </c>
      <c r="AV33" t="n">
        <v>99.42</v>
      </c>
      <c r="AW33" t="n">
        <v>99.52</v>
      </c>
      <c r="AX33" t="n">
        <v>99.23</v>
      </c>
      <c r="AY33" t="n">
        <v>98.61</v>
      </c>
      <c r="AZ33" t="n">
        <v>99.11</v>
      </c>
      <c r="BA33" t="n">
        <v>99.29000000000001</v>
      </c>
      <c r="BB33" t="n">
        <v>99.19</v>
      </c>
      <c r="BC33" t="n">
        <v>98.95</v>
      </c>
      <c r="BD33" t="n">
        <v>98.42</v>
      </c>
      <c r="BE33" t="n">
        <v>98.31999999999999</v>
      </c>
      <c r="BF33" t="n">
        <v>98.13</v>
      </c>
      <c r="BG33" t="n">
        <v>98.79000000000001</v>
      </c>
      <c r="BH33" t="n">
        <v>99.89</v>
      </c>
      <c r="BI33" t="n">
        <v>99.88</v>
      </c>
      <c r="BJ33" t="n">
        <v>99.87</v>
      </c>
      <c r="BK33" t="n">
        <v>99.8</v>
      </c>
      <c r="BL33" t="n">
        <v>99.90000000000001</v>
      </c>
      <c r="BM33" t="n">
        <v>99.90000000000001</v>
      </c>
      <c r="BN33" t="n">
        <v>99.90000000000001</v>
      </c>
      <c r="BO33" t="n">
        <v>99.92</v>
      </c>
      <c r="BP33" t="n">
        <v>99.95</v>
      </c>
      <c r="BQ33" t="n">
        <v>99.94</v>
      </c>
      <c r="BR33" t="n">
        <v>99.94</v>
      </c>
      <c r="BS33" t="n">
        <v>99.93000000000001</v>
      </c>
      <c r="BT33" t="n">
        <v>99.95999999999999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1" t="inlineStr">
        <is>
          <t>Recycling diagnostics from diagnose_sppr()</t>
        </is>
      </c>
    </row>
    <row r="2" ht="32" customHeight="1">
      <c r="A2" s="13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12" t="inlineStr">
        <is>
          <t>model</t>
        </is>
      </c>
      <c r="B4" s="12" t="inlineStr">
        <is>
          <t>TE_option</t>
        </is>
      </c>
      <c r="C4" s="12" t="inlineStr">
        <is>
          <t>b</t>
        </is>
      </c>
      <c r="D4" s="12" t="inlineStr">
        <is>
          <t>rho living</t>
        </is>
      </c>
      <c r="E4" s="12" t="inlineStr">
        <is>
          <t>diagnostic status</t>
        </is>
      </c>
      <c r="F4" s="12" t="inlineStr">
        <is>
          <t>b converges</t>
        </is>
      </c>
      <c r="G4" s="12" t="inlineStr">
        <is>
          <t>living converges</t>
        </is>
      </c>
      <c r="H4" s="12" t="inlineStr">
        <is>
          <t>input balanced</t>
        </is>
      </c>
      <c r="I4" s="12" t="inlineStr">
        <is>
          <t>configuration</t>
        </is>
      </c>
    </row>
    <row r="5">
      <c r="A5" t="inlineStr">
        <is>
          <t>22_20251990_East_Coast_of_Scotland_(1991-1995)</t>
        </is>
      </c>
      <c r="B5" t="inlineStr">
        <is>
          <t>GE</t>
        </is>
      </c>
      <c r="C5" s="14" t="n">
        <v>0.06994711631486064</v>
      </c>
      <c r="D5" s="14" t="n">
        <v>0.2120896741445665</v>
      </c>
      <c r="E5" t="inlineStr">
        <is>
          <t>OK</t>
        </is>
      </c>
      <c r="F5" t="b">
        <v>1</v>
      </c>
      <c r="G5" t="b">
        <v>1</v>
      </c>
      <c r="H5" t="b">
        <v>1</v>
      </c>
      <c r="I5" t="inlineStr">
        <is>
          <t>{"TE_option": "GE", "det_collapse_mode": "never", "det_external_sppr": 0, "det_open_mode": "none", "det_theta": 1, "explicit_TE": false, "method": "single_detritus", "model": "East_Coast_of_Scotland (1991-1995)", "would_pool": false}</t>
        </is>
      </c>
    </row>
    <row r="6">
      <c r="A6" t="inlineStr">
        <is>
          <t>22_20251990_East_Coast_of_Scotland_(1991-1995)</t>
        </is>
      </c>
      <c r="B6" t="inlineStr">
        <is>
          <t>TE</t>
        </is>
      </c>
      <c r="C6" s="14" t="n">
        <v>0</v>
      </c>
      <c r="D6" s="14" t="n">
        <v>1.112778444711217</v>
      </c>
      <c r="E6" t="inlineStr">
        <is>
          <t>FAIL</t>
        </is>
      </c>
      <c r="F6" t="b">
        <v>1</v>
      </c>
      <c r="G6" t="b">
        <v>0</v>
      </c>
      <c r="H6" t="b">
        <v>1</v>
      </c>
      <c r="I6" t="inlineStr">
        <is>
          <t>{"TE_option": "TE", "det_collapse_mode": "never", "det_external_sppr": 0, "det_open_mode": "none", "det_theta": 1, "explicit_TE": false, "method": null, "model": "East_Coast_of_Scotland (1991-1995)", "would_pool": false}</t>
        </is>
      </c>
    </row>
    <row r="7">
      <c r="A7" t="inlineStr">
        <is>
          <t>22_20251990_East_Coast_of_Scotland_(1991-1995)</t>
        </is>
      </c>
      <c r="B7" t="inlineStr">
        <is>
          <t>With Egestion</t>
        </is>
      </c>
      <c r="C7" s="14" t="n">
        <v>0.09714913145852609</v>
      </c>
      <c r="D7" s="14" t="n">
        <v>0.1696717393156534</v>
      </c>
      <c r="E7" t="inlineStr">
        <is>
          <t>OK</t>
        </is>
      </c>
      <c r="F7" t="b">
        <v>1</v>
      </c>
      <c r="G7" t="b">
        <v>1</v>
      </c>
      <c r="H7" t="b">
        <v>1</v>
      </c>
      <c r="I7" t="inlineStr">
        <is>
          <t>{"TE_option": "With Egestion", "det_collapse_mode": "never", "det_external_sppr": 0, "det_open_mode": "none", "det_theta": 1, "explicit_TE": false, "method": "single_detritus", "model": "East_Coast_of_Scotland (1991-1995)", "would_pool": false}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391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0" customWidth="1" min="2" max="2"/>
    <col width="14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>
      <c r="A1" s="1" t="inlineStr">
        <is>
          <t>PPR per taxon for one year — pick the year in the yellow cell.</t>
        </is>
      </c>
    </row>
    <row r="2">
      <c r="A2" t="inlineStr">
        <is>
          <t>PPR = that year's catch for the taxon x the taxon's SPPR under each method. Everything below recalculates when the year changes.</t>
        </is>
      </c>
    </row>
    <row r="4">
      <c r="A4" s="2" t="inlineStr">
        <is>
          <t>Year</t>
        </is>
      </c>
      <c r="B4" s="15" t="n">
        <v>2019</v>
      </c>
      <c r="C4" s="10" t="inlineStr">
        <is>
          <t>choose any year from 1950 to 2019</t>
        </is>
      </c>
    </row>
    <row r="6">
      <c r="A6" s="4" t="inlineStr">
        <is>
          <t>taxon</t>
        </is>
      </c>
      <c r="B6" s="4" t="inlineStr">
        <is>
          <t>Ecopath group</t>
        </is>
      </c>
      <c r="C6" s="4" t="inlineStr">
        <is>
          <t>catch tonnes</t>
        </is>
      </c>
      <c r="D6" s="4" t="inlineStr">
        <is>
          <t>SPPR_1986</t>
        </is>
      </c>
      <c r="E6" s="4" t="inlineStr">
        <is>
          <t>SPPR_1995_TE0.1</t>
        </is>
      </c>
      <c r="F6" s="4" t="inlineStr">
        <is>
          <t>SPPR_1995_TEmean</t>
        </is>
      </c>
      <c r="G6" s="4" t="inlineStr">
        <is>
          <t>Ulanowicz_globalTEmean</t>
        </is>
      </c>
      <c r="H6" s="4" t="inlineStr">
        <is>
          <t>Ulanowicz_TE</t>
        </is>
      </c>
      <c r="I6" s="4" t="inlineStr">
        <is>
          <t>EwE_TE_noEE</t>
        </is>
      </c>
      <c r="J6" s="4" t="inlineStr">
        <is>
          <t>EwE_TE_EE</t>
        </is>
      </c>
      <c r="K6" s="4" t="inlineStr">
        <is>
          <t>SPPR_2015</t>
        </is>
      </c>
      <c r="L6" s="4" t="inlineStr">
        <is>
          <t>new_TE_noEEfix</t>
        </is>
      </c>
      <c r="M6" s="4" t="inlineStr">
        <is>
          <t>new_TE_EEfix</t>
        </is>
      </c>
      <c r="N6" s="4" t="inlineStr">
        <is>
          <t>new_GE</t>
        </is>
      </c>
      <c r="O6" s="4" t="inlineStr">
        <is>
          <t>new_WithEgestion</t>
        </is>
      </c>
      <c r="P6" s="4" t="inlineStr">
        <is>
          <t>sym_TE_asPP</t>
        </is>
      </c>
      <c r="Q6" s="4" t="inlineStr">
        <is>
          <t>sym_TE_asDC</t>
        </is>
      </c>
      <c r="R6" s="4" t="inlineStr">
        <is>
          <t>sym_GE_asPP</t>
        </is>
      </c>
      <c r="S6" s="4" t="inlineStr">
        <is>
          <t>sym_GE_asDC</t>
        </is>
      </c>
      <c r="T6" s="4" t="inlineStr">
        <is>
          <t>sym_WithEgestion_asPP</t>
        </is>
      </c>
      <c r="U6" s="4" t="inlineStr">
        <is>
          <t>sym_WithEgestion_asDC</t>
        </is>
      </c>
      <c r="V6" s="4" t="inlineStr">
        <is>
          <t>MC_new_GE</t>
        </is>
      </c>
      <c r="W6" s="4" t="inlineStr">
        <is>
          <t>MC_new_TE_EEfix</t>
        </is>
      </c>
    </row>
    <row r="7">
      <c r="A7" s="2" t="inlineStr">
        <is>
          <t>ALL TAXA</t>
        </is>
      </c>
      <c r="C7" s="2">
        <f>SUM(C8:C391)</f>
        <v/>
      </c>
      <c r="D7" s="2">
        <f>IF(COUNT(D8:D391)=0,"",SUM(D8:D391))</f>
        <v/>
      </c>
      <c r="E7" s="2">
        <f>IF(COUNT(E8:E391)=0,"",SUM(E8:E391))</f>
        <v/>
      </c>
      <c r="F7" s="2">
        <f>IF(COUNT(F8:F391)=0,"",SUM(F8:F391))</f>
        <v/>
      </c>
      <c r="G7" s="2">
        <f>IF(COUNT(G8:G391)=0,"",SUM(G8:G391))</f>
        <v/>
      </c>
      <c r="H7" s="2">
        <f>IF(COUNT(H8:H391)=0,"",SUM(H8:H391))</f>
        <v/>
      </c>
      <c r="I7" s="2">
        <f>IF(COUNT(I8:I391)=0,"",SUM(I8:I391))</f>
        <v/>
      </c>
      <c r="J7" s="2">
        <f>IF(COUNT(J8:J391)=0,"",SUM(J8:J391))</f>
        <v/>
      </c>
      <c r="K7" s="2">
        <f>IF(COUNT(K8:K391)=0,"",SUM(K8:K391))</f>
        <v/>
      </c>
      <c r="L7" s="2">
        <f>IF(COUNT(L8:L391)=0,"",SUM(L8:L391))</f>
        <v/>
      </c>
      <c r="M7" s="2">
        <f>IF(COUNT(M8:M391)=0,"",SUM(M8:M391))</f>
        <v/>
      </c>
      <c r="N7" s="2">
        <f>IF(COUNT(N8:N391)=0,"",SUM(N8:N391))</f>
        <v/>
      </c>
      <c r="O7" s="2">
        <f>IF(COUNT(O8:O391)=0,"",SUM(O8:O391))</f>
        <v/>
      </c>
      <c r="P7" s="2">
        <f>IF(COUNT(P8:P391)=0,"",SUM(P8:P391))</f>
        <v/>
      </c>
      <c r="Q7" s="2">
        <f>IF(COUNT(Q8:Q391)=0,"",SUM(Q8:Q391))</f>
        <v/>
      </c>
      <c r="R7" s="2">
        <f>IF(COUNT(R8:R391)=0,"",SUM(R8:R391))</f>
        <v/>
      </c>
      <c r="S7" s="2">
        <f>IF(COUNT(S8:S391)=0,"",SUM(S8:S391))</f>
        <v/>
      </c>
      <c r="T7" s="2">
        <f>IF(COUNT(T8:T391)=0,"",SUM(T8:T391))</f>
        <v/>
      </c>
      <c r="U7" s="2">
        <f>IF(COUNT(U8:U391)=0,"",SUM(U8:U391))</f>
        <v/>
      </c>
      <c r="V7" s="2">
        <f>IF(COUNT(V8:V391)=0,"",SUM(V8:V391))</f>
        <v/>
      </c>
      <c r="W7" s="2">
        <f>IF(COUNT(W8:W391)=0,"",SUM(W8:W391))</f>
        <v/>
      </c>
    </row>
    <row r="8">
      <c r="A8" t="inlineStr">
        <is>
          <t>Clupea harengus</t>
        </is>
      </c>
      <c r="B8">
        <f>IFERROR(INDEX(SPPR!$D:$D,MATCH($A8,SPPR!$A:$A,0)),"")</f>
        <v/>
      </c>
      <c r="C8">
        <f>IFERROR(INDEX(Catch!$E:$BV,MATCH($A8,Catch!$A:$A,0),MATCH($B$4,Catch!$E$1:$BV$1,0)),0)</f>
        <v/>
      </c>
      <c r="D8">
        <f>IFERROR(IF(ISNUMBER(INDEX(SPPR!$E:$X,MATCH($A8,SPPR!$A:$A,0),1)),$C8*INDEX(SPPR!$E:$X,MATCH($A8,SPPR!$A:$A,0),1),""),"")</f>
        <v/>
      </c>
      <c r="E8">
        <f>IFERROR(IF(ISNUMBER(INDEX(SPPR!$E:$X,MATCH($A8,SPPR!$A:$A,0),2)),$C8*INDEX(SPPR!$E:$X,MATCH($A8,SPPR!$A:$A,0),2),""),"")</f>
        <v/>
      </c>
      <c r="F8">
        <f>IFERROR(IF(ISNUMBER(INDEX(SPPR!$E:$X,MATCH($A8,SPPR!$A:$A,0),3)),$C8*INDEX(SPPR!$E:$X,MATCH($A8,SPPR!$A:$A,0),3),""),"")</f>
        <v/>
      </c>
      <c r="G8">
        <f>IFERROR(IF(ISNUMBER(INDEX(SPPR!$E:$X,MATCH($A8,SPPR!$A:$A,0),4)),$C8*INDEX(SPPR!$E:$X,MATCH($A8,SPPR!$A:$A,0),4),""),"")</f>
        <v/>
      </c>
      <c r="H8">
        <f>IFERROR(IF(ISNUMBER(INDEX(SPPR!$E:$X,MATCH($A8,SPPR!$A:$A,0),5)),$C8*INDEX(SPPR!$E:$X,MATCH($A8,SPPR!$A:$A,0),5),""),"")</f>
        <v/>
      </c>
      <c r="I8">
        <f>IFERROR(IF(ISNUMBER(INDEX(SPPR!$E:$X,MATCH($A8,SPPR!$A:$A,0),6)),$C8*INDEX(SPPR!$E:$X,MATCH($A8,SPPR!$A:$A,0),6),""),"")</f>
        <v/>
      </c>
      <c r="J8">
        <f>IFERROR(IF(ISNUMBER(INDEX(SPPR!$E:$X,MATCH($A8,SPPR!$A:$A,0),7)),$C8*INDEX(SPPR!$E:$X,MATCH($A8,SPPR!$A:$A,0),7),""),"")</f>
        <v/>
      </c>
      <c r="K8">
        <f>IFERROR(IF(ISNUMBER(INDEX(SPPR!$E:$X,MATCH($A8,SPPR!$A:$A,0),8)),$C8*INDEX(SPPR!$E:$X,MATCH($A8,SPPR!$A:$A,0),8),""),"")</f>
        <v/>
      </c>
      <c r="L8">
        <f>IFERROR(IF(ISNUMBER(INDEX(SPPR!$E:$X,MATCH($A8,SPPR!$A:$A,0),9)),$C8*INDEX(SPPR!$E:$X,MATCH($A8,SPPR!$A:$A,0),9),""),"")</f>
        <v/>
      </c>
      <c r="M8">
        <f>IFERROR(IF(ISNUMBER(INDEX(SPPR!$E:$X,MATCH($A8,SPPR!$A:$A,0),10)),$C8*INDEX(SPPR!$E:$X,MATCH($A8,SPPR!$A:$A,0),10),""),"")</f>
        <v/>
      </c>
      <c r="N8">
        <f>IFERROR(IF(ISNUMBER(INDEX(SPPR!$E:$X,MATCH($A8,SPPR!$A:$A,0),11)),$C8*INDEX(SPPR!$E:$X,MATCH($A8,SPPR!$A:$A,0),11),""),"")</f>
        <v/>
      </c>
      <c r="O8">
        <f>IFERROR(IF(ISNUMBER(INDEX(SPPR!$E:$X,MATCH($A8,SPPR!$A:$A,0),12)),$C8*INDEX(SPPR!$E:$X,MATCH($A8,SPPR!$A:$A,0),12),""),"")</f>
        <v/>
      </c>
      <c r="P8">
        <f>IFERROR(IF(ISNUMBER(INDEX(SPPR!$E:$X,MATCH($A8,SPPR!$A:$A,0),13)),$C8*INDEX(SPPR!$E:$X,MATCH($A8,SPPR!$A:$A,0),13),""),"")</f>
        <v/>
      </c>
      <c r="Q8">
        <f>IFERROR(IF(ISNUMBER(INDEX(SPPR!$E:$X,MATCH($A8,SPPR!$A:$A,0),14)),$C8*INDEX(SPPR!$E:$X,MATCH($A8,SPPR!$A:$A,0),14),""),"")</f>
        <v/>
      </c>
      <c r="R8">
        <f>IFERROR(IF(ISNUMBER(INDEX(SPPR!$E:$X,MATCH($A8,SPPR!$A:$A,0),15)),$C8*INDEX(SPPR!$E:$X,MATCH($A8,SPPR!$A:$A,0),15),""),"")</f>
        <v/>
      </c>
      <c r="S8">
        <f>IFERROR(IF(ISNUMBER(INDEX(SPPR!$E:$X,MATCH($A8,SPPR!$A:$A,0),16)),$C8*INDEX(SPPR!$E:$X,MATCH($A8,SPPR!$A:$A,0),16),""),"")</f>
        <v/>
      </c>
      <c r="T8">
        <f>IFERROR(IF(ISNUMBER(INDEX(SPPR!$E:$X,MATCH($A8,SPPR!$A:$A,0),17)),$C8*INDEX(SPPR!$E:$X,MATCH($A8,SPPR!$A:$A,0),17),""),"")</f>
        <v/>
      </c>
      <c r="U8">
        <f>IFERROR(IF(ISNUMBER(INDEX(SPPR!$E:$X,MATCH($A8,SPPR!$A:$A,0),18)),$C8*INDEX(SPPR!$E:$X,MATCH($A8,SPPR!$A:$A,0),18),""),"")</f>
        <v/>
      </c>
      <c r="V8">
        <f>IFERROR(IF(ISNUMBER(INDEX(SPPR!$E:$X,MATCH($A8,SPPR!$A:$A,0),19)),$C8*INDEX(SPPR!$E:$X,MATCH($A8,SPPR!$A:$A,0),19),""),"")</f>
        <v/>
      </c>
      <c r="W8">
        <f>IFERROR(IF(ISNUMBER(INDEX(SPPR!$E:$X,MATCH($A8,SPPR!$A:$A,0),20)),$C8*INDEX(SPPR!$E:$X,MATCH($A8,SPPR!$A:$A,0),20),""),"")</f>
        <v/>
      </c>
    </row>
    <row r="9">
      <c r="A9" t="inlineStr">
        <is>
          <t>Marine fishes not identified</t>
        </is>
      </c>
      <c r="B9">
        <f>IFERROR(INDEX(SPPR!$D:$D,MATCH($A9,SPPR!$A:$A,0)),"")</f>
        <v/>
      </c>
      <c r="C9">
        <f>IFERROR(INDEX(Catch!$E:$BV,MATCH($A9,Catch!$A:$A,0),MATCH($B$4,Catch!$E$1:$BV$1,0)),0)</f>
        <v/>
      </c>
      <c r="D9">
        <f>IFERROR(IF(ISNUMBER(INDEX(SPPR!$E:$X,MATCH($A9,SPPR!$A:$A,0),1)),$C9*INDEX(SPPR!$E:$X,MATCH($A9,SPPR!$A:$A,0),1),""),"")</f>
        <v/>
      </c>
      <c r="E9">
        <f>IFERROR(IF(ISNUMBER(INDEX(SPPR!$E:$X,MATCH($A9,SPPR!$A:$A,0),2)),$C9*INDEX(SPPR!$E:$X,MATCH($A9,SPPR!$A:$A,0),2),""),"")</f>
        <v/>
      </c>
      <c r="F9">
        <f>IFERROR(IF(ISNUMBER(INDEX(SPPR!$E:$X,MATCH($A9,SPPR!$A:$A,0),3)),$C9*INDEX(SPPR!$E:$X,MATCH($A9,SPPR!$A:$A,0),3),""),"")</f>
        <v/>
      </c>
      <c r="G9">
        <f>IFERROR(IF(ISNUMBER(INDEX(SPPR!$E:$X,MATCH($A9,SPPR!$A:$A,0),4)),$C9*INDEX(SPPR!$E:$X,MATCH($A9,SPPR!$A:$A,0),4),""),"")</f>
        <v/>
      </c>
      <c r="H9">
        <f>IFERROR(IF(ISNUMBER(INDEX(SPPR!$E:$X,MATCH($A9,SPPR!$A:$A,0),5)),$C9*INDEX(SPPR!$E:$X,MATCH($A9,SPPR!$A:$A,0),5),""),"")</f>
        <v/>
      </c>
      <c r="I9">
        <f>IFERROR(IF(ISNUMBER(INDEX(SPPR!$E:$X,MATCH($A9,SPPR!$A:$A,0),6)),$C9*INDEX(SPPR!$E:$X,MATCH($A9,SPPR!$A:$A,0),6),""),"")</f>
        <v/>
      </c>
      <c r="J9">
        <f>IFERROR(IF(ISNUMBER(INDEX(SPPR!$E:$X,MATCH($A9,SPPR!$A:$A,0),7)),$C9*INDEX(SPPR!$E:$X,MATCH($A9,SPPR!$A:$A,0),7),""),"")</f>
        <v/>
      </c>
      <c r="K9">
        <f>IFERROR(IF(ISNUMBER(INDEX(SPPR!$E:$X,MATCH($A9,SPPR!$A:$A,0),8)),$C9*INDEX(SPPR!$E:$X,MATCH($A9,SPPR!$A:$A,0),8),""),"")</f>
        <v/>
      </c>
      <c r="L9">
        <f>IFERROR(IF(ISNUMBER(INDEX(SPPR!$E:$X,MATCH($A9,SPPR!$A:$A,0),9)),$C9*INDEX(SPPR!$E:$X,MATCH($A9,SPPR!$A:$A,0),9),""),"")</f>
        <v/>
      </c>
      <c r="M9">
        <f>IFERROR(IF(ISNUMBER(INDEX(SPPR!$E:$X,MATCH($A9,SPPR!$A:$A,0),10)),$C9*INDEX(SPPR!$E:$X,MATCH($A9,SPPR!$A:$A,0),10),""),"")</f>
        <v/>
      </c>
      <c r="N9">
        <f>IFERROR(IF(ISNUMBER(INDEX(SPPR!$E:$X,MATCH($A9,SPPR!$A:$A,0),11)),$C9*INDEX(SPPR!$E:$X,MATCH($A9,SPPR!$A:$A,0),11),""),"")</f>
        <v/>
      </c>
      <c r="O9">
        <f>IFERROR(IF(ISNUMBER(INDEX(SPPR!$E:$X,MATCH($A9,SPPR!$A:$A,0),12)),$C9*INDEX(SPPR!$E:$X,MATCH($A9,SPPR!$A:$A,0),12),""),"")</f>
        <v/>
      </c>
      <c r="P9">
        <f>IFERROR(IF(ISNUMBER(INDEX(SPPR!$E:$X,MATCH($A9,SPPR!$A:$A,0),13)),$C9*INDEX(SPPR!$E:$X,MATCH($A9,SPPR!$A:$A,0),13),""),"")</f>
        <v/>
      </c>
      <c r="Q9">
        <f>IFERROR(IF(ISNUMBER(INDEX(SPPR!$E:$X,MATCH($A9,SPPR!$A:$A,0),14)),$C9*INDEX(SPPR!$E:$X,MATCH($A9,SPPR!$A:$A,0),14),""),"")</f>
        <v/>
      </c>
      <c r="R9">
        <f>IFERROR(IF(ISNUMBER(INDEX(SPPR!$E:$X,MATCH($A9,SPPR!$A:$A,0),15)),$C9*INDEX(SPPR!$E:$X,MATCH($A9,SPPR!$A:$A,0),15),""),"")</f>
        <v/>
      </c>
      <c r="S9">
        <f>IFERROR(IF(ISNUMBER(INDEX(SPPR!$E:$X,MATCH($A9,SPPR!$A:$A,0),16)),$C9*INDEX(SPPR!$E:$X,MATCH($A9,SPPR!$A:$A,0),16),""),"")</f>
        <v/>
      </c>
      <c r="T9">
        <f>IFERROR(IF(ISNUMBER(INDEX(SPPR!$E:$X,MATCH($A9,SPPR!$A:$A,0),17)),$C9*INDEX(SPPR!$E:$X,MATCH($A9,SPPR!$A:$A,0),17),""),"")</f>
        <v/>
      </c>
      <c r="U9">
        <f>IFERROR(IF(ISNUMBER(INDEX(SPPR!$E:$X,MATCH($A9,SPPR!$A:$A,0),18)),$C9*INDEX(SPPR!$E:$X,MATCH($A9,SPPR!$A:$A,0),18),""),"")</f>
        <v/>
      </c>
      <c r="V9">
        <f>IFERROR(IF(ISNUMBER(INDEX(SPPR!$E:$X,MATCH($A9,SPPR!$A:$A,0),19)),$C9*INDEX(SPPR!$E:$X,MATCH($A9,SPPR!$A:$A,0),19),""),"")</f>
        <v/>
      </c>
      <c r="W9">
        <f>IFERROR(IF(ISNUMBER(INDEX(SPPR!$E:$X,MATCH($A9,SPPR!$A:$A,0),20)),$C9*INDEX(SPPR!$E:$X,MATCH($A9,SPPR!$A:$A,0),20),""),"")</f>
        <v/>
      </c>
    </row>
    <row r="10">
      <c r="A10" t="inlineStr">
        <is>
          <t>Scomber scombrus</t>
        </is>
      </c>
      <c r="B10">
        <f>IFERROR(INDEX(SPPR!$D:$D,MATCH($A10,SPPR!$A:$A,0)),"")</f>
        <v/>
      </c>
      <c r="C10">
        <f>IFERROR(INDEX(Catch!$E:$BV,MATCH($A10,Catch!$A:$A,0),MATCH($B$4,Catch!$E$1:$BV$1,0)),0)</f>
        <v/>
      </c>
      <c r="D10">
        <f>IFERROR(IF(ISNUMBER(INDEX(SPPR!$E:$X,MATCH($A10,SPPR!$A:$A,0),1)),$C10*INDEX(SPPR!$E:$X,MATCH($A10,SPPR!$A:$A,0),1),""),"")</f>
        <v/>
      </c>
      <c r="E10">
        <f>IFERROR(IF(ISNUMBER(INDEX(SPPR!$E:$X,MATCH($A10,SPPR!$A:$A,0),2)),$C10*INDEX(SPPR!$E:$X,MATCH($A10,SPPR!$A:$A,0),2),""),"")</f>
        <v/>
      </c>
      <c r="F10">
        <f>IFERROR(IF(ISNUMBER(INDEX(SPPR!$E:$X,MATCH($A10,SPPR!$A:$A,0),3)),$C10*INDEX(SPPR!$E:$X,MATCH($A10,SPPR!$A:$A,0),3),""),"")</f>
        <v/>
      </c>
      <c r="G10">
        <f>IFERROR(IF(ISNUMBER(INDEX(SPPR!$E:$X,MATCH($A10,SPPR!$A:$A,0),4)),$C10*INDEX(SPPR!$E:$X,MATCH($A10,SPPR!$A:$A,0),4),""),"")</f>
        <v/>
      </c>
      <c r="H10">
        <f>IFERROR(IF(ISNUMBER(INDEX(SPPR!$E:$X,MATCH($A10,SPPR!$A:$A,0),5)),$C10*INDEX(SPPR!$E:$X,MATCH($A10,SPPR!$A:$A,0),5),""),"")</f>
        <v/>
      </c>
      <c r="I10">
        <f>IFERROR(IF(ISNUMBER(INDEX(SPPR!$E:$X,MATCH($A10,SPPR!$A:$A,0),6)),$C10*INDEX(SPPR!$E:$X,MATCH($A10,SPPR!$A:$A,0),6),""),"")</f>
        <v/>
      </c>
      <c r="J10">
        <f>IFERROR(IF(ISNUMBER(INDEX(SPPR!$E:$X,MATCH($A10,SPPR!$A:$A,0),7)),$C10*INDEX(SPPR!$E:$X,MATCH($A10,SPPR!$A:$A,0),7),""),"")</f>
        <v/>
      </c>
      <c r="K10">
        <f>IFERROR(IF(ISNUMBER(INDEX(SPPR!$E:$X,MATCH($A10,SPPR!$A:$A,0),8)),$C10*INDEX(SPPR!$E:$X,MATCH($A10,SPPR!$A:$A,0),8),""),"")</f>
        <v/>
      </c>
      <c r="L10">
        <f>IFERROR(IF(ISNUMBER(INDEX(SPPR!$E:$X,MATCH($A10,SPPR!$A:$A,0),9)),$C10*INDEX(SPPR!$E:$X,MATCH($A10,SPPR!$A:$A,0),9),""),"")</f>
        <v/>
      </c>
      <c r="M10">
        <f>IFERROR(IF(ISNUMBER(INDEX(SPPR!$E:$X,MATCH($A10,SPPR!$A:$A,0),10)),$C10*INDEX(SPPR!$E:$X,MATCH($A10,SPPR!$A:$A,0),10),""),"")</f>
        <v/>
      </c>
      <c r="N10">
        <f>IFERROR(IF(ISNUMBER(INDEX(SPPR!$E:$X,MATCH($A10,SPPR!$A:$A,0),11)),$C10*INDEX(SPPR!$E:$X,MATCH($A10,SPPR!$A:$A,0),11),""),"")</f>
        <v/>
      </c>
      <c r="O10">
        <f>IFERROR(IF(ISNUMBER(INDEX(SPPR!$E:$X,MATCH($A10,SPPR!$A:$A,0),12)),$C10*INDEX(SPPR!$E:$X,MATCH($A10,SPPR!$A:$A,0),12),""),"")</f>
        <v/>
      </c>
      <c r="P10">
        <f>IFERROR(IF(ISNUMBER(INDEX(SPPR!$E:$X,MATCH($A10,SPPR!$A:$A,0),13)),$C10*INDEX(SPPR!$E:$X,MATCH($A10,SPPR!$A:$A,0),13),""),"")</f>
        <v/>
      </c>
      <c r="Q10">
        <f>IFERROR(IF(ISNUMBER(INDEX(SPPR!$E:$X,MATCH($A10,SPPR!$A:$A,0),14)),$C10*INDEX(SPPR!$E:$X,MATCH($A10,SPPR!$A:$A,0),14),""),"")</f>
        <v/>
      </c>
      <c r="R10">
        <f>IFERROR(IF(ISNUMBER(INDEX(SPPR!$E:$X,MATCH($A10,SPPR!$A:$A,0),15)),$C10*INDEX(SPPR!$E:$X,MATCH($A10,SPPR!$A:$A,0),15),""),"")</f>
        <v/>
      </c>
      <c r="S10">
        <f>IFERROR(IF(ISNUMBER(INDEX(SPPR!$E:$X,MATCH($A10,SPPR!$A:$A,0),16)),$C10*INDEX(SPPR!$E:$X,MATCH($A10,SPPR!$A:$A,0),16),""),"")</f>
        <v/>
      </c>
      <c r="T10">
        <f>IFERROR(IF(ISNUMBER(INDEX(SPPR!$E:$X,MATCH($A10,SPPR!$A:$A,0),17)),$C10*INDEX(SPPR!$E:$X,MATCH($A10,SPPR!$A:$A,0),17),""),"")</f>
        <v/>
      </c>
      <c r="U10">
        <f>IFERROR(IF(ISNUMBER(INDEX(SPPR!$E:$X,MATCH($A10,SPPR!$A:$A,0),18)),$C10*INDEX(SPPR!$E:$X,MATCH($A10,SPPR!$A:$A,0),18),""),"")</f>
        <v/>
      </c>
      <c r="V10">
        <f>IFERROR(IF(ISNUMBER(INDEX(SPPR!$E:$X,MATCH($A10,SPPR!$A:$A,0),19)),$C10*INDEX(SPPR!$E:$X,MATCH($A10,SPPR!$A:$A,0),19),""),"")</f>
        <v/>
      </c>
      <c r="W10">
        <f>IFERROR(IF(ISNUMBER(INDEX(SPPR!$E:$X,MATCH($A10,SPPR!$A:$A,0),20)),$C10*INDEX(SPPR!$E:$X,MATCH($A10,SPPR!$A:$A,0),20),""),"")</f>
        <v/>
      </c>
    </row>
    <row r="11">
      <c r="A11" t="inlineStr">
        <is>
          <t>Gadus morhua</t>
        </is>
      </c>
      <c r="B11">
        <f>IFERROR(INDEX(SPPR!$D:$D,MATCH($A11,SPPR!$A:$A,0)),"")</f>
        <v/>
      </c>
      <c r="C11">
        <f>IFERROR(INDEX(Catch!$E:$BV,MATCH($A11,Catch!$A:$A,0),MATCH($B$4,Catch!$E$1:$BV$1,0)),0)</f>
        <v/>
      </c>
      <c r="D11">
        <f>IFERROR(IF(ISNUMBER(INDEX(SPPR!$E:$X,MATCH($A11,SPPR!$A:$A,0),1)),$C11*INDEX(SPPR!$E:$X,MATCH($A11,SPPR!$A:$A,0),1),""),"")</f>
        <v/>
      </c>
      <c r="E11">
        <f>IFERROR(IF(ISNUMBER(INDEX(SPPR!$E:$X,MATCH($A11,SPPR!$A:$A,0),2)),$C11*INDEX(SPPR!$E:$X,MATCH($A11,SPPR!$A:$A,0),2),""),"")</f>
        <v/>
      </c>
      <c r="F11">
        <f>IFERROR(IF(ISNUMBER(INDEX(SPPR!$E:$X,MATCH($A11,SPPR!$A:$A,0),3)),$C11*INDEX(SPPR!$E:$X,MATCH($A11,SPPR!$A:$A,0),3),""),"")</f>
        <v/>
      </c>
      <c r="G11">
        <f>IFERROR(IF(ISNUMBER(INDEX(SPPR!$E:$X,MATCH($A11,SPPR!$A:$A,0),4)),$C11*INDEX(SPPR!$E:$X,MATCH($A11,SPPR!$A:$A,0),4),""),"")</f>
        <v/>
      </c>
      <c r="H11">
        <f>IFERROR(IF(ISNUMBER(INDEX(SPPR!$E:$X,MATCH($A11,SPPR!$A:$A,0),5)),$C11*INDEX(SPPR!$E:$X,MATCH($A11,SPPR!$A:$A,0),5),""),"")</f>
        <v/>
      </c>
      <c r="I11">
        <f>IFERROR(IF(ISNUMBER(INDEX(SPPR!$E:$X,MATCH($A11,SPPR!$A:$A,0),6)),$C11*INDEX(SPPR!$E:$X,MATCH($A11,SPPR!$A:$A,0),6),""),"")</f>
        <v/>
      </c>
      <c r="J11">
        <f>IFERROR(IF(ISNUMBER(INDEX(SPPR!$E:$X,MATCH($A11,SPPR!$A:$A,0),7)),$C11*INDEX(SPPR!$E:$X,MATCH($A11,SPPR!$A:$A,0),7),""),"")</f>
        <v/>
      </c>
      <c r="K11">
        <f>IFERROR(IF(ISNUMBER(INDEX(SPPR!$E:$X,MATCH($A11,SPPR!$A:$A,0),8)),$C11*INDEX(SPPR!$E:$X,MATCH($A11,SPPR!$A:$A,0),8),""),"")</f>
        <v/>
      </c>
      <c r="L11">
        <f>IFERROR(IF(ISNUMBER(INDEX(SPPR!$E:$X,MATCH($A11,SPPR!$A:$A,0),9)),$C11*INDEX(SPPR!$E:$X,MATCH($A11,SPPR!$A:$A,0),9),""),"")</f>
        <v/>
      </c>
      <c r="M11">
        <f>IFERROR(IF(ISNUMBER(INDEX(SPPR!$E:$X,MATCH($A11,SPPR!$A:$A,0),10)),$C11*INDEX(SPPR!$E:$X,MATCH($A11,SPPR!$A:$A,0),10),""),"")</f>
        <v/>
      </c>
      <c r="N11">
        <f>IFERROR(IF(ISNUMBER(INDEX(SPPR!$E:$X,MATCH($A11,SPPR!$A:$A,0),11)),$C11*INDEX(SPPR!$E:$X,MATCH($A11,SPPR!$A:$A,0),11),""),"")</f>
        <v/>
      </c>
      <c r="O11">
        <f>IFERROR(IF(ISNUMBER(INDEX(SPPR!$E:$X,MATCH($A11,SPPR!$A:$A,0),12)),$C11*INDEX(SPPR!$E:$X,MATCH($A11,SPPR!$A:$A,0),12),""),"")</f>
        <v/>
      </c>
      <c r="P11">
        <f>IFERROR(IF(ISNUMBER(INDEX(SPPR!$E:$X,MATCH($A11,SPPR!$A:$A,0),13)),$C11*INDEX(SPPR!$E:$X,MATCH($A11,SPPR!$A:$A,0),13),""),"")</f>
        <v/>
      </c>
      <c r="Q11">
        <f>IFERROR(IF(ISNUMBER(INDEX(SPPR!$E:$X,MATCH($A11,SPPR!$A:$A,0),14)),$C11*INDEX(SPPR!$E:$X,MATCH($A11,SPPR!$A:$A,0),14),""),"")</f>
        <v/>
      </c>
      <c r="R11">
        <f>IFERROR(IF(ISNUMBER(INDEX(SPPR!$E:$X,MATCH($A11,SPPR!$A:$A,0),15)),$C11*INDEX(SPPR!$E:$X,MATCH($A11,SPPR!$A:$A,0),15),""),"")</f>
        <v/>
      </c>
      <c r="S11">
        <f>IFERROR(IF(ISNUMBER(INDEX(SPPR!$E:$X,MATCH($A11,SPPR!$A:$A,0),16)),$C11*INDEX(SPPR!$E:$X,MATCH($A11,SPPR!$A:$A,0),16),""),"")</f>
        <v/>
      </c>
      <c r="T11">
        <f>IFERROR(IF(ISNUMBER(INDEX(SPPR!$E:$X,MATCH($A11,SPPR!$A:$A,0),17)),$C11*INDEX(SPPR!$E:$X,MATCH($A11,SPPR!$A:$A,0),17),""),"")</f>
        <v/>
      </c>
      <c r="U11">
        <f>IFERROR(IF(ISNUMBER(INDEX(SPPR!$E:$X,MATCH($A11,SPPR!$A:$A,0),18)),$C11*INDEX(SPPR!$E:$X,MATCH($A11,SPPR!$A:$A,0),18),""),"")</f>
        <v/>
      </c>
      <c r="V11">
        <f>IFERROR(IF(ISNUMBER(INDEX(SPPR!$E:$X,MATCH($A11,SPPR!$A:$A,0),19)),$C11*INDEX(SPPR!$E:$X,MATCH($A11,SPPR!$A:$A,0),19),""),"")</f>
        <v/>
      </c>
      <c r="W11">
        <f>IFERROR(IF(ISNUMBER(INDEX(SPPR!$E:$X,MATCH($A11,SPPR!$A:$A,0),20)),$C11*INDEX(SPPR!$E:$X,MATCH($A11,SPPR!$A:$A,0),20),""),"")</f>
        <v/>
      </c>
    </row>
    <row r="12">
      <c r="A12" t="inlineStr">
        <is>
          <t>Sprattus sprattus</t>
        </is>
      </c>
      <c r="B12">
        <f>IFERROR(INDEX(SPPR!$D:$D,MATCH($A12,SPPR!$A:$A,0)),"")</f>
        <v/>
      </c>
      <c r="C12">
        <f>IFERROR(INDEX(Catch!$E:$BV,MATCH($A12,Catch!$A:$A,0),MATCH($B$4,Catch!$E$1:$BV$1,0)),0)</f>
        <v/>
      </c>
      <c r="D12">
        <f>IFERROR(IF(ISNUMBER(INDEX(SPPR!$E:$X,MATCH($A12,SPPR!$A:$A,0),1)),$C12*INDEX(SPPR!$E:$X,MATCH($A12,SPPR!$A:$A,0),1),""),"")</f>
        <v/>
      </c>
      <c r="E12">
        <f>IFERROR(IF(ISNUMBER(INDEX(SPPR!$E:$X,MATCH($A12,SPPR!$A:$A,0),2)),$C12*INDEX(SPPR!$E:$X,MATCH($A12,SPPR!$A:$A,0),2),""),"")</f>
        <v/>
      </c>
      <c r="F12">
        <f>IFERROR(IF(ISNUMBER(INDEX(SPPR!$E:$X,MATCH($A12,SPPR!$A:$A,0),3)),$C12*INDEX(SPPR!$E:$X,MATCH($A12,SPPR!$A:$A,0),3),""),"")</f>
        <v/>
      </c>
      <c r="G12">
        <f>IFERROR(IF(ISNUMBER(INDEX(SPPR!$E:$X,MATCH($A12,SPPR!$A:$A,0),4)),$C12*INDEX(SPPR!$E:$X,MATCH($A12,SPPR!$A:$A,0),4),""),"")</f>
        <v/>
      </c>
      <c r="H12">
        <f>IFERROR(IF(ISNUMBER(INDEX(SPPR!$E:$X,MATCH($A12,SPPR!$A:$A,0),5)),$C12*INDEX(SPPR!$E:$X,MATCH($A12,SPPR!$A:$A,0),5),""),"")</f>
        <v/>
      </c>
      <c r="I12">
        <f>IFERROR(IF(ISNUMBER(INDEX(SPPR!$E:$X,MATCH($A12,SPPR!$A:$A,0),6)),$C12*INDEX(SPPR!$E:$X,MATCH($A12,SPPR!$A:$A,0),6),""),"")</f>
        <v/>
      </c>
      <c r="J12">
        <f>IFERROR(IF(ISNUMBER(INDEX(SPPR!$E:$X,MATCH($A12,SPPR!$A:$A,0),7)),$C12*INDEX(SPPR!$E:$X,MATCH($A12,SPPR!$A:$A,0),7),""),"")</f>
        <v/>
      </c>
      <c r="K12">
        <f>IFERROR(IF(ISNUMBER(INDEX(SPPR!$E:$X,MATCH($A12,SPPR!$A:$A,0),8)),$C12*INDEX(SPPR!$E:$X,MATCH($A12,SPPR!$A:$A,0),8),""),"")</f>
        <v/>
      </c>
      <c r="L12">
        <f>IFERROR(IF(ISNUMBER(INDEX(SPPR!$E:$X,MATCH($A12,SPPR!$A:$A,0),9)),$C12*INDEX(SPPR!$E:$X,MATCH($A12,SPPR!$A:$A,0),9),""),"")</f>
        <v/>
      </c>
      <c r="M12">
        <f>IFERROR(IF(ISNUMBER(INDEX(SPPR!$E:$X,MATCH($A12,SPPR!$A:$A,0),10)),$C12*INDEX(SPPR!$E:$X,MATCH($A12,SPPR!$A:$A,0),10),""),"")</f>
        <v/>
      </c>
      <c r="N12">
        <f>IFERROR(IF(ISNUMBER(INDEX(SPPR!$E:$X,MATCH($A12,SPPR!$A:$A,0),11)),$C12*INDEX(SPPR!$E:$X,MATCH($A12,SPPR!$A:$A,0),11),""),"")</f>
        <v/>
      </c>
      <c r="O12">
        <f>IFERROR(IF(ISNUMBER(INDEX(SPPR!$E:$X,MATCH($A12,SPPR!$A:$A,0),12)),$C12*INDEX(SPPR!$E:$X,MATCH($A12,SPPR!$A:$A,0),12),""),"")</f>
        <v/>
      </c>
      <c r="P12">
        <f>IFERROR(IF(ISNUMBER(INDEX(SPPR!$E:$X,MATCH($A12,SPPR!$A:$A,0),13)),$C12*INDEX(SPPR!$E:$X,MATCH($A12,SPPR!$A:$A,0),13),""),"")</f>
        <v/>
      </c>
      <c r="Q12">
        <f>IFERROR(IF(ISNUMBER(INDEX(SPPR!$E:$X,MATCH($A12,SPPR!$A:$A,0),14)),$C12*INDEX(SPPR!$E:$X,MATCH($A12,SPPR!$A:$A,0),14),""),"")</f>
        <v/>
      </c>
      <c r="R12">
        <f>IFERROR(IF(ISNUMBER(INDEX(SPPR!$E:$X,MATCH($A12,SPPR!$A:$A,0),15)),$C12*INDEX(SPPR!$E:$X,MATCH($A12,SPPR!$A:$A,0),15),""),"")</f>
        <v/>
      </c>
      <c r="S12">
        <f>IFERROR(IF(ISNUMBER(INDEX(SPPR!$E:$X,MATCH($A12,SPPR!$A:$A,0),16)),$C12*INDEX(SPPR!$E:$X,MATCH($A12,SPPR!$A:$A,0),16),""),"")</f>
        <v/>
      </c>
      <c r="T12">
        <f>IFERROR(IF(ISNUMBER(INDEX(SPPR!$E:$X,MATCH($A12,SPPR!$A:$A,0),17)),$C12*INDEX(SPPR!$E:$X,MATCH($A12,SPPR!$A:$A,0),17),""),"")</f>
        <v/>
      </c>
      <c r="U12">
        <f>IFERROR(IF(ISNUMBER(INDEX(SPPR!$E:$X,MATCH($A12,SPPR!$A:$A,0),18)),$C12*INDEX(SPPR!$E:$X,MATCH($A12,SPPR!$A:$A,0),18),""),"")</f>
        <v/>
      </c>
      <c r="V12">
        <f>IFERROR(IF(ISNUMBER(INDEX(SPPR!$E:$X,MATCH($A12,SPPR!$A:$A,0),19)),$C12*INDEX(SPPR!$E:$X,MATCH($A12,SPPR!$A:$A,0),19),""),"")</f>
        <v/>
      </c>
      <c r="W12">
        <f>IFERROR(IF(ISNUMBER(INDEX(SPPR!$E:$X,MATCH($A12,SPPR!$A:$A,0),20)),$C12*INDEX(SPPR!$E:$X,MATCH($A12,SPPR!$A:$A,0),20),""),"")</f>
        <v/>
      </c>
    </row>
    <row r="13">
      <c r="A13" t="inlineStr">
        <is>
          <t>Trisopterus esmarkii</t>
        </is>
      </c>
      <c r="B13">
        <f>IFERROR(INDEX(SPPR!$D:$D,MATCH($A13,SPPR!$A:$A,0)),"")</f>
        <v/>
      </c>
      <c r="C13">
        <f>IFERROR(INDEX(Catch!$E:$BV,MATCH($A13,Catch!$A:$A,0),MATCH($B$4,Catch!$E$1:$BV$1,0)),0)</f>
        <v/>
      </c>
      <c r="D13">
        <f>IFERROR(IF(ISNUMBER(INDEX(SPPR!$E:$X,MATCH($A13,SPPR!$A:$A,0),1)),$C13*INDEX(SPPR!$E:$X,MATCH($A13,SPPR!$A:$A,0),1),""),"")</f>
        <v/>
      </c>
      <c r="E13">
        <f>IFERROR(IF(ISNUMBER(INDEX(SPPR!$E:$X,MATCH($A13,SPPR!$A:$A,0),2)),$C13*INDEX(SPPR!$E:$X,MATCH($A13,SPPR!$A:$A,0),2),""),"")</f>
        <v/>
      </c>
      <c r="F13">
        <f>IFERROR(IF(ISNUMBER(INDEX(SPPR!$E:$X,MATCH($A13,SPPR!$A:$A,0),3)),$C13*INDEX(SPPR!$E:$X,MATCH($A13,SPPR!$A:$A,0),3),""),"")</f>
        <v/>
      </c>
      <c r="G13">
        <f>IFERROR(IF(ISNUMBER(INDEX(SPPR!$E:$X,MATCH($A13,SPPR!$A:$A,0),4)),$C13*INDEX(SPPR!$E:$X,MATCH($A13,SPPR!$A:$A,0),4),""),"")</f>
        <v/>
      </c>
      <c r="H13">
        <f>IFERROR(IF(ISNUMBER(INDEX(SPPR!$E:$X,MATCH($A13,SPPR!$A:$A,0),5)),$C13*INDEX(SPPR!$E:$X,MATCH($A13,SPPR!$A:$A,0),5),""),"")</f>
        <v/>
      </c>
      <c r="I13">
        <f>IFERROR(IF(ISNUMBER(INDEX(SPPR!$E:$X,MATCH($A13,SPPR!$A:$A,0),6)),$C13*INDEX(SPPR!$E:$X,MATCH($A13,SPPR!$A:$A,0),6),""),"")</f>
        <v/>
      </c>
      <c r="J13">
        <f>IFERROR(IF(ISNUMBER(INDEX(SPPR!$E:$X,MATCH($A13,SPPR!$A:$A,0),7)),$C13*INDEX(SPPR!$E:$X,MATCH($A13,SPPR!$A:$A,0),7),""),"")</f>
        <v/>
      </c>
      <c r="K13">
        <f>IFERROR(IF(ISNUMBER(INDEX(SPPR!$E:$X,MATCH($A13,SPPR!$A:$A,0),8)),$C13*INDEX(SPPR!$E:$X,MATCH($A13,SPPR!$A:$A,0),8),""),"")</f>
        <v/>
      </c>
      <c r="L13">
        <f>IFERROR(IF(ISNUMBER(INDEX(SPPR!$E:$X,MATCH($A13,SPPR!$A:$A,0),9)),$C13*INDEX(SPPR!$E:$X,MATCH($A13,SPPR!$A:$A,0),9),""),"")</f>
        <v/>
      </c>
      <c r="M13">
        <f>IFERROR(IF(ISNUMBER(INDEX(SPPR!$E:$X,MATCH($A13,SPPR!$A:$A,0),10)),$C13*INDEX(SPPR!$E:$X,MATCH($A13,SPPR!$A:$A,0),10),""),"")</f>
        <v/>
      </c>
      <c r="N13">
        <f>IFERROR(IF(ISNUMBER(INDEX(SPPR!$E:$X,MATCH($A13,SPPR!$A:$A,0),11)),$C13*INDEX(SPPR!$E:$X,MATCH($A13,SPPR!$A:$A,0),11),""),"")</f>
        <v/>
      </c>
      <c r="O13">
        <f>IFERROR(IF(ISNUMBER(INDEX(SPPR!$E:$X,MATCH($A13,SPPR!$A:$A,0),12)),$C13*INDEX(SPPR!$E:$X,MATCH($A13,SPPR!$A:$A,0),12),""),"")</f>
        <v/>
      </c>
      <c r="P13">
        <f>IFERROR(IF(ISNUMBER(INDEX(SPPR!$E:$X,MATCH($A13,SPPR!$A:$A,0),13)),$C13*INDEX(SPPR!$E:$X,MATCH($A13,SPPR!$A:$A,0),13),""),"")</f>
        <v/>
      </c>
      <c r="Q13">
        <f>IFERROR(IF(ISNUMBER(INDEX(SPPR!$E:$X,MATCH($A13,SPPR!$A:$A,0),14)),$C13*INDEX(SPPR!$E:$X,MATCH($A13,SPPR!$A:$A,0),14),""),"")</f>
        <v/>
      </c>
      <c r="R13">
        <f>IFERROR(IF(ISNUMBER(INDEX(SPPR!$E:$X,MATCH($A13,SPPR!$A:$A,0),15)),$C13*INDEX(SPPR!$E:$X,MATCH($A13,SPPR!$A:$A,0),15),""),"")</f>
        <v/>
      </c>
      <c r="S13">
        <f>IFERROR(IF(ISNUMBER(INDEX(SPPR!$E:$X,MATCH($A13,SPPR!$A:$A,0),16)),$C13*INDEX(SPPR!$E:$X,MATCH($A13,SPPR!$A:$A,0),16),""),"")</f>
        <v/>
      </c>
      <c r="T13">
        <f>IFERROR(IF(ISNUMBER(INDEX(SPPR!$E:$X,MATCH($A13,SPPR!$A:$A,0),17)),$C13*INDEX(SPPR!$E:$X,MATCH($A13,SPPR!$A:$A,0),17),""),"")</f>
        <v/>
      </c>
      <c r="U13">
        <f>IFERROR(IF(ISNUMBER(INDEX(SPPR!$E:$X,MATCH($A13,SPPR!$A:$A,0),18)),$C13*INDEX(SPPR!$E:$X,MATCH($A13,SPPR!$A:$A,0),18),""),"")</f>
        <v/>
      </c>
      <c r="V13">
        <f>IFERROR(IF(ISNUMBER(INDEX(SPPR!$E:$X,MATCH($A13,SPPR!$A:$A,0),19)),$C13*INDEX(SPPR!$E:$X,MATCH($A13,SPPR!$A:$A,0),19),""),"")</f>
        <v/>
      </c>
      <c r="W13">
        <f>IFERROR(IF(ISNUMBER(INDEX(SPPR!$E:$X,MATCH($A13,SPPR!$A:$A,0),20)),$C13*INDEX(SPPR!$E:$X,MATCH($A13,SPPR!$A:$A,0),20),""),"")</f>
        <v/>
      </c>
    </row>
    <row r="14">
      <c r="A14" t="inlineStr">
        <is>
          <t>Pleuronectes platessa</t>
        </is>
      </c>
      <c r="B14">
        <f>IFERROR(INDEX(SPPR!$D:$D,MATCH($A14,SPPR!$A:$A,0)),"")</f>
        <v/>
      </c>
      <c r="C14">
        <f>IFERROR(INDEX(Catch!$E:$BV,MATCH($A14,Catch!$A:$A,0),MATCH($B$4,Catch!$E$1:$BV$1,0)),0)</f>
        <v/>
      </c>
      <c r="D14">
        <f>IFERROR(IF(ISNUMBER(INDEX(SPPR!$E:$X,MATCH($A14,SPPR!$A:$A,0),1)),$C14*INDEX(SPPR!$E:$X,MATCH($A14,SPPR!$A:$A,0),1),""),"")</f>
        <v/>
      </c>
      <c r="E14">
        <f>IFERROR(IF(ISNUMBER(INDEX(SPPR!$E:$X,MATCH($A14,SPPR!$A:$A,0),2)),$C14*INDEX(SPPR!$E:$X,MATCH($A14,SPPR!$A:$A,0),2),""),"")</f>
        <v/>
      </c>
      <c r="F14">
        <f>IFERROR(IF(ISNUMBER(INDEX(SPPR!$E:$X,MATCH($A14,SPPR!$A:$A,0),3)),$C14*INDEX(SPPR!$E:$X,MATCH($A14,SPPR!$A:$A,0),3),""),"")</f>
        <v/>
      </c>
      <c r="G14">
        <f>IFERROR(IF(ISNUMBER(INDEX(SPPR!$E:$X,MATCH($A14,SPPR!$A:$A,0),4)),$C14*INDEX(SPPR!$E:$X,MATCH($A14,SPPR!$A:$A,0),4),""),"")</f>
        <v/>
      </c>
      <c r="H14">
        <f>IFERROR(IF(ISNUMBER(INDEX(SPPR!$E:$X,MATCH($A14,SPPR!$A:$A,0),5)),$C14*INDEX(SPPR!$E:$X,MATCH($A14,SPPR!$A:$A,0),5),""),"")</f>
        <v/>
      </c>
      <c r="I14">
        <f>IFERROR(IF(ISNUMBER(INDEX(SPPR!$E:$X,MATCH($A14,SPPR!$A:$A,0),6)),$C14*INDEX(SPPR!$E:$X,MATCH($A14,SPPR!$A:$A,0),6),""),"")</f>
        <v/>
      </c>
      <c r="J14">
        <f>IFERROR(IF(ISNUMBER(INDEX(SPPR!$E:$X,MATCH($A14,SPPR!$A:$A,0),7)),$C14*INDEX(SPPR!$E:$X,MATCH($A14,SPPR!$A:$A,0),7),""),"")</f>
        <v/>
      </c>
      <c r="K14">
        <f>IFERROR(IF(ISNUMBER(INDEX(SPPR!$E:$X,MATCH($A14,SPPR!$A:$A,0),8)),$C14*INDEX(SPPR!$E:$X,MATCH($A14,SPPR!$A:$A,0),8),""),"")</f>
        <v/>
      </c>
      <c r="L14">
        <f>IFERROR(IF(ISNUMBER(INDEX(SPPR!$E:$X,MATCH($A14,SPPR!$A:$A,0),9)),$C14*INDEX(SPPR!$E:$X,MATCH($A14,SPPR!$A:$A,0),9),""),"")</f>
        <v/>
      </c>
      <c r="M14">
        <f>IFERROR(IF(ISNUMBER(INDEX(SPPR!$E:$X,MATCH($A14,SPPR!$A:$A,0),10)),$C14*INDEX(SPPR!$E:$X,MATCH($A14,SPPR!$A:$A,0),10),""),"")</f>
        <v/>
      </c>
      <c r="N14">
        <f>IFERROR(IF(ISNUMBER(INDEX(SPPR!$E:$X,MATCH($A14,SPPR!$A:$A,0),11)),$C14*INDEX(SPPR!$E:$X,MATCH($A14,SPPR!$A:$A,0),11),""),"")</f>
        <v/>
      </c>
      <c r="O14">
        <f>IFERROR(IF(ISNUMBER(INDEX(SPPR!$E:$X,MATCH($A14,SPPR!$A:$A,0),12)),$C14*INDEX(SPPR!$E:$X,MATCH($A14,SPPR!$A:$A,0),12),""),"")</f>
        <v/>
      </c>
      <c r="P14">
        <f>IFERROR(IF(ISNUMBER(INDEX(SPPR!$E:$X,MATCH($A14,SPPR!$A:$A,0),13)),$C14*INDEX(SPPR!$E:$X,MATCH($A14,SPPR!$A:$A,0),13),""),"")</f>
        <v/>
      </c>
      <c r="Q14">
        <f>IFERROR(IF(ISNUMBER(INDEX(SPPR!$E:$X,MATCH($A14,SPPR!$A:$A,0),14)),$C14*INDEX(SPPR!$E:$X,MATCH($A14,SPPR!$A:$A,0),14),""),"")</f>
        <v/>
      </c>
      <c r="R14">
        <f>IFERROR(IF(ISNUMBER(INDEX(SPPR!$E:$X,MATCH($A14,SPPR!$A:$A,0),15)),$C14*INDEX(SPPR!$E:$X,MATCH($A14,SPPR!$A:$A,0),15),""),"")</f>
        <v/>
      </c>
      <c r="S14">
        <f>IFERROR(IF(ISNUMBER(INDEX(SPPR!$E:$X,MATCH($A14,SPPR!$A:$A,0),16)),$C14*INDEX(SPPR!$E:$X,MATCH($A14,SPPR!$A:$A,0),16),""),"")</f>
        <v/>
      </c>
      <c r="T14">
        <f>IFERROR(IF(ISNUMBER(INDEX(SPPR!$E:$X,MATCH($A14,SPPR!$A:$A,0),17)),$C14*INDEX(SPPR!$E:$X,MATCH($A14,SPPR!$A:$A,0),17),""),"")</f>
        <v/>
      </c>
      <c r="U14">
        <f>IFERROR(IF(ISNUMBER(INDEX(SPPR!$E:$X,MATCH($A14,SPPR!$A:$A,0),18)),$C14*INDEX(SPPR!$E:$X,MATCH($A14,SPPR!$A:$A,0),18),""),"")</f>
        <v/>
      </c>
      <c r="V14">
        <f>IFERROR(IF(ISNUMBER(INDEX(SPPR!$E:$X,MATCH($A14,SPPR!$A:$A,0),19)),$C14*INDEX(SPPR!$E:$X,MATCH($A14,SPPR!$A:$A,0),19),""),"")</f>
        <v/>
      </c>
      <c r="W14">
        <f>IFERROR(IF(ISNUMBER(INDEX(SPPR!$E:$X,MATCH($A14,SPPR!$A:$A,0),20)),$C14*INDEX(SPPR!$E:$X,MATCH($A14,SPPR!$A:$A,0),20),""),"")</f>
        <v/>
      </c>
    </row>
    <row r="15">
      <c r="A15" t="inlineStr">
        <is>
          <t>Melanogrammus aeglefinus</t>
        </is>
      </c>
      <c r="B15">
        <f>IFERROR(INDEX(SPPR!$D:$D,MATCH($A15,SPPR!$A:$A,0)),"")</f>
        <v/>
      </c>
      <c r="C15">
        <f>IFERROR(INDEX(Catch!$E:$BV,MATCH($A15,Catch!$A:$A,0),MATCH($B$4,Catch!$E$1:$BV$1,0)),0)</f>
        <v/>
      </c>
      <c r="D15">
        <f>IFERROR(IF(ISNUMBER(INDEX(SPPR!$E:$X,MATCH($A15,SPPR!$A:$A,0),1)),$C15*INDEX(SPPR!$E:$X,MATCH($A15,SPPR!$A:$A,0),1),""),"")</f>
        <v/>
      </c>
      <c r="E15">
        <f>IFERROR(IF(ISNUMBER(INDEX(SPPR!$E:$X,MATCH($A15,SPPR!$A:$A,0),2)),$C15*INDEX(SPPR!$E:$X,MATCH($A15,SPPR!$A:$A,0),2),""),"")</f>
        <v/>
      </c>
      <c r="F15">
        <f>IFERROR(IF(ISNUMBER(INDEX(SPPR!$E:$X,MATCH($A15,SPPR!$A:$A,0),3)),$C15*INDEX(SPPR!$E:$X,MATCH($A15,SPPR!$A:$A,0),3),""),"")</f>
        <v/>
      </c>
      <c r="G15">
        <f>IFERROR(IF(ISNUMBER(INDEX(SPPR!$E:$X,MATCH($A15,SPPR!$A:$A,0),4)),$C15*INDEX(SPPR!$E:$X,MATCH($A15,SPPR!$A:$A,0),4),""),"")</f>
        <v/>
      </c>
      <c r="H15">
        <f>IFERROR(IF(ISNUMBER(INDEX(SPPR!$E:$X,MATCH($A15,SPPR!$A:$A,0),5)),$C15*INDEX(SPPR!$E:$X,MATCH($A15,SPPR!$A:$A,0),5),""),"")</f>
        <v/>
      </c>
      <c r="I15">
        <f>IFERROR(IF(ISNUMBER(INDEX(SPPR!$E:$X,MATCH($A15,SPPR!$A:$A,0),6)),$C15*INDEX(SPPR!$E:$X,MATCH($A15,SPPR!$A:$A,0),6),""),"")</f>
        <v/>
      </c>
      <c r="J15">
        <f>IFERROR(IF(ISNUMBER(INDEX(SPPR!$E:$X,MATCH($A15,SPPR!$A:$A,0),7)),$C15*INDEX(SPPR!$E:$X,MATCH($A15,SPPR!$A:$A,0),7),""),"")</f>
        <v/>
      </c>
      <c r="K15">
        <f>IFERROR(IF(ISNUMBER(INDEX(SPPR!$E:$X,MATCH($A15,SPPR!$A:$A,0),8)),$C15*INDEX(SPPR!$E:$X,MATCH($A15,SPPR!$A:$A,0),8),""),"")</f>
        <v/>
      </c>
      <c r="L15">
        <f>IFERROR(IF(ISNUMBER(INDEX(SPPR!$E:$X,MATCH($A15,SPPR!$A:$A,0),9)),$C15*INDEX(SPPR!$E:$X,MATCH($A15,SPPR!$A:$A,0),9),""),"")</f>
        <v/>
      </c>
      <c r="M15">
        <f>IFERROR(IF(ISNUMBER(INDEX(SPPR!$E:$X,MATCH($A15,SPPR!$A:$A,0),10)),$C15*INDEX(SPPR!$E:$X,MATCH($A15,SPPR!$A:$A,0),10),""),"")</f>
        <v/>
      </c>
      <c r="N15">
        <f>IFERROR(IF(ISNUMBER(INDEX(SPPR!$E:$X,MATCH($A15,SPPR!$A:$A,0),11)),$C15*INDEX(SPPR!$E:$X,MATCH($A15,SPPR!$A:$A,0),11),""),"")</f>
        <v/>
      </c>
      <c r="O15">
        <f>IFERROR(IF(ISNUMBER(INDEX(SPPR!$E:$X,MATCH($A15,SPPR!$A:$A,0),12)),$C15*INDEX(SPPR!$E:$X,MATCH($A15,SPPR!$A:$A,0),12),""),"")</f>
        <v/>
      </c>
      <c r="P15">
        <f>IFERROR(IF(ISNUMBER(INDEX(SPPR!$E:$X,MATCH($A15,SPPR!$A:$A,0),13)),$C15*INDEX(SPPR!$E:$X,MATCH($A15,SPPR!$A:$A,0),13),""),"")</f>
        <v/>
      </c>
      <c r="Q15">
        <f>IFERROR(IF(ISNUMBER(INDEX(SPPR!$E:$X,MATCH($A15,SPPR!$A:$A,0),14)),$C15*INDEX(SPPR!$E:$X,MATCH($A15,SPPR!$A:$A,0),14),""),"")</f>
        <v/>
      </c>
      <c r="R15">
        <f>IFERROR(IF(ISNUMBER(INDEX(SPPR!$E:$X,MATCH($A15,SPPR!$A:$A,0),15)),$C15*INDEX(SPPR!$E:$X,MATCH($A15,SPPR!$A:$A,0),15),""),"")</f>
        <v/>
      </c>
      <c r="S15">
        <f>IFERROR(IF(ISNUMBER(INDEX(SPPR!$E:$X,MATCH($A15,SPPR!$A:$A,0),16)),$C15*INDEX(SPPR!$E:$X,MATCH($A15,SPPR!$A:$A,0),16),""),"")</f>
        <v/>
      </c>
      <c r="T15">
        <f>IFERROR(IF(ISNUMBER(INDEX(SPPR!$E:$X,MATCH($A15,SPPR!$A:$A,0),17)),$C15*INDEX(SPPR!$E:$X,MATCH($A15,SPPR!$A:$A,0),17),""),"")</f>
        <v/>
      </c>
      <c r="U15">
        <f>IFERROR(IF(ISNUMBER(INDEX(SPPR!$E:$X,MATCH($A15,SPPR!$A:$A,0),18)),$C15*INDEX(SPPR!$E:$X,MATCH($A15,SPPR!$A:$A,0),18),""),"")</f>
        <v/>
      </c>
      <c r="V15">
        <f>IFERROR(IF(ISNUMBER(INDEX(SPPR!$E:$X,MATCH($A15,SPPR!$A:$A,0),19)),$C15*INDEX(SPPR!$E:$X,MATCH($A15,SPPR!$A:$A,0),19),""),"")</f>
        <v/>
      </c>
      <c r="W15">
        <f>IFERROR(IF(ISNUMBER(INDEX(SPPR!$E:$X,MATCH($A15,SPPR!$A:$A,0),20)),$C15*INDEX(SPPR!$E:$X,MATCH($A15,SPPR!$A:$A,0),20),""),"")</f>
        <v/>
      </c>
    </row>
    <row r="16">
      <c r="A16" t="inlineStr">
        <is>
          <t>Pollachius virens</t>
        </is>
      </c>
      <c r="B16">
        <f>IFERROR(INDEX(SPPR!$D:$D,MATCH($A16,SPPR!$A:$A,0)),"")</f>
        <v/>
      </c>
      <c r="C16">
        <f>IFERROR(INDEX(Catch!$E:$BV,MATCH($A16,Catch!$A:$A,0),MATCH($B$4,Catch!$E$1:$BV$1,0)),0)</f>
        <v/>
      </c>
      <c r="D16">
        <f>IFERROR(IF(ISNUMBER(INDEX(SPPR!$E:$X,MATCH($A16,SPPR!$A:$A,0),1)),$C16*INDEX(SPPR!$E:$X,MATCH($A16,SPPR!$A:$A,0),1),""),"")</f>
        <v/>
      </c>
      <c r="E16">
        <f>IFERROR(IF(ISNUMBER(INDEX(SPPR!$E:$X,MATCH($A16,SPPR!$A:$A,0),2)),$C16*INDEX(SPPR!$E:$X,MATCH($A16,SPPR!$A:$A,0),2),""),"")</f>
        <v/>
      </c>
      <c r="F16">
        <f>IFERROR(IF(ISNUMBER(INDEX(SPPR!$E:$X,MATCH($A16,SPPR!$A:$A,0),3)),$C16*INDEX(SPPR!$E:$X,MATCH($A16,SPPR!$A:$A,0),3),""),"")</f>
        <v/>
      </c>
      <c r="G16">
        <f>IFERROR(IF(ISNUMBER(INDEX(SPPR!$E:$X,MATCH($A16,SPPR!$A:$A,0),4)),$C16*INDEX(SPPR!$E:$X,MATCH($A16,SPPR!$A:$A,0),4),""),"")</f>
        <v/>
      </c>
      <c r="H16">
        <f>IFERROR(IF(ISNUMBER(INDEX(SPPR!$E:$X,MATCH($A16,SPPR!$A:$A,0),5)),$C16*INDEX(SPPR!$E:$X,MATCH($A16,SPPR!$A:$A,0),5),""),"")</f>
        <v/>
      </c>
      <c r="I16">
        <f>IFERROR(IF(ISNUMBER(INDEX(SPPR!$E:$X,MATCH($A16,SPPR!$A:$A,0),6)),$C16*INDEX(SPPR!$E:$X,MATCH($A16,SPPR!$A:$A,0),6),""),"")</f>
        <v/>
      </c>
      <c r="J16">
        <f>IFERROR(IF(ISNUMBER(INDEX(SPPR!$E:$X,MATCH($A16,SPPR!$A:$A,0),7)),$C16*INDEX(SPPR!$E:$X,MATCH($A16,SPPR!$A:$A,0),7),""),"")</f>
        <v/>
      </c>
      <c r="K16">
        <f>IFERROR(IF(ISNUMBER(INDEX(SPPR!$E:$X,MATCH($A16,SPPR!$A:$A,0),8)),$C16*INDEX(SPPR!$E:$X,MATCH($A16,SPPR!$A:$A,0),8),""),"")</f>
        <v/>
      </c>
      <c r="L16">
        <f>IFERROR(IF(ISNUMBER(INDEX(SPPR!$E:$X,MATCH($A16,SPPR!$A:$A,0),9)),$C16*INDEX(SPPR!$E:$X,MATCH($A16,SPPR!$A:$A,0),9),""),"")</f>
        <v/>
      </c>
      <c r="M16">
        <f>IFERROR(IF(ISNUMBER(INDEX(SPPR!$E:$X,MATCH($A16,SPPR!$A:$A,0),10)),$C16*INDEX(SPPR!$E:$X,MATCH($A16,SPPR!$A:$A,0),10),""),"")</f>
        <v/>
      </c>
      <c r="N16">
        <f>IFERROR(IF(ISNUMBER(INDEX(SPPR!$E:$X,MATCH($A16,SPPR!$A:$A,0),11)),$C16*INDEX(SPPR!$E:$X,MATCH($A16,SPPR!$A:$A,0),11),""),"")</f>
        <v/>
      </c>
      <c r="O16">
        <f>IFERROR(IF(ISNUMBER(INDEX(SPPR!$E:$X,MATCH($A16,SPPR!$A:$A,0),12)),$C16*INDEX(SPPR!$E:$X,MATCH($A16,SPPR!$A:$A,0),12),""),"")</f>
        <v/>
      </c>
      <c r="P16">
        <f>IFERROR(IF(ISNUMBER(INDEX(SPPR!$E:$X,MATCH($A16,SPPR!$A:$A,0),13)),$C16*INDEX(SPPR!$E:$X,MATCH($A16,SPPR!$A:$A,0),13),""),"")</f>
        <v/>
      </c>
      <c r="Q16">
        <f>IFERROR(IF(ISNUMBER(INDEX(SPPR!$E:$X,MATCH($A16,SPPR!$A:$A,0),14)),$C16*INDEX(SPPR!$E:$X,MATCH($A16,SPPR!$A:$A,0),14),""),"")</f>
        <v/>
      </c>
      <c r="R16">
        <f>IFERROR(IF(ISNUMBER(INDEX(SPPR!$E:$X,MATCH($A16,SPPR!$A:$A,0),15)),$C16*INDEX(SPPR!$E:$X,MATCH($A16,SPPR!$A:$A,0),15),""),"")</f>
        <v/>
      </c>
      <c r="S16">
        <f>IFERROR(IF(ISNUMBER(INDEX(SPPR!$E:$X,MATCH($A16,SPPR!$A:$A,0),16)),$C16*INDEX(SPPR!$E:$X,MATCH($A16,SPPR!$A:$A,0),16),""),"")</f>
        <v/>
      </c>
      <c r="T16">
        <f>IFERROR(IF(ISNUMBER(INDEX(SPPR!$E:$X,MATCH($A16,SPPR!$A:$A,0),17)),$C16*INDEX(SPPR!$E:$X,MATCH($A16,SPPR!$A:$A,0),17),""),"")</f>
        <v/>
      </c>
      <c r="U16">
        <f>IFERROR(IF(ISNUMBER(INDEX(SPPR!$E:$X,MATCH($A16,SPPR!$A:$A,0),18)),$C16*INDEX(SPPR!$E:$X,MATCH($A16,SPPR!$A:$A,0),18),""),"")</f>
        <v/>
      </c>
      <c r="V16">
        <f>IFERROR(IF(ISNUMBER(INDEX(SPPR!$E:$X,MATCH($A16,SPPR!$A:$A,0),19)),$C16*INDEX(SPPR!$E:$X,MATCH($A16,SPPR!$A:$A,0),19),""),"")</f>
        <v/>
      </c>
      <c r="W16">
        <f>IFERROR(IF(ISNUMBER(INDEX(SPPR!$E:$X,MATCH($A16,SPPR!$A:$A,0),20)),$C16*INDEX(SPPR!$E:$X,MATCH($A16,SPPR!$A:$A,0),20),""),"")</f>
        <v/>
      </c>
    </row>
    <row r="17">
      <c r="A17" t="inlineStr">
        <is>
          <t>Merlangius merlangus</t>
        </is>
      </c>
      <c r="B17">
        <f>IFERROR(INDEX(SPPR!$D:$D,MATCH($A17,SPPR!$A:$A,0)),"")</f>
        <v/>
      </c>
      <c r="C17">
        <f>IFERROR(INDEX(Catch!$E:$BV,MATCH($A17,Catch!$A:$A,0),MATCH($B$4,Catch!$E$1:$BV$1,0)),0)</f>
        <v/>
      </c>
      <c r="D17">
        <f>IFERROR(IF(ISNUMBER(INDEX(SPPR!$E:$X,MATCH($A17,SPPR!$A:$A,0),1)),$C17*INDEX(SPPR!$E:$X,MATCH($A17,SPPR!$A:$A,0),1),""),"")</f>
        <v/>
      </c>
      <c r="E17">
        <f>IFERROR(IF(ISNUMBER(INDEX(SPPR!$E:$X,MATCH($A17,SPPR!$A:$A,0),2)),$C17*INDEX(SPPR!$E:$X,MATCH($A17,SPPR!$A:$A,0),2),""),"")</f>
        <v/>
      </c>
      <c r="F17">
        <f>IFERROR(IF(ISNUMBER(INDEX(SPPR!$E:$X,MATCH($A17,SPPR!$A:$A,0),3)),$C17*INDEX(SPPR!$E:$X,MATCH($A17,SPPR!$A:$A,0),3),""),"")</f>
        <v/>
      </c>
      <c r="G17">
        <f>IFERROR(IF(ISNUMBER(INDEX(SPPR!$E:$X,MATCH($A17,SPPR!$A:$A,0),4)),$C17*INDEX(SPPR!$E:$X,MATCH($A17,SPPR!$A:$A,0),4),""),"")</f>
        <v/>
      </c>
      <c r="H17">
        <f>IFERROR(IF(ISNUMBER(INDEX(SPPR!$E:$X,MATCH($A17,SPPR!$A:$A,0),5)),$C17*INDEX(SPPR!$E:$X,MATCH($A17,SPPR!$A:$A,0),5),""),"")</f>
        <v/>
      </c>
      <c r="I17">
        <f>IFERROR(IF(ISNUMBER(INDEX(SPPR!$E:$X,MATCH($A17,SPPR!$A:$A,0),6)),$C17*INDEX(SPPR!$E:$X,MATCH($A17,SPPR!$A:$A,0),6),""),"")</f>
        <v/>
      </c>
      <c r="J17">
        <f>IFERROR(IF(ISNUMBER(INDEX(SPPR!$E:$X,MATCH($A17,SPPR!$A:$A,0),7)),$C17*INDEX(SPPR!$E:$X,MATCH($A17,SPPR!$A:$A,0),7),""),"")</f>
        <v/>
      </c>
      <c r="K17">
        <f>IFERROR(IF(ISNUMBER(INDEX(SPPR!$E:$X,MATCH($A17,SPPR!$A:$A,0),8)),$C17*INDEX(SPPR!$E:$X,MATCH($A17,SPPR!$A:$A,0),8),""),"")</f>
        <v/>
      </c>
      <c r="L17">
        <f>IFERROR(IF(ISNUMBER(INDEX(SPPR!$E:$X,MATCH($A17,SPPR!$A:$A,0),9)),$C17*INDEX(SPPR!$E:$X,MATCH($A17,SPPR!$A:$A,0),9),""),"")</f>
        <v/>
      </c>
      <c r="M17">
        <f>IFERROR(IF(ISNUMBER(INDEX(SPPR!$E:$X,MATCH($A17,SPPR!$A:$A,0),10)),$C17*INDEX(SPPR!$E:$X,MATCH($A17,SPPR!$A:$A,0),10),""),"")</f>
        <v/>
      </c>
      <c r="N17">
        <f>IFERROR(IF(ISNUMBER(INDEX(SPPR!$E:$X,MATCH($A17,SPPR!$A:$A,0),11)),$C17*INDEX(SPPR!$E:$X,MATCH($A17,SPPR!$A:$A,0),11),""),"")</f>
        <v/>
      </c>
      <c r="O17">
        <f>IFERROR(IF(ISNUMBER(INDEX(SPPR!$E:$X,MATCH($A17,SPPR!$A:$A,0),12)),$C17*INDEX(SPPR!$E:$X,MATCH($A17,SPPR!$A:$A,0),12),""),"")</f>
        <v/>
      </c>
      <c r="P17">
        <f>IFERROR(IF(ISNUMBER(INDEX(SPPR!$E:$X,MATCH($A17,SPPR!$A:$A,0),13)),$C17*INDEX(SPPR!$E:$X,MATCH($A17,SPPR!$A:$A,0),13),""),"")</f>
        <v/>
      </c>
      <c r="Q17">
        <f>IFERROR(IF(ISNUMBER(INDEX(SPPR!$E:$X,MATCH($A17,SPPR!$A:$A,0),14)),$C17*INDEX(SPPR!$E:$X,MATCH($A17,SPPR!$A:$A,0),14),""),"")</f>
        <v/>
      </c>
      <c r="R17">
        <f>IFERROR(IF(ISNUMBER(INDEX(SPPR!$E:$X,MATCH($A17,SPPR!$A:$A,0),15)),$C17*INDEX(SPPR!$E:$X,MATCH($A17,SPPR!$A:$A,0),15),""),"")</f>
        <v/>
      </c>
      <c r="S17">
        <f>IFERROR(IF(ISNUMBER(INDEX(SPPR!$E:$X,MATCH($A17,SPPR!$A:$A,0),16)),$C17*INDEX(SPPR!$E:$X,MATCH($A17,SPPR!$A:$A,0),16),""),"")</f>
        <v/>
      </c>
      <c r="T17">
        <f>IFERROR(IF(ISNUMBER(INDEX(SPPR!$E:$X,MATCH($A17,SPPR!$A:$A,0),17)),$C17*INDEX(SPPR!$E:$X,MATCH($A17,SPPR!$A:$A,0),17),""),"")</f>
        <v/>
      </c>
      <c r="U17">
        <f>IFERROR(IF(ISNUMBER(INDEX(SPPR!$E:$X,MATCH($A17,SPPR!$A:$A,0),18)),$C17*INDEX(SPPR!$E:$X,MATCH($A17,SPPR!$A:$A,0),18),""),"")</f>
        <v/>
      </c>
      <c r="V17">
        <f>IFERROR(IF(ISNUMBER(INDEX(SPPR!$E:$X,MATCH($A17,SPPR!$A:$A,0),19)),$C17*INDEX(SPPR!$E:$X,MATCH($A17,SPPR!$A:$A,0),19),""),"")</f>
        <v/>
      </c>
      <c r="W17">
        <f>IFERROR(IF(ISNUMBER(INDEX(SPPR!$E:$X,MATCH($A17,SPPR!$A:$A,0),20)),$C17*INDEX(SPPR!$E:$X,MATCH($A17,SPPR!$A:$A,0),20),""),"")</f>
        <v/>
      </c>
    </row>
    <row r="18">
      <c r="A18" t="inlineStr">
        <is>
          <t>Micromesistius poutassou</t>
        </is>
      </c>
      <c r="B18">
        <f>IFERROR(INDEX(SPPR!$D:$D,MATCH($A18,SPPR!$A:$A,0)),"")</f>
        <v/>
      </c>
      <c r="C18">
        <f>IFERROR(INDEX(Catch!$E:$BV,MATCH($A18,Catch!$A:$A,0),MATCH($B$4,Catch!$E$1:$BV$1,0)),0)</f>
        <v/>
      </c>
      <c r="D18">
        <f>IFERROR(IF(ISNUMBER(INDEX(SPPR!$E:$X,MATCH($A18,SPPR!$A:$A,0),1)),$C18*INDEX(SPPR!$E:$X,MATCH($A18,SPPR!$A:$A,0),1),""),"")</f>
        <v/>
      </c>
      <c r="E18">
        <f>IFERROR(IF(ISNUMBER(INDEX(SPPR!$E:$X,MATCH($A18,SPPR!$A:$A,0),2)),$C18*INDEX(SPPR!$E:$X,MATCH($A18,SPPR!$A:$A,0),2),""),"")</f>
        <v/>
      </c>
      <c r="F18">
        <f>IFERROR(IF(ISNUMBER(INDEX(SPPR!$E:$X,MATCH($A18,SPPR!$A:$A,0),3)),$C18*INDEX(SPPR!$E:$X,MATCH($A18,SPPR!$A:$A,0),3),""),"")</f>
        <v/>
      </c>
      <c r="G18">
        <f>IFERROR(IF(ISNUMBER(INDEX(SPPR!$E:$X,MATCH($A18,SPPR!$A:$A,0),4)),$C18*INDEX(SPPR!$E:$X,MATCH($A18,SPPR!$A:$A,0),4),""),"")</f>
        <v/>
      </c>
      <c r="H18">
        <f>IFERROR(IF(ISNUMBER(INDEX(SPPR!$E:$X,MATCH($A18,SPPR!$A:$A,0),5)),$C18*INDEX(SPPR!$E:$X,MATCH($A18,SPPR!$A:$A,0),5),""),"")</f>
        <v/>
      </c>
      <c r="I18">
        <f>IFERROR(IF(ISNUMBER(INDEX(SPPR!$E:$X,MATCH($A18,SPPR!$A:$A,0),6)),$C18*INDEX(SPPR!$E:$X,MATCH($A18,SPPR!$A:$A,0),6),""),"")</f>
        <v/>
      </c>
      <c r="J18">
        <f>IFERROR(IF(ISNUMBER(INDEX(SPPR!$E:$X,MATCH($A18,SPPR!$A:$A,0),7)),$C18*INDEX(SPPR!$E:$X,MATCH($A18,SPPR!$A:$A,0),7),""),"")</f>
        <v/>
      </c>
      <c r="K18">
        <f>IFERROR(IF(ISNUMBER(INDEX(SPPR!$E:$X,MATCH($A18,SPPR!$A:$A,0),8)),$C18*INDEX(SPPR!$E:$X,MATCH($A18,SPPR!$A:$A,0),8),""),"")</f>
        <v/>
      </c>
      <c r="L18">
        <f>IFERROR(IF(ISNUMBER(INDEX(SPPR!$E:$X,MATCH($A18,SPPR!$A:$A,0),9)),$C18*INDEX(SPPR!$E:$X,MATCH($A18,SPPR!$A:$A,0),9),""),"")</f>
        <v/>
      </c>
      <c r="M18">
        <f>IFERROR(IF(ISNUMBER(INDEX(SPPR!$E:$X,MATCH($A18,SPPR!$A:$A,0),10)),$C18*INDEX(SPPR!$E:$X,MATCH($A18,SPPR!$A:$A,0),10),""),"")</f>
        <v/>
      </c>
      <c r="N18">
        <f>IFERROR(IF(ISNUMBER(INDEX(SPPR!$E:$X,MATCH($A18,SPPR!$A:$A,0),11)),$C18*INDEX(SPPR!$E:$X,MATCH($A18,SPPR!$A:$A,0),11),""),"")</f>
        <v/>
      </c>
      <c r="O18">
        <f>IFERROR(IF(ISNUMBER(INDEX(SPPR!$E:$X,MATCH($A18,SPPR!$A:$A,0),12)),$C18*INDEX(SPPR!$E:$X,MATCH($A18,SPPR!$A:$A,0),12),""),"")</f>
        <v/>
      </c>
      <c r="P18">
        <f>IFERROR(IF(ISNUMBER(INDEX(SPPR!$E:$X,MATCH($A18,SPPR!$A:$A,0),13)),$C18*INDEX(SPPR!$E:$X,MATCH($A18,SPPR!$A:$A,0),13),""),"")</f>
        <v/>
      </c>
      <c r="Q18">
        <f>IFERROR(IF(ISNUMBER(INDEX(SPPR!$E:$X,MATCH($A18,SPPR!$A:$A,0),14)),$C18*INDEX(SPPR!$E:$X,MATCH($A18,SPPR!$A:$A,0),14),""),"")</f>
        <v/>
      </c>
      <c r="R18">
        <f>IFERROR(IF(ISNUMBER(INDEX(SPPR!$E:$X,MATCH($A18,SPPR!$A:$A,0),15)),$C18*INDEX(SPPR!$E:$X,MATCH($A18,SPPR!$A:$A,0),15),""),"")</f>
        <v/>
      </c>
      <c r="S18">
        <f>IFERROR(IF(ISNUMBER(INDEX(SPPR!$E:$X,MATCH($A18,SPPR!$A:$A,0),16)),$C18*INDEX(SPPR!$E:$X,MATCH($A18,SPPR!$A:$A,0),16),""),"")</f>
        <v/>
      </c>
      <c r="T18">
        <f>IFERROR(IF(ISNUMBER(INDEX(SPPR!$E:$X,MATCH($A18,SPPR!$A:$A,0),17)),$C18*INDEX(SPPR!$E:$X,MATCH($A18,SPPR!$A:$A,0),17),""),"")</f>
        <v/>
      </c>
      <c r="U18">
        <f>IFERROR(IF(ISNUMBER(INDEX(SPPR!$E:$X,MATCH($A18,SPPR!$A:$A,0),18)),$C18*INDEX(SPPR!$E:$X,MATCH($A18,SPPR!$A:$A,0),18),""),"")</f>
        <v/>
      </c>
      <c r="V18">
        <f>IFERROR(IF(ISNUMBER(INDEX(SPPR!$E:$X,MATCH($A18,SPPR!$A:$A,0),19)),$C18*INDEX(SPPR!$E:$X,MATCH($A18,SPPR!$A:$A,0),19),""),"")</f>
        <v/>
      </c>
      <c r="W18">
        <f>IFERROR(IF(ISNUMBER(INDEX(SPPR!$E:$X,MATCH($A18,SPPR!$A:$A,0),20)),$C18*INDEX(SPPR!$E:$X,MATCH($A18,SPPR!$A:$A,0),20),""),"")</f>
        <v/>
      </c>
    </row>
    <row r="19">
      <c r="A19" t="inlineStr">
        <is>
          <t>Crangon crangon</t>
        </is>
      </c>
      <c r="B19">
        <f>IFERROR(INDEX(SPPR!$D:$D,MATCH($A19,SPPR!$A:$A,0)),"")</f>
        <v/>
      </c>
      <c r="C19">
        <f>IFERROR(INDEX(Catch!$E:$BV,MATCH($A19,Catch!$A:$A,0),MATCH($B$4,Catch!$E$1:$BV$1,0)),0)</f>
        <v/>
      </c>
      <c r="D19">
        <f>IFERROR(IF(ISNUMBER(INDEX(SPPR!$E:$X,MATCH($A19,SPPR!$A:$A,0),1)),$C19*INDEX(SPPR!$E:$X,MATCH($A19,SPPR!$A:$A,0),1),""),"")</f>
        <v/>
      </c>
      <c r="E19">
        <f>IFERROR(IF(ISNUMBER(INDEX(SPPR!$E:$X,MATCH($A19,SPPR!$A:$A,0),2)),$C19*INDEX(SPPR!$E:$X,MATCH($A19,SPPR!$A:$A,0),2),""),"")</f>
        <v/>
      </c>
      <c r="F19">
        <f>IFERROR(IF(ISNUMBER(INDEX(SPPR!$E:$X,MATCH($A19,SPPR!$A:$A,0),3)),$C19*INDEX(SPPR!$E:$X,MATCH($A19,SPPR!$A:$A,0),3),""),"")</f>
        <v/>
      </c>
      <c r="G19">
        <f>IFERROR(IF(ISNUMBER(INDEX(SPPR!$E:$X,MATCH($A19,SPPR!$A:$A,0),4)),$C19*INDEX(SPPR!$E:$X,MATCH($A19,SPPR!$A:$A,0),4),""),"")</f>
        <v/>
      </c>
      <c r="H19">
        <f>IFERROR(IF(ISNUMBER(INDEX(SPPR!$E:$X,MATCH($A19,SPPR!$A:$A,0),5)),$C19*INDEX(SPPR!$E:$X,MATCH($A19,SPPR!$A:$A,0),5),""),"")</f>
        <v/>
      </c>
      <c r="I19">
        <f>IFERROR(IF(ISNUMBER(INDEX(SPPR!$E:$X,MATCH($A19,SPPR!$A:$A,0),6)),$C19*INDEX(SPPR!$E:$X,MATCH($A19,SPPR!$A:$A,0),6),""),"")</f>
        <v/>
      </c>
      <c r="J19">
        <f>IFERROR(IF(ISNUMBER(INDEX(SPPR!$E:$X,MATCH($A19,SPPR!$A:$A,0),7)),$C19*INDEX(SPPR!$E:$X,MATCH($A19,SPPR!$A:$A,0),7),""),"")</f>
        <v/>
      </c>
      <c r="K19">
        <f>IFERROR(IF(ISNUMBER(INDEX(SPPR!$E:$X,MATCH($A19,SPPR!$A:$A,0),8)),$C19*INDEX(SPPR!$E:$X,MATCH($A19,SPPR!$A:$A,0),8),""),"")</f>
        <v/>
      </c>
      <c r="L19">
        <f>IFERROR(IF(ISNUMBER(INDEX(SPPR!$E:$X,MATCH($A19,SPPR!$A:$A,0),9)),$C19*INDEX(SPPR!$E:$X,MATCH($A19,SPPR!$A:$A,0),9),""),"")</f>
        <v/>
      </c>
      <c r="M19">
        <f>IFERROR(IF(ISNUMBER(INDEX(SPPR!$E:$X,MATCH($A19,SPPR!$A:$A,0),10)),$C19*INDEX(SPPR!$E:$X,MATCH($A19,SPPR!$A:$A,0),10),""),"")</f>
        <v/>
      </c>
      <c r="N19">
        <f>IFERROR(IF(ISNUMBER(INDEX(SPPR!$E:$X,MATCH($A19,SPPR!$A:$A,0),11)),$C19*INDEX(SPPR!$E:$X,MATCH($A19,SPPR!$A:$A,0),11),""),"")</f>
        <v/>
      </c>
      <c r="O19">
        <f>IFERROR(IF(ISNUMBER(INDEX(SPPR!$E:$X,MATCH($A19,SPPR!$A:$A,0),12)),$C19*INDEX(SPPR!$E:$X,MATCH($A19,SPPR!$A:$A,0),12),""),"")</f>
        <v/>
      </c>
      <c r="P19">
        <f>IFERROR(IF(ISNUMBER(INDEX(SPPR!$E:$X,MATCH($A19,SPPR!$A:$A,0),13)),$C19*INDEX(SPPR!$E:$X,MATCH($A19,SPPR!$A:$A,0),13),""),"")</f>
        <v/>
      </c>
      <c r="Q19">
        <f>IFERROR(IF(ISNUMBER(INDEX(SPPR!$E:$X,MATCH($A19,SPPR!$A:$A,0),14)),$C19*INDEX(SPPR!$E:$X,MATCH($A19,SPPR!$A:$A,0),14),""),"")</f>
        <v/>
      </c>
      <c r="R19">
        <f>IFERROR(IF(ISNUMBER(INDEX(SPPR!$E:$X,MATCH($A19,SPPR!$A:$A,0),15)),$C19*INDEX(SPPR!$E:$X,MATCH($A19,SPPR!$A:$A,0),15),""),"")</f>
        <v/>
      </c>
      <c r="S19">
        <f>IFERROR(IF(ISNUMBER(INDEX(SPPR!$E:$X,MATCH($A19,SPPR!$A:$A,0),16)),$C19*INDEX(SPPR!$E:$X,MATCH($A19,SPPR!$A:$A,0),16),""),"")</f>
        <v/>
      </c>
      <c r="T19">
        <f>IFERROR(IF(ISNUMBER(INDEX(SPPR!$E:$X,MATCH($A19,SPPR!$A:$A,0),17)),$C19*INDEX(SPPR!$E:$X,MATCH($A19,SPPR!$A:$A,0),17),""),"")</f>
        <v/>
      </c>
      <c r="U19">
        <f>IFERROR(IF(ISNUMBER(INDEX(SPPR!$E:$X,MATCH($A19,SPPR!$A:$A,0),18)),$C19*INDEX(SPPR!$E:$X,MATCH($A19,SPPR!$A:$A,0),18),""),"")</f>
        <v/>
      </c>
      <c r="V19">
        <f>IFERROR(IF(ISNUMBER(INDEX(SPPR!$E:$X,MATCH($A19,SPPR!$A:$A,0),19)),$C19*INDEX(SPPR!$E:$X,MATCH($A19,SPPR!$A:$A,0),19),""),"")</f>
        <v/>
      </c>
      <c r="W19">
        <f>IFERROR(IF(ISNUMBER(INDEX(SPPR!$E:$X,MATCH($A19,SPPR!$A:$A,0),20)),$C19*INDEX(SPPR!$E:$X,MATCH($A19,SPPR!$A:$A,0),20),""),"")</f>
        <v/>
      </c>
    </row>
    <row r="20">
      <c r="A20" t="inlineStr">
        <is>
          <t>Limanda limanda</t>
        </is>
      </c>
      <c r="B20">
        <f>IFERROR(INDEX(SPPR!$D:$D,MATCH($A20,SPPR!$A:$A,0)),"")</f>
        <v/>
      </c>
      <c r="C20">
        <f>IFERROR(INDEX(Catch!$E:$BV,MATCH($A20,Catch!$A:$A,0),MATCH($B$4,Catch!$E$1:$BV$1,0)),0)</f>
        <v/>
      </c>
      <c r="D20">
        <f>IFERROR(IF(ISNUMBER(INDEX(SPPR!$E:$X,MATCH($A20,SPPR!$A:$A,0),1)),$C20*INDEX(SPPR!$E:$X,MATCH($A20,SPPR!$A:$A,0),1),""),"")</f>
        <v/>
      </c>
      <c r="E20">
        <f>IFERROR(IF(ISNUMBER(INDEX(SPPR!$E:$X,MATCH($A20,SPPR!$A:$A,0),2)),$C20*INDEX(SPPR!$E:$X,MATCH($A20,SPPR!$A:$A,0),2),""),"")</f>
        <v/>
      </c>
      <c r="F20">
        <f>IFERROR(IF(ISNUMBER(INDEX(SPPR!$E:$X,MATCH($A20,SPPR!$A:$A,0),3)),$C20*INDEX(SPPR!$E:$X,MATCH($A20,SPPR!$A:$A,0),3),""),"")</f>
        <v/>
      </c>
      <c r="G20">
        <f>IFERROR(IF(ISNUMBER(INDEX(SPPR!$E:$X,MATCH($A20,SPPR!$A:$A,0),4)),$C20*INDEX(SPPR!$E:$X,MATCH($A20,SPPR!$A:$A,0),4),""),"")</f>
        <v/>
      </c>
      <c r="H20">
        <f>IFERROR(IF(ISNUMBER(INDEX(SPPR!$E:$X,MATCH($A20,SPPR!$A:$A,0),5)),$C20*INDEX(SPPR!$E:$X,MATCH($A20,SPPR!$A:$A,0),5),""),"")</f>
        <v/>
      </c>
      <c r="I20">
        <f>IFERROR(IF(ISNUMBER(INDEX(SPPR!$E:$X,MATCH($A20,SPPR!$A:$A,0),6)),$C20*INDEX(SPPR!$E:$X,MATCH($A20,SPPR!$A:$A,0),6),""),"")</f>
        <v/>
      </c>
      <c r="J20">
        <f>IFERROR(IF(ISNUMBER(INDEX(SPPR!$E:$X,MATCH($A20,SPPR!$A:$A,0),7)),$C20*INDEX(SPPR!$E:$X,MATCH($A20,SPPR!$A:$A,0),7),""),"")</f>
        <v/>
      </c>
      <c r="K20">
        <f>IFERROR(IF(ISNUMBER(INDEX(SPPR!$E:$X,MATCH($A20,SPPR!$A:$A,0),8)),$C20*INDEX(SPPR!$E:$X,MATCH($A20,SPPR!$A:$A,0),8),""),"")</f>
        <v/>
      </c>
      <c r="L20">
        <f>IFERROR(IF(ISNUMBER(INDEX(SPPR!$E:$X,MATCH($A20,SPPR!$A:$A,0),9)),$C20*INDEX(SPPR!$E:$X,MATCH($A20,SPPR!$A:$A,0),9),""),"")</f>
        <v/>
      </c>
      <c r="M20">
        <f>IFERROR(IF(ISNUMBER(INDEX(SPPR!$E:$X,MATCH($A20,SPPR!$A:$A,0),10)),$C20*INDEX(SPPR!$E:$X,MATCH($A20,SPPR!$A:$A,0),10),""),"")</f>
        <v/>
      </c>
      <c r="N20">
        <f>IFERROR(IF(ISNUMBER(INDEX(SPPR!$E:$X,MATCH($A20,SPPR!$A:$A,0),11)),$C20*INDEX(SPPR!$E:$X,MATCH($A20,SPPR!$A:$A,0),11),""),"")</f>
        <v/>
      </c>
      <c r="O20">
        <f>IFERROR(IF(ISNUMBER(INDEX(SPPR!$E:$X,MATCH($A20,SPPR!$A:$A,0),12)),$C20*INDEX(SPPR!$E:$X,MATCH($A20,SPPR!$A:$A,0),12),""),"")</f>
        <v/>
      </c>
      <c r="P20">
        <f>IFERROR(IF(ISNUMBER(INDEX(SPPR!$E:$X,MATCH($A20,SPPR!$A:$A,0),13)),$C20*INDEX(SPPR!$E:$X,MATCH($A20,SPPR!$A:$A,0),13),""),"")</f>
        <v/>
      </c>
      <c r="Q20">
        <f>IFERROR(IF(ISNUMBER(INDEX(SPPR!$E:$X,MATCH($A20,SPPR!$A:$A,0),14)),$C20*INDEX(SPPR!$E:$X,MATCH($A20,SPPR!$A:$A,0),14),""),"")</f>
        <v/>
      </c>
      <c r="R20">
        <f>IFERROR(IF(ISNUMBER(INDEX(SPPR!$E:$X,MATCH($A20,SPPR!$A:$A,0),15)),$C20*INDEX(SPPR!$E:$X,MATCH($A20,SPPR!$A:$A,0),15),""),"")</f>
        <v/>
      </c>
      <c r="S20">
        <f>IFERROR(IF(ISNUMBER(INDEX(SPPR!$E:$X,MATCH($A20,SPPR!$A:$A,0),16)),$C20*INDEX(SPPR!$E:$X,MATCH($A20,SPPR!$A:$A,0),16),""),"")</f>
        <v/>
      </c>
      <c r="T20">
        <f>IFERROR(IF(ISNUMBER(INDEX(SPPR!$E:$X,MATCH($A20,SPPR!$A:$A,0),17)),$C20*INDEX(SPPR!$E:$X,MATCH($A20,SPPR!$A:$A,0),17),""),"")</f>
        <v/>
      </c>
      <c r="U20">
        <f>IFERROR(IF(ISNUMBER(INDEX(SPPR!$E:$X,MATCH($A20,SPPR!$A:$A,0),18)),$C20*INDEX(SPPR!$E:$X,MATCH($A20,SPPR!$A:$A,0),18),""),"")</f>
        <v/>
      </c>
      <c r="V20">
        <f>IFERROR(IF(ISNUMBER(INDEX(SPPR!$E:$X,MATCH($A20,SPPR!$A:$A,0),19)),$C20*INDEX(SPPR!$E:$X,MATCH($A20,SPPR!$A:$A,0),19),""),"")</f>
        <v/>
      </c>
      <c r="W20">
        <f>IFERROR(IF(ISNUMBER(INDEX(SPPR!$E:$X,MATCH($A20,SPPR!$A:$A,0),20)),$C20*INDEX(SPPR!$E:$X,MATCH($A20,SPPR!$A:$A,0),20),""),"")</f>
        <v/>
      </c>
    </row>
    <row r="21">
      <c r="A21" t="inlineStr">
        <is>
          <t>Mytilus edulis</t>
        </is>
      </c>
      <c r="B21">
        <f>IFERROR(INDEX(SPPR!$D:$D,MATCH($A21,SPPR!$A:$A,0)),"")</f>
        <v/>
      </c>
      <c r="C21">
        <f>IFERROR(INDEX(Catch!$E:$BV,MATCH($A21,Catch!$A:$A,0),MATCH($B$4,Catch!$E$1:$BV$1,0)),0)</f>
        <v/>
      </c>
      <c r="D21">
        <f>IFERROR(IF(ISNUMBER(INDEX(SPPR!$E:$X,MATCH($A21,SPPR!$A:$A,0),1)),$C21*INDEX(SPPR!$E:$X,MATCH($A21,SPPR!$A:$A,0),1),""),"")</f>
        <v/>
      </c>
      <c r="E21">
        <f>IFERROR(IF(ISNUMBER(INDEX(SPPR!$E:$X,MATCH($A21,SPPR!$A:$A,0),2)),$C21*INDEX(SPPR!$E:$X,MATCH($A21,SPPR!$A:$A,0),2),""),"")</f>
        <v/>
      </c>
      <c r="F21">
        <f>IFERROR(IF(ISNUMBER(INDEX(SPPR!$E:$X,MATCH($A21,SPPR!$A:$A,0),3)),$C21*INDEX(SPPR!$E:$X,MATCH($A21,SPPR!$A:$A,0),3),""),"")</f>
        <v/>
      </c>
      <c r="G21">
        <f>IFERROR(IF(ISNUMBER(INDEX(SPPR!$E:$X,MATCH($A21,SPPR!$A:$A,0),4)),$C21*INDEX(SPPR!$E:$X,MATCH($A21,SPPR!$A:$A,0),4),""),"")</f>
        <v/>
      </c>
      <c r="H21">
        <f>IFERROR(IF(ISNUMBER(INDEX(SPPR!$E:$X,MATCH($A21,SPPR!$A:$A,0),5)),$C21*INDEX(SPPR!$E:$X,MATCH($A21,SPPR!$A:$A,0),5),""),"")</f>
        <v/>
      </c>
      <c r="I21">
        <f>IFERROR(IF(ISNUMBER(INDEX(SPPR!$E:$X,MATCH($A21,SPPR!$A:$A,0),6)),$C21*INDEX(SPPR!$E:$X,MATCH($A21,SPPR!$A:$A,0),6),""),"")</f>
        <v/>
      </c>
      <c r="J21">
        <f>IFERROR(IF(ISNUMBER(INDEX(SPPR!$E:$X,MATCH($A21,SPPR!$A:$A,0),7)),$C21*INDEX(SPPR!$E:$X,MATCH($A21,SPPR!$A:$A,0),7),""),"")</f>
        <v/>
      </c>
      <c r="K21">
        <f>IFERROR(IF(ISNUMBER(INDEX(SPPR!$E:$X,MATCH($A21,SPPR!$A:$A,0),8)),$C21*INDEX(SPPR!$E:$X,MATCH($A21,SPPR!$A:$A,0),8),""),"")</f>
        <v/>
      </c>
      <c r="L21">
        <f>IFERROR(IF(ISNUMBER(INDEX(SPPR!$E:$X,MATCH($A21,SPPR!$A:$A,0),9)),$C21*INDEX(SPPR!$E:$X,MATCH($A21,SPPR!$A:$A,0),9),""),"")</f>
        <v/>
      </c>
      <c r="M21">
        <f>IFERROR(IF(ISNUMBER(INDEX(SPPR!$E:$X,MATCH($A21,SPPR!$A:$A,0),10)),$C21*INDEX(SPPR!$E:$X,MATCH($A21,SPPR!$A:$A,0),10),""),"")</f>
        <v/>
      </c>
      <c r="N21">
        <f>IFERROR(IF(ISNUMBER(INDEX(SPPR!$E:$X,MATCH($A21,SPPR!$A:$A,0),11)),$C21*INDEX(SPPR!$E:$X,MATCH($A21,SPPR!$A:$A,0),11),""),"")</f>
        <v/>
      </c>
      <c r="O21">
        <f>IFERROR(IF(ISNUMBER(INDEX(SPPR!$E:$X,MATCH($A21,SPPR!$A:$A,0),12)),$C21*INDEX(SPPR!$E:$X,MATCH($A21,SPPR!$A:$A,0),12),""),"")</f>
        <v/>
      </c>
      <c r="P21">
        <f>IFERROR(IF(ISNUMBER(INDEX(SPPR!$E:$X,MATCH($A21,SPPR!$A:$A,0),13)),$C21*INDEX(SPPR!$E:$X,MATCH($A21,SPPR!$A:$A,0),13),""),"")</f>
        <v/>
      </c>
      <c r="Q21">
        <f>IFERROR(IF(ISNUMBER(INDEX(SPPR!$E:$X,MATCH($A21,SPPR!$A:$A,0),14)),$C21*INDEX(SPPR!$E:$X,MATCH($A21,SPPR!$A:$A,0),14),""),"")</f>
        <v/>
      </c>
      <c r="R21">
        <f>IFERROR(IF(ISNUMBER(INDEX(SPPR!$E:$X,MATCH($A21,SPPR!$A:$A,0),15)),$C21*INDEX(SPPR!$E:$X,MATCH($A21,SPPR!$A:$A,0),15),""),"")</f>
        <v/>
      </c>
      <c r="S21">
        <f>IFERROR(IF(ISNUMBER(INDEX(SPPR!$E:$X,MATCH($A21,SPPR!$A:$A,0),16)),$C21*INDEX(SPPR!$E:$X,MATCH($A21,SPPR!$A:$A,0),16),""),"")</f>
        <v/>
      </c>
      <c r="T21">
        <f>IFERROR(IF(ISNUMBER(INDEX(SPPR!$E:$X,MATCH($A21,SPPR!$A:$A,0),17)),$C21*INDEX(SPPR!$E:$X,MATCH($A21,SPPR!$A:$A,0),17),""),"")</f>
        <v/>
      </c>
      <c r="U21">
        <f>IFERROR(IF(ISNUMBER(INDEX(SPPR!$E:$X,MATCH($A21,SPPR!$A:$A,0),18)),$C21*INDEX(SPPR!$E:$X,MATCH($A21,SPPR!$A:$A,0),18),""),"")</f>
        <v/>
      </c>
      <c r="V21">
        <f>IFERROR(IF(ISNUMBER(INDEX(SPPR!$E:$X,MATCH($A21,SPPR!$A:$A,0),19)),$C21*INDEX(SPPR!$E:$X,MATCH($A21,SPPR!$A:$A,0),19),""),"")</f>
        <v/>
      </c>
      <c r="W21">
        <f>IFERROR(IF(ISNUMBER(INDEX(SPPR!$E:$X,MATCH($A21,SPPR!$A:$A,0),20)),$C21*INDEX(SPPR!$E:$X,MATCH($A21,SPPR!$A:$A,0),20),""),"")</f>
        <v/>
      </c>
    </row>
    <row r="22">
      <c r="A22" t="inlineStr">
        <is>
          <t>Marine finfishes not identified</t>
        </is>
      </c>
      <c r="B22">
        <f>IFERROR(INDEX(SPPR!$D:$D,MATCH($A22,SPPR!$A:$A,0)),"")</f>
        <v/>
      </c>
      <c r="C22">
        <f>IFERROR(INDEX(Catch!$E:$BV,MATCH($A22,Catch!$A:$A,0),MATCH($B$4,Catch!$E$1:$BV$1,0)),0)</f>
        <v/>
      </c>
      <c r="D22">
        <f>IFERROR(IF(ISNUMBER(INDEX(SPPR!$E:$X,MATCH($A22,SPPR!$A:$A,0),1)),$C22*INDEX(SPPR!$E:$X,MATCH($A22,SPPR!$A:$A,0),1),""),"")</f>
        <v/>
      </c>
      <c r="E22">
        <f>IFERROR(IF(ISNUMBER(INDEX(SPPR!$E:$X,MATCH($A22,SPPR!$A:$A,0),2)),$C22*INDEX(SPPR!$E:$X,MATCH($A22,SPPR!$A:$A,0),2),""),"")</f>
        <v/>
      </c>
      <c r="F22">
        <f>IFERROR(IF(ISNUMBER(INDEX(SPPR!$E:$X,MATCH($A22,SPPR!$A:$A,0),3)),$C22*INDEX(SPPR!$E:$X,MATCH($A22,SPPR!$A:$A,0),3),""),"")</f>
        <v/>
      </c>
      <c r="G22">
        <f>IFERROR(IF(ISNUMBER(INDEX(SPPR!$E:$X,MATCH($A22,SPPR!$A:$A,0),4)),$C22*INDEX(SPPR!$E:$X,MATCH($A22,SPPR!$A:$A,0),4),""),"")</f>
        <v/>
      </c>
      <c r="H22">
        <f>IFERROR(IF(ISNUMBER(INDEX(SPPR!$E:$X,MATCH($A22,SPPR!$A:$A,0),5)),$C22*INDEX(SPPR!$E:$X,MATCH($A22,SPPR!$A:$A,0),5),""),"")</f>
        <v/>
      </c>
      <c r="I22">
        <f>IFERROR(IF(ISNUMBER(INDEX(SPPR!$E:$X,MATCH($A22,SPPR!$A:$A,0),6)),$C22*INDEX(SPPR!$E:$X,MATCH($A22,SPPR!$A:$A,0),6),""),"")</f>
        <v/>
      </c>
      <c r="J22">
        <f>IFERROR(IF(ISNUMBER(INDEX(SPPR!$E:$X,MATCH($A22,SPPR!$A:$A,0),7)),$C22*INDEX(SPPR!$E:$X,MATCH($A22,SPPR!$A:$A,0),7),""),"")</f>
        <v/>
      </c>
      <c r="K22">
        <f>IFERROR(IF(ISNUMBER(INDEX(SPPR!$E:$X,MATCH($A22,SPPR!$A:$A,0),8)),$C22*INDEX(SPPR!$E:$X,MATCH($A22,SPPR!$A:$A,0),8),""),"")</f>
        <v/>
      </c>
      <c r="L22">
        <f>IFERROR(IF(ISNUMBER(INDEX(SPPR!$E:$X,MATCH($A22,SPPR!$A:$A,0),9)),$C22*INDEX(SPPR!$E:$X,MATCH($A22,SPPR!$A:$A,0),9),""),"")</f>
        <v/>
      </c>
      <c r="M22">
        <f>IFERROR(IF(ISNUMBER(INDEX(SPPR!$E:$X,MATCH($A22,SPPR!$A:$A,0),10)),$C22*INDEX(SPPR!$E:$X,MATCH($A22,SPPR!$A:$A,0),10),""),"")</f>
        <v/>
      </c>
      <c r="N22">
        <f>IFERROR(IF(ISNUMBER(INDEX(SPPR!$E:$X,MATCH($A22,SPPR!$A:$A,0),11)),$C22*INDEX(SPPR!$E:$X,MATCH($A22,SPPR!$A:$A,0),11),""),"")</f>
        <v/>
      </c>
      <c r="O22">
        <f>IFERROR(IF(ISNUMBER(INDEX(SPPR!$E:$X,MATCH($A22,SPPR!$A:$A,0),12)),$C22*INDEX(SPPR!$E:$X,MATCH($A22,SPPR!$A:$A,0),12),""),"")</f>
        <v/>
      </c>
      <c r="P22">
        <f>IFERROR(IF(ISNUMBER(INDEX(SPPR!$E:$X,MATCH($A22,SPPR!$A:$A,0),13)),$C22*INDEX(SPPR!$E:$X,MATCH($A22,SPPR!$A:$A,0),13),""),"")</f>
        <v/>
      </c>
      <c r="Q22">
        <f>IFERROR(IF(ISNUMBER(INDEX(SPPR!$E:$X,MATCH($A22,SPPR!$A:$A,0),14)),$C22*INDEX(SPPR!$E:$X,MATCH($A22,SPPR!$A:$A,0),14),""),"")</f>
        <v/>
      </c>
      <c r="R22">
        <f>IFERROR(IF(ISNUMBER(INDEX(SPPR!$E:$X,MATCH($A22,SPPR!$A:$A,0),15)),$C22*INDEX(SPPR!$E:$X,MATCH($A22,SPPR!$A:$A,0),15),""),"")</f>
        <v/>
      </c>
      <c r="S22">
        <f>IFERROR(IF(ISNUMBER(INDEX(SPPR!$E:$X,MATCH($A22,SPPR!$A:$A,0),16)),$C22*INDEX(SPPR!$E:$X,MATCH($A22,SPPR!$A:$A,0),16),""),"")</f>
        <v/>
      </c>
      <c r="T22">
        <f>IFERROR(IF(ISNUMBER(INDEX(SPPR!$E:$X,MATCH($A22,SPPR!$A:$A,0),17)),$C22*INDEX(SPPR!$E:$X,MATCH($A22,SPPR!$A:$A,0),17),""),"")</f>
        <v/>
      </c>
      <c r="U22">
        <f>IFERROR(IF(ISNUMBER(INDEX(SPPR!$E:$X,MATCH($A22,SPPR!$A:$A,0),18)),$C22*INDEX(SPPR!$E:$X,MATCH($A22,SPPR!$A:$A,0),18),""),"")</f>
        <v/>
      </c>
      <c r="V22">
        <f>IFERROR(IF(ISNUMBER(INDEX(SPPR!$E:$X,MATCH($A22,SPPR!$A:$A,0),19)),$C22*INDEX(SPPR!$E:$X,MATCH($A22,SPPR!$A:$A,0),19),""),"")</f>
        <v/>
      </c>
      <c r="W22">
        <f>IFERROR(IF(ISNUMBER(INDEX(SPPR!$E:$X,MATCH($A22,SPPR!$A:$A,0),20)),$C22*INDEX(SPPR!$E:$X,MATCH($A22,SPPR!$A:$A,0),20),""),"")</f>
        <v/>
      </c>
    </row>
    <row r="23">
      <c r="A23" t="inlineStr">
        <is>
          <t>Ammodytes marinus</t>
        </is>
      </c>
      <c r="B23">
        <f>IFERROR(INDEX(SPPR!$D:$D,MATCH($A23,SPPR!$A:$A,0)),"")</f>
        <v/>
      </c>
      <c r="C23">
        <f>IFERROR(INDEX(Catch!$E:$BV,MATCH($A23,Catch!$A:$A,0),MATCH($B$4,Catch!$E$1:$BV$1,0)),0)</f>
        <v/>
      </c>
      <c r="D23">
        <f>IFERROR(IF(ISNUMBER(INDEX(SPPR!$E:$X,MATCH($A23,SPPR!$A:$A,0),1)),$C23*INDEX(SPPR!$E:$X,MATCH($A23,SPPR!$A:$A,0),1),""),"")</f>
        <v/>
      </c>
      <c r="E23">
        <f>IFERROR(IF(ISNUMBER(INDEX(SPPR!$E:$X,MATCH($A23,SPPR!$A:$A,0),2)),$C23*INDEX(SPPR!$E:$X,MATCH($A23,SPPR!$A:$A,0),2),""),"")</f>
        <v/>
      </c>
      <c r="F23">
        <f>IFERROR(IF(ISNUMBER(INDEX(SPPR!$E:$X,MATCH($A23,SPPR!$A:$A,0),3)),$C23*INDEX(SPPR!$E:$X,MATCH($A23,SPPR!$A:$A,0),3),""),"")</f>
        <v/>
      </c>
      <c r="G23">
        <f>IFERROR(IF(ISNUMBER(INDEX(SPPR!$E:$X,MATCH($A23,SPPR!$A:$A,0),4)),$C23*INDEX(SPPR!$E:$X,MATCH($A23,SPPR!$A:$A,0),4),""),"")</f>
        <v/>
      </c>
      <c r="H23">
        <f>IFERROR(IF(ISNUMBER(INDEX(SPPR!$E:$X,MATCH($A23,SPPR!$A:$A,0),5)),$C23*INDEX(SPPR!$E:$X,MATCH($A23,SPPR!$A:$A,0),5),""),"")</f>
        <v/>
      </c>
      <c r="I23">
        <f>IFERROR(IF(ISNUMBER(INDEX(SPPR!$E:$X,MATCH($A23,SPPR!$A:$A,0),6)),$C23*INDEX(SPPR!$E:$X,MATCH($A23,SPPR!$A:$A,0),6),""),"")</f>
        <v/>
      </c>
      <c r="J23">
        <f>IFERROR(IF(ISNUMBER(INDEX(SPPR!$E:$X,MATCH($A23,SPPR!$A:$A,0),7)),$C23*INDEX(SPPR!$E:$X,MATCH($A23,SPPR!$A:$A,0),7),""),"")</f>
        <v/>
      </c>
      <c r="K23">
        <f>IFERROR(IF(ISNUMBER(INDEX(SPPR!$E:$X,MATCH($A23,SPPR!$A:$A,0),8)),$C23*INDEX(SPPR!$E:$X,MATCH($A23,SPPR!$A:$A,0),8),""),"")</f>
        <v/>
      </c>
      <c r="L23">
        <f>IFERROR(IF(ISNUMBER(INDEX(SPPR!$E:$X,MATCH($A23,SPPR!$A:$A,0),9)),$C23*INDEX(SPPR!$E:$X,MATCH($A23,SPPR!$A:$A,0),9),""),"")</f>
        <v/>
      </c>
      <c r="M23">
        <f>IFERROR(IF(ISNUMBER(INDEX(SPPR!$E:$X,MATCH($A23,SPPR!$A:$A,0),10)),$C23*INDEX(SPPR!$E:$X,MATCH($A23,SPPR!$A:$A,0),10),""),"")</f>
        <v/>
      </c>
      <c r="N23">
        <f>IFERROR(IF(ISNUMBER(INDEX(SPPR!$E:$X,MATCH($A23,SPPR!$A:$A,0),11)),$C23*INDEX(SPPR!$E:$X,MATCH($A23,SPPR!$A:$A,0),11),""),"")</f>
        <v/>
      </c>
      <c r="O23">
        <f>IFERROR(IF(ISNUMBER(INDEX(SPPR!$E:$X,MATCH($A23,SPPR!$A:$A,0),12)),$C23*INDEX(SPPR!$E:$X,MATCH($A23,SPPR!$A:$A,0),12),""),"")</f>
        <v/>
      </c>
      <c r="P23">
        <f>IFERROR(IF(ISNUMBER(INDEX(SPPR!$E:$X,MATCH($A23,SPPR!$A:$A,0),13)),$C23*INDEX(SPPR!$E:$X,MATCH($A23,SPPR!$A:$A,0),13),""),"")</f>
        <v/>
      </c>
      <c r="Q23">
        <f>IFERROR(IF(ISNUMBER(INDEX(SPPR!$E:$X,MATCH($A23,SPPR!$A:$A,0),14)),$C23*INDEX(SPPR!$E:$X,MATCH($A23,SPPR!$A:$A,0),14),""),"")</f>
        <v/>
      </c>
      <c r="R23">
        <f>IFERROR(IF(ISNUMBER(INDEX(SPPR!$E:$X,MATCH($A23,SPPR!$A:$A,0),15)),$C23*INDEX(SPPR!$E:$X,MATCH($A23,SPPR!$A:$A,0),15),""),"")</f>
        <v/>
      </c>
      <c r="S23">
        <f>IFERROR(IF(ISNUMBER(INDEX(SPPR!$E:$X,MATCH($A23,SPPR!$A:$A,0),16)),$C23*INDEX(SPPR!$E:$X,MATCH($A23,SPPR!$A:$A,0),16),""),"")</f>
        <v/>
      </c>
      <c r="T23">
        <f>IFERROR(IF(ISNUMBER(INDEX(SPPR!$E:$X,MATCH($A23,SPPR!$A:$A,0),17)),$C23*INDEX(SPPR!$E:$X,MATCH($A23,SPPR!$A:$A,0),17),""),"")</f>
        <v/>
      </c>
      <c r="U23">
        <f>IFERROR(IF(ISNUMBER(INDEX(SPPR!$E:$X,MATCH($A23,SPPR!$A:$A,0),18)),$C23*INDEX(SPPR!$E:$X,MATCH($A23,SPPR!$A:$A,0),18),""),"")</f>
        <v/>
      </c>
      <c r="V23">
        <f>IFERROR(IF(ISNUMBER(INDEX(SPPR!$E:$X,MATCH($A23,SPPR!$A:$A,0),19)),$C23*INDEX(SPPR!$E:$X,MATCH($A23,SPPR!$A:$A,0),19),""),"")</f>
        <v/>
      </c>
      <c r="W23">
        <f>IFERROR(IF(ISNUMBER(INDEX(SPPR!$E:$X,MATCH($A23,SPPR!$A:$A,0),20)),$C23*INDEX(SPPR!$E:$X,MATCH($A23,SPPR!$A:$A,0),20),""),"")</f>
        <v/>
      </c>
    </row>
    <row r="24">
      <c r="A24" t="inlineStr">
        <is>
          <t>Trachurus trachurus</t>
        </is>
      </c>
      <c r="B24">
        <f>IFERROR(INDEX(SPPR!$D:$D,MATCH($A24,SPPR!$A:$A,0)),"")</f>
        <v/>
      </c>
      <c r="C24">
        <f>IFERROR(INDEX(Catch!$E:$BV,MATCH($A24,Catch!$A:$A,0),MATCH($B$4,Catch!$E$1:$BV$1,0)),0)</f>
        <v/>
      </c>
      <c r="D24">
        <f>IFERROR(IF(ISNUMBER(INDEX(SPPR!$E:$X,MATCH($A24,SPPR!$A:$A,0),1)),$C24*INDEX(SPPR!$E:$X,MATCH($A24,SPPR!$A:$A,0),1),""),"")</f>
        <v/>
      </c>
      <c r="E24">
        <f>IFERROR(IF(ISNUMBER(INDEX(SPPR!$E:$X,MATCH($A24,SPPR!$A:$A,0),2)),$C24*INDEX(SPPR!$E:$X,MATCH($A24,SPPR!$A:$A,0),2),""),"")</f>
        <v/>
      </c>
      <c r="F24">
        <f>IFERROR(IF(ISNUMBER(INDEX(SPPR!$E:$X,MATCH($A24,SPPR!$A:$A,0),3)),$C24*INDEX(SPPR!$E:$X,MATCH($A24,SPPR!$A:$A,0),3),""),"")</f>
        <v/>
      </c>
      <c r="G24">
        <f>IFERROR(IF(ISNUMBER(INDEX(SPPR!$E:$X,MATCH($A24,SPPR!$A:$A,0),4)),$C24*INDEX(SPPR!$E:$X,MATCH($A24,SPPR!$A:$A,0),4),""),"")</f>
        <v/>
      </c>
      <c r="H24">
        <f>IFERROR(IF(ISNUMBER(INDEX(SPPR!$E:$X,MATCH($A24,SPPR!$A:$A,0),5)),$C24*INDEX(SPPR!$E:$X,MATCH($A24,SPPR!$A:$A,0),5),""),"")</f>
        <v/>
      </c>
      <c r="I24">
        <f>IFERROR(IF(ISNUMBER(INDEX(SPPR!$E:$X,MATCH($A24,SPPR!$A:$A,0),6)),$C24*INDEX(SPPR!$E:$X,MATCH($A24,SPPR!$A:$A,0),6),""),"")</f>
        <v/>
      </c>
      <c r="J24">
        <f>IFERROR(IF(ISNUMBER(INDEX(SPPR!$E:$X,MATCH($A24,SPPR!$A:$A,0),7)),$C24*INDEX(SPPR!$E:$X,MATCH($A24,SPPR!$A:$A,0),7),""),"")</f>
        <v/>
      </c>
      <c r="K24">
        <f>IFERROR(IF(ISNUMBER(INDEX(SPPR!$E:$X,MATCH($A24,SPPR!$A:$A,0),8)),$C24*INDEX(SPPR!$E:$X,MATCH($A24,SPPR!$A:$A,0),8),""),"")</f>
        <v/>
      </c>
      <c r="L24">
        <f>IFERROR(IF(ISNUMBER(INDEX(SPPR!$E:$X,MATCH($A24,SPPR!$A:$A,0),9)),$C24*INDEX(SPPR!$E:$X,MATCH($A24,SPPR!$A:$A,0),9),""),"")</f>
        <v/>
      </c>
      <c r="M24">
        <f>IFERROR(IF(ISNUMBER(INDEX(SPPR!$E:$X,MATCH($A24,SPPR!$A:$A,0),10)),$C24*INDEX(SPPR!$E:$X,MATCH($A24,SPPR!$A:$A,0),10),""),"")</f>
        <v/>
      </c>
      <c r="N24">
        <f>IFERROR(IF(ISNUMBER(INDEX(SPPR!$E:$X,MATCH($A24,SPPR!$A:$A,0),11)),$C24*INDEX(SPPR!$E:$X,MATCH($A24,SPPR!$A:$A,0),11),""),"")</f>
        <v/>
      </c>
      <c r="O24">
        <f>IFERROR(IF(ISNUMBER(INDEX(SPPR!$E:$X,MATCH($A24,SPPR!$A:$A,0),12)),$C24*INDEX(SPPR!$E:$X,MATCH($A24,SPPR!$A:$A,0),12),""),"")</f>
        <v/>
      </c>
      <c r="P24">
        <f>IFERROR(IF(ISNUMBER(INDEX(SPPR!$E:$X,MATCH($A24,SPPR!$A:$A,0),13)),$C24*INDEX(SPPR!$E:$X,MATCH($A24,SPPR!$A:$A,0),13),""),"")</f>
        <v/>
      </c>
      <c r="Q24">
        <f>IFERROR(IF(ISNUMBER(INDEX(SPPR!$E:$X,MATCH($A24,SPPR!$A:$A,0),14)),$C24*INDEX(SPPR!$E:$X,MATCH($A24,SPPR!$A:$A,0),14),""),"")</f>
        <v/>
      </c>
      <c r="R24">
        <f>IFERROR(IF(ISNUMBER(INDEX(SPPR!$E:$X,MATCH($A24,SPPR!$A:$A,0),15)),$C24*INDEX(SPPR!$E:$X,MATCH($A24,SPPR!$A:$A,0),15),""),"")</f>
        <v/>
      </c>
      <c r="S24">
        <f>IFERROR(IF(ISNUMBER(INDEX(SPPR!$E:$X,MATCH($A24,SPPR!$A:$A,0),16)),$C24*INDEX(SPPR!$E:$X,MATCH($A24,SPPR!$A:$A,0),16),""),"")</f>
        <v/>
      </c>
      <c r="T24">
        <f>IFERROR(IF(ISNUMBER(INDEX(SPPR!$E:$X,MATCH($A24,SPPR!$A:$A,0),17)),$C24*INDEX(SPPR!$E:$X,MATCH($A24,SPPR!$A:$A,0),17),""),"")</f>
        <v/>
      </c>
      <c r="U24">
        <f>IFERROR(IF(ISNUMBER(INDEX(SPPR!$E:$X,MATCH($A24,SPPR!$A:$A,0),18)),$C24*INDEX(SPPR!$E:$X,MATCH($A24,SPPR!$A:$A,0),18),""),"")</f>
        <v/>
      </c>
      <c r="V24">
        <f>IFERROR(IF(ISNUMBER(INDEX(SPPR!$E:$X,MATCH($A24,SPPR!$A:$A,0),19)),$C24*INDEX(SPPR!$E:$X,MATCH($A24,SPPR!$A:$A,0),19),""),"")</f>
        <v/>
      </c>
      <c r="W24">
        <f>IFERROR(IF(ISNUMBER(INDEX(SPPR!$E:$X,MATCH($A24,SPPR!$A:$A,0),20)),$C24*INDEX(SPPR!$E:$X,MATCH($A24,SPPR!$A:$A,0),20),""),"")</f>
        <v/>
      </c>
    </row>
    <row r="25">
      <c r="A25" t="inlineStr">
        <is>
          <t>Solea solea</t>
        </is>
      </c>
      <c r="B25">
        <f>IFERROR(INDEX(SPPR!$D:$D,MATCH($A25,SPPR!$A:$A,0)),"")</f>
        <v/>
      </c>
      <c r="C25">
        <f>IFERROR(INDEX(Catch!$E:$BV,MATCH($A25,Catch!$A:$A,0),MATCH($B$4,Catch!$E$1:$BV$1,0)),0)</f>
        <v/>
      </c>
      <c r="D25">
        <f>IFERROR(IF(ISNUMBER(INDEX(SPPR!$E:$X,MATCH($A25,SPPR!$A:$A,0),1)),$C25*INDEX(SPPR!$E:$X,MATCH($A25,SPPR!$A:$A,0),1),""),"")</f>
        <v/>
      </c>
      <c r="E25">
        <f>IFERROR(IF(ISNUMBER(INDEX(SPPR!$E:$X,MATCH($A25,SPPR!$A:$A,0),2)),$C25*INDEX(SPPR!$E:$X,MATCH($A25,SPPR!$A:$A,0),2),""),"")</f>
        <v/>
      </c>
      <c r="F25">
        <f>IFERROR(IF(ISNUMBER(INDEX(SPPR!$E:$X,MATCH($A25,SPPR!$A:$A,0),3)),$C25*INDEX(SPPR!$E:$X,MATCH($A25,SPPR!$A:$A,0),3),""),"")</f>
        <v/>
      </c>
      <c r="G25">
        <f>IFERROR(IF(ISNUMBER(INDEX(SPPR!$E:$X,MATCH($A25,SPPR!$A:$A,0),4)),$C25*INDEX(SPPR!$E:$X,MATCH($A25,SPPR!$A:$A,0),4),""),"")</f>
        <v/>
      </c>
      <c r="H25">
        <f>IFERROR(IF(ISNUMBER(INDEX(SPPR!$E:$X,MATCH($A25,SPPR!$A:$A,0),5)),$C25*INDEX(SPPR!$E:$X,MATCH($A25,SPPR!$A:$A,0),5),""),"")</f>
        <v/>
      </c>
      <c r="I25">
        <f>IFERROR(IF(ISNUMBER(INDEX(SPPR!$E:$X,MATCH($A25,SPPR!$A:$A,0),6)),$C25*INDEX(SPPR!$E:$X,MATCH($A25,SPPR!$A:$A,0),6),""),"")</f>
        <v/>
      </c>
      <c r="J25">
        <f>IFERROR(IF(ISNUMBER(INDEX(SPPR!$E:$X,MATCH($A25,SPPR!$A:$A,0),7)),$C25*INDEX(SPPR!$E:$X,MATCH($A25,SPPR!$A:$A,0),7),""),"")</f>
        <v/>
      </c>
      <c r="K25">
        <f>IFERROR(IF(ISNUMBER(INDEX(SPPR!$E:$X,MATCH($A25,SPPR!$A:$A,0),8)),$C25*INDEX(SPPR!$E:$X,MATCH($A25,SPPR!$A:$A,0),8),""),"")</f>
        <v/>
      </c>
      <c r="L25">
        <f>IFERROR(IF(ISNUMBER(INDEX(SPPR!$E:$X,MATCH($A25,SPPR!$A:$A,0),9)),$C25*INDEX(SPPR!$E:$X,MATCH($A25,SPPR!$A:$A,0),9),""),"")</f>
        <v/>
      </c>
      <c r="M25">
        <f>IFERROR(IF(ISNUMBER(INDEX(SPPR!$E:$X,MATCH($A25,SPPR!$A:$A,0),10)),$C25*INDEX(SPPR!$E:$X,MATCH($A25,SPPR!$A:$A,0),10),""),"")</f>
        <v/>
      </c>
      <c r="N25">
        <f>IFERROR(IF(ISNUMBER(INDEX(SPPR!$E:$X,MATCH($A25,SPPR!$A:$A,0),11)),$C25*INDEX(SPPR!$E:$X,MATCH($A25,SPPR!$A:$A,0),11),""),"")</f>
        <v/>
      </c>
      <c r="O25">
        <f>IFERROR(IF(ISNUMBER(INDEX(SPPR!$E:$X,MATCH($A25,SPPR!$A:$A,0),12)),$C25*INDEX(SPPR!$E:$X,MATCH($A25,SPPR!$A:$A,0),12),""),"")</f>
        <v/>
      </c>
      <c r="P25">
        <f>IFERROR(IF(ISNUMBER(INDEX(SPPR!$E:$X,MATCH($A25,SPPR!$A:$A,0),13)),$C25*INDEX(SPPR!$E:$X,MATCH($A25,SPPR!$A:$A,0),13),""),"")</f>
        <v/>
      </c>
      <c r="Q25">
        <f>IFERROR(IF(ISNUMBER(INDEX(SPPR!$E:$X,MATCH($A25,SPPR!$A:$A,0),14)),$C25*INDEX(SPPR!$E:$X,MATCH($A25,SPPR!$A:$A,0),14),""),"")</f>
        <v/>
      </c>
      <c r="R25">
        <f>IFERROR(IF(ISNUMBER(INDEX(SPPR!$E:$X,MATCH($A25,SPPR!$A:$A,0),15)),$C25*INDEX(SPPR!$E:$X,MATCH($A25,SPPR!$A:$A,0),15),""),"")</f>
        <v/>
      </c>
      <c r="S25">
        <f>IFERROR(IF(ISNUMBER(INDEX(SPPR!$E:$X,MATCH($A25,SPPR!$A:$A,0),16)),$C25*INDEX(SPPR!$E:$X,MATCH($A25,SPPR!$A:$A,0),16),""),"")</f>
        <v/>
      </c>
      <c r="T25">
        <f>IFERROR(IF(ISNUMBER(INDEX(SPPR!$E:$X,MATCH($A25,SPPR!$A:$A,0),17)),$C25*INDEX(SPPR!$E:$X,MATCH($A25,SPPR!$A:$A,0),17),""),"")</f>
        <v/>
      </c>
      <c r="U25">
        <f>IFERROR(IF(ISNUMBER(INDEX(SPPR!$E:$X,MATCH($A25,SPPR!$A:$A,0),18)),$C25*INDEX(SPPR!$E:$X,MATCH($A25,SPPR!$A:$A,0),18),""),"")</f>
        <v/>
      </c>
      <c r="V25">
        <f>IFERROR(IF(ISNUMBER(INDEX(SPPR!$E:$X,MATCH($A25,SPPR!$A:$A,0),19)),$C25*INDEX(SPPR!$E:$X,MATCH($A25,SPPR!$A:$A,0),19),""),"")</f>
        <v/>
      </c>
      <c r="W25">
        <f>IFERROR(IF(ISNUMBER(INDEX(SPPR!$E:$X,MATCH($A25,SPPR!$A:$A,0),20)),$C25*INDEX(SPPR!$E:$X,MATCH($A25,SPPR!$A:$A,0),20),""),"")</f>
        <v/>
      </c>
    </row>
    <row r="26">
      <c r="A26" t="inlineStr">
        <is>
          <t>Cerastoderma edule</t>
        </is>
      </c>
      <c r="B26">
        <f>IFERROR(INDEX(SPPR!$D:$D,MATCH($A26,SPPR!$A:$A,0)),"")</f>
        <v/>
      </c>
      <c r="C26">
        <f>IFERROR(INDEX(Catch!$E:$BV,MATCH($A26,Catch!$A:$A,0),MATCH($B$4,Catch!$E$1:$BV$1,0)),0)</f>
        <v/>
      </c>
      <c r="D26">
        <f>IFERROR(IF(ISNUMBER(INDEX(SPPR!$E:$X,MATCH($A26,SPPR!$A:$A,0),1)),$C26*INDEX(SPPR!$E:$X,MATCH($A26,SPPR!$A:$A,0),1),""),"")</f>
        <v/>
      </c>
      <c r="E26">
        <f>IFERROR(IF(ISNUMBER(INDEX(SPPR!$E:$X,MATCH($A26,SPPR!$A:$A,0),2)),$C26*INDEX(SPPR!$E:$X,MATCH($A26,SPPR!$A:$A,0),2),""),"")</f>
        <v/>
      </c>
      <c r="F26">
        <f>IFERROR(IF(ISNUMBER(INDEX(SPPR!$E:$X,MATCH($A26,SPPR!$A:$A,0),3)),$C26*INDEX(SPPR!$E:$X,MATCH($A26,SPPR!$A:$A,0),3),""),"")</f>
        <v/>
      </c>
      <c r="G26">
        <f>IFERROR(IF(ISNUMBER(INDEX(SPPR!$E:$X,MATCH($A26,SPPR!$A:$A,0),4)),$C26*INDEX(SPPR!$E:$X,MATCH($A26,SPPR!$A:$A,0),4),""),"")</f>
        <v/>
      </c>
      <c r="H26">
        <f>IFERROR(IF(ISNUMBER(INDEX(SPPR!$E:$X,MATCH($A26,SPPR!$A:$A,0),5)),$C26*INDEX(SPPR!$E:$X,MATCH($A26,SPPR!$A:$A,0),5),""),"")</f>
        <v/>
      </c>
      <c r="I26">
        <f>IFERROR(IF(ISNUMBER(INDEX(SPPR!$E:$X,MATCH($A26,SPPR!$A:$A,0),6)),$C26*INDEX(SPPR!$E:$X,MATCH($A26,SPPR!$A:$A,0),6),""),"")</f>
        <v/>
      </c>
      <c r="J26">
        <f>IFERROR(IF(ISNUMBER(INDEX(SPPR!$E:$X,MATCH($A26,SPPR!$A:$A,0),7)),$C26*INDEX(SPPR!$E:$X,MATCH($A26,SPPR!$A:$A,0),7),""),"")</f>
        <v/>
      </c>
      <c r="K26">
        <f>IFERROR(IF(ISNUMBER(INDEX(SPPR!$E:$X,MATCH($A26,SPPR!$A:$A,0),8)),$C26*INDEX(SPPR!$E:$X,MATCH($A26,SPPR!$A:$A,0),8),""),"")</f>
        <v/>
      </c>
      <c r="L26">
        <f>IFERROR(IF(ISNUMBER(INDEX(SPPR!$E:$X,MATCH($A26,SPPR!$A:$A,0),9)),$C26*INDEX(SPPR!$E:$X,MATCH($A26,SPPR!$A:$A,0),9),""),"")</f>
        <v/>
      </c>
      <c r="M26">
        <f>IFERROR(IF(ISNUMBER(INDEX(SPPR!$E:$X,MATCH($A26,SPPR!$A:$A,0),10)),$C26*INDEX(SPPR!$E:$X,MATCH($A26,SPPR!$A:$A,0),10),""),"")</f>
        <v/>
      </c>
      <c r="N26">
        <f>IFERROR(IF(ISNUMBER(INDEX(SPPR!$E:$X,MATCH($A26,SPPR!$A:$A,0),11)),$C26*INDEX(SPPR!$E:$X,MATCH($A26,SPPR!$A:$A,0),11),""),"")</f>
        <v/>
      </c>
      <c r="O26">
        <f>IFERROR(IF(ISNUMBER(INDEX(SPPR!$E:$X,MATCH($A26,SPPR!$A:$A,0),12)),$C26*INDEX(SPPR!$E:$X,MATCH($A26,SPPR!$A:$A,0),12),""),"")</f>
        <v/>
      </c>
      <c r="P26">
        <f>IFERROR(IF(ISNUMBER(INDEX(SPPR!$E:$X,MATCH($A26,SPPR!$A:$A,0),13)),$C26*INDEX(SPPR!$E:$X,MATCH($A26,SPPR!$A:$A,0),13),""),"")</f>
        <v/>
      </c>
      <c r="Q26">
        <f>IFERROR(IF(ISNUMBER(INDEX(SPPR!$E:$X,MATCH($A26,SPPR!$A:$A,0),14)),$C26*INDEX(SPPR!$E:$X,MATCH($A26,SPPR!$A:$A,0),14),""),"")</f>
        <v/>
      </c>
      <c r="R26">
        <f>IFERROR(IF(ISNUMBER(INDEX(SPPR!$E:$X,MATCH($A26,SPPR!$A:$A,0),15)),$C26*INDEX(SPPR!$E:$X,MATCH($A26,SPPR!$A:$A,0),15),""),"")</f>
        <v/>
      </c>
      <c r="S26">
        <f>IFERROR(IF(ISNUMBER(INDEX(SPPR!$E:$X,MATCH($A26,SPPR!$A:$A,0),16)),$C26*INDEX(SPPR!$E:$X,MATCH($A26,SPPR!$A:$A,0),16),""),"")</f>
        <v/>
      </c>
      <c r="T26">
        <f>IFERROR(IF(ISNUMBER(INDEX(SPPR!$E:$X,MATCH($A26,SPPR!$A:$A,0),17)),$C26*INDEX(SPPR!$E:$X,MATCH($A26,SPPR!$A:$A,0),17),""),"")</f>
        <v/>
      </c>
      <c r="U26">
        <f>IFERROR(IF(ISNUMBER(INDEX(SPPR!$E:$X,MATCH($A26,SPPR!$A:$A,0),18)),$C26*INDEX(SPPR!$E:$X,MATCH($A26,SPPR!$A:$A,0),18),""),"")</f>
        <v/>
      </c>
      <c r="V26">
        <f>IFERROR(IF(ISNUMBER(INDEX(SPPR!$E:$X,MATCH($A26,SPPR!$A:$A,0),19)),$C26*INDEX(SPPR!$E:$X,MATCH($A26,SPPR!$A:$A,0),19),""),"")</f>
        <v/>
      </c>
      <c r="W26">
        <f>IFERROR(IF(ISNUMBER(INDEX(SPPR!$E:$X,MATCH($A26,SPPR!$A:$A,0),20)),$C26*INDEX(SPPR!$E:$X,MATCH($A26,SPPR!$A:$A,0),20),""),"")</f>
        <v/>
      </c>
    </row>
    <row r="27">
      <c r="A27" t="inlineStr">
        <is>
          <t>Nephrops norvegicus</t>
        </is>
      </c>
      <c r="B27">
        <f>IFERROR(INDEX(SPPR!$D:$D,MATCH($A27,SPPR!$A:$A,0)),"")</f>
        <v/>
      </c>
      <c r="C27">
        <f>IFERROR(INDEX(Catch!$E:$BV,MATCH($A27,Catch!$A:$A,0),MATCH($B$4,Catch!$E$1:$BV$1,0)),0)</f>
        <v/>
      </c>
      <c r="D27">
        <f>IFERROR(IF(ISNUMBER(INDEX(SPPR!$E:$X,MATCH($A27,SPPR!$A:$A,0),1)),$C27*INDEX(SPPR!$E:$X,MATCH($A27,SPPR!$A:$A,0),1),""),"")</f>
        <v/>
      </c>
      <c r="E27">
        <f>IFERROR(IF(ISNUMBER(INDEX(SPPR!$E:$X,MATCH($A27,SPPR!$A:$A,0),2)),$C27*INDEX(SPPR!$E:$X,MATCH($A27,SPPR!$A:$A,0),2),""),"")</f>
        <v/>
      </c>
      <c r="F27">
        <f>IFERROR(IF(ISNUMBER(INDEX(SPPR!$E:$X,MATCH($A27,SPPR!$A:$A,0),3)),$C27*INDEX(SPPR!$E:$X,MATCH($A27,SPPR!$A:$A,0),3),""),"")</f>
        <v/>
      </c>
      <c r="G27">
        <f>IFERROR(IF(ISNUMBER(INDEX(SPPR!$E:$X,MATCH($A27,SPPR!$A:$A,0),4)),$C27*INDEX(SPPR!$E:$X,MATCH($A27,SPPR!$A:$A,0),4),""),"")</f>
        <v/>
      </c>
      <c r="H27">
        <f>IFERROR(IF(ISNUMBER(INDEX(SPPR!$E:$X,MATCH($A27,SPPR!$A:$A,0),5)),$C27*INDEX(SPPR!$E:$X,MATCH($A27,SPPR!$A:$A,0),5),""),"")</f>
        <v/>
      </c>
      <c r="I27">
        <f>IFERROR(IF(ISNUMBER(INDEX(SPPR!$E:$X,MATCH($A27,SPPR!$A:$A,0),6)),$C27*INDEX(SPPR!$E:$X,MATCH($A27,SPPR!$A:$A,0),6),""),"")</f>
        <v/>
      </c>
      <c r="J27">
        <f>IFERROR(IF(ISNUMBER(INDEX(SPPR!$E:$X,MATCH($A27,SPPR!$A:$A,0),7)),$C27*INDEX(SPPR!$E:$X,MATCH($A27,SPPR!$A:$A,0),7),""),"")</f>
        <v/>
      </c>
      <c r="K27">
        <f>IFERROR(IF(ISNUMBER(INDEX(SPPR!$E:$X,MATCH($A27,SPPR!$A:$A,0),8)),$C27*INDEX(SPPR!$E:$X,MATCH($A27,SPPR!$A:$A,0),8),""),"")</f>
        <v/>
      </c>
      <c r="L27">
        <f>IFERROR(IF(ISNUMBER(INDEX(SPPR!$E:$X,MATCH($A27,SPPR!$A:$A,0),9)),$C27*INDEX(SPPR!$E:$X,MATCH($A27,SPPR!$A:$A,0),9),""),"")</f>
        <v/>
      </c>
      <c r="M27">
        <f>IFERROR(IF(ISNUMBER(INDEX(SPPR!$E:$X,MATCH($A27,SPPR!$A:$A,0),10)),$C27*INDEX(SPPR!$E:$X,MATCH($A27,SPPR!$A:$A,0),10),""),"")</f>
        <v/>
      </c>
      <c r="N27">
        <f>IFERROR(IF(ISNUMBER(INDEX(SPPR!$E:$X,MATCH($A27,SPPR!$A:$A,0),11)),$C27*INDEX(SPPR!$E:$X,MATCH($A27,SPPR!$A:$A,0),11),""),"")</f>
        <v/>
      </c>
      <c r="O27">
        <f>IFERROR(IF(ISNUMBER(INDEX(SPPR!$E:$X,MATCH($A27,SPPR!$A:$A,0),12)),$C27*INDEX(SPPR!$E:$X,MATCH($A27,SPPR!$A:$A,0),12),""),"")</f>
        <v/>
      </c>
      <c r="P27">
        <f>IFERROR(IF(ISNUMBER(INDEX(SPPR!$E:$X,MATCH($A27,SPPR!$A:$A,0),13)),$C27*INDEX(SPPR!$E:$X,MATCH($A27,SPPR!$A:$A,0),13),""),"")</f>
        <v/>
      </c>
      <c r="Q27">
        <f>IFERROR(IF(ISNUMBER(INDEX(SPPR!$E:$X,MATCH($A27,SPPR!$A:$A,0),14)),$C27*INDEX(SPPR!$E:$X,MATCH($A27,SPPR!$A:$A,0),14),""),"")</f>
        <v/>
      </c>
      <c r="R27">
        <f>IFERROR(IF(ISNUMBER(INDEX(SPPR!$E:$X,MATCH($A27,SPPR!$A:$A,0),15)),$C27*INDEX(SPPR!$E:$X,MATCH($A27,SPPR!$A:$A,0),15),""),"")</f>
        <v/>
      </c>
      <c r="S27">
        <f>IFERROR(IF(ISNUMBER(INDEX(SPPR!$E:$X,MATCH($A27,SPPR!$A:$A,0),16)),$C27*INDEX(SPPR!$E:$X,MATCH($A27,SPPR!$A:$A,0),16),""),"")</f>
        <v/>
      </c>
      <c r="T27">
        <f>IFERROR(IF(ISNUMBER(INDEX(SPPR!$E:$X,MATCH($A27,SPPR!$A:$A,0),17)),$C27*INDEX(SPPR!$E:$X,MATCH($A27,SPPR!$A:$A,0),17),""),"")</f>
        <v/>
      </c>
      <c r="U27">
        <f>IFERROR(IF(ISNUMBER(INDEX(SPPR!$E:$X,MATCH($A27,SPPR!$A:$A,0),18)),$C27*INDEX(SPPR!$E:$X,MATCH($A27,SPPR!$A:$A,0),18),""),"")</f>
        <v/>
      </c>
      <c r="V27">
        <f>IFERROR(IF(ISNUMBER(INDEX(SPPR!$E:$X,MATCH($A27,SPPR!$A:$A,0),19)),$C27*INDEX(SPPR!$E:$X,MATCH($A27,SPPR!$A:$A,0),19),""),"")</f>
        <v/>
      </c>
      <c r="W27">
        <f>IFERROR(IF(ISNUMBER(INDEX(SPPR!$E:$X,MATCH($A27,SPPR!$A:$A,0),20)),$C27*INDEX(SPPR!$E:$X,MATCH($A27,SPPR!$A:$A,0),20),""),"")</f>
        <v/>
      </c>
    </row>
    <row r="28">
      <c r="A28" t="inlineStr">
        <is>
          <t>Squalus acanthias</t>
        </is>
      </c>
      <c r="B28">
        <f>IFERROR(INDEX(SPPR!$D:$D,MATCH($A28,SPPR!$A:$A,0)),"")</f>
        <v/>
      </c>
      <c r="C28">
        <f>IFERROR(INDEX(Catch!$E:$BV,MATCH($A28,Catch!$A:$A,0),MATCH($B$4,Catch!$E$1:$BV$1,0)),0)</f>
        <v/>
      </c>
      <c r="D28">
        <f>IFERROR(IF(ISNUMBER(INDEX(SPPR!$E:$X,MATCH($A28,SPPR!$A:$A,0),1)),$C28*INDEX(SPPR!$E:$X,MATCH($A28,SPPR!$A:$A,0),1),""),"")</f>
        <v/>
      </c>
      <c r="E28">
        <f>IFERROR(IF(ISNUMBER(INDEX(SPPR!$E:$X,MATCH($A28,SPPR!$A:$A,0),2)),$C28*INDEX(SPPR!$E:$X,MATCH($A28,SPPR!$A:$A,0),2),""),"")</f>
        <v/>
      </c>
      <c r="F28">
        <f>IFERROR(IF(ISNUMBER(INDEX(SPPR!$E:$X,MATCH($A28,SPPR!$A:$A,0),3)),$C28*INDEX(SPPR!$E:$X,MATCH($A28,SPPR!$A:$A,0),3),""),"")</f>
        <v/>
      </c>
      <c r="G28">
        <f>IFERROR(IF(ISNUMBER(INDEX(SPPR!$E:$X,MATCH($A28,SPPR!$A:$A,0),4)),$C28*INDEX(SPPR!$E:$X,MATCH($A28,SPPR!$A:$A,0),4),""),"")</f>
        <v/>
      </c>
      <c r="H28">
        <f>IFERROR(IF(ISNUMBER(INDEX(SPPR!$E:$X,MATCH($A28,SPPR!$A:$A,0),5)),$C28*INDEX(SPPR!$E:$X,MATCH($A28,SPPR!$A:$A,0),5),""),"")</f>
        <v/>
      </c>
      <c r="I28">
        <f>IFERROR(IF(ISNUMBER(INDEX(SPPR!$E:$X,MATCH($A28,SPPR!$A:$A,0),6)),$C28*INDEX(SPPR!$E:$X,MATCH($A28,SPPR!$A:$A,0),6),""),"")</f>
        <v/>
      </c>
      <c r="J28">
        <f>IFERROR(IF(ISNUMBER(INDEX(SPPR!$E:$X,MATCH($A28,SPPR!$A:$A,0),7)),$C28*INDEX(SPPR!$E:$X,MATCH($A28,SPPR!$A:$A,0),7),""),"")</f>
        <v/>
      </c>
      <c r="K28">
        <f>IFERROR(IF(ISNUMBER(INDEX(SPPR!$E:$X,MATCH($A28,SPPR!$A:$A,0),8)),$C28*INDEX(SPPR!$E:$X,MATCH($A28,SPPR!$A:$A,0),8),""),"")</f>
        <v/>
      </c>
      <c r="L28">
        <f>IFERROR(IF(ISNUMBER(INDEX(SPPR!$E:$X,MATCH($A28,SPPR!$A:$A,0),9)),$C28*INDEX(SPPR!$E:$X,MATCH($A28,SPPR!$A:$A,0),9),""),"")</f>
        <v/>
      </c>
      <c r="M28">
        <f>IFERROR(IF(ISNUMBER(INDEX(SPPR!$E:$X,MATCH($A28,SPPR!$A:$A,0),10)),$C28*INDEX(SPPR!$E:$X,MATCH($A28,SPPR!$A:$A,0),10),""),"")</f>
        <v/>
      </c>
      <c r="N28">
        <f>IFERROR(IF(ISNUMBER(INDEX(SPPR!$E:$X,MATCH($A28,SPPR!$A:$A,0),11)),$C28*INDEX(SPPR!$E:$X,MATCH($A28,SPPR!$A:$A,0),11),""),"")</f>
        <v/>
      </c>
      <c r="O28">
        <f>IFERROR(IF(ISNUMBER(INDEX(SPPR!$E:$X,MATCH($A28,SPPR!$A:$A,0),12)),$C28*INDEX(SPPR!$E:$X,MATCH($A28,SPPR!$A:$A,0),12),""),"")</f>
        <v/>
      </c>
      <c r="P28">
        <f>IFERROR(IF(ISNUMBER(INDEX(SPPR!$E:$X,MATCH($A28,SPPR!$A:$A,0),13)),$C28*INDEX(SPPR!$E:$X,MATCH($A28,SPPR!$A:$A,0),13),""),"")</f>
        <v/>
      </c>
      <c r="Q28">
        <f>IFERROR(IF(ISNUMBER(INDEX(SPPR!$E:$X,MATCH($A28,SPPR!$A:$A,0),14)),$C28*INDEX(SPPR!$E:$X,MATCH($A28,SPPR!$A:$A,0),14),""),"")</f>
        <v/>
      </c>
      <c r="R28">
        <f>IFERROR(IF(ISNUMBER(INDEX(SPPR!$E:$X,MATCH($A28,SPPR!$A:$A,0),15)),$C28*INDEX(SPPR!$E:$X,MATCH($A28,SPPR!$A:$A,0),15),""),"")</f>
        <v/>
      </c>
      <c r="S28">
        <f>IFERROR(IF(ISNUMBER(INDEX(SPPR!$E:$X,MATCH($A28,SPPR!$A:$A,0),16)),$C28*INDEX(SPPR!$E:$X,MATCH($A28,SPPR!$A:$A,0),16),""),"")</f>
        <v/>
      </c>
      <c r="T28">
        <f>IFERROR(IF(ISNUMBER(INDEX(SPPR!$E:$X,MATCH($A28,SPPR!$A:$A,0),17)),$C28*INDEX(SPPR!$E:$X,MATCH($A28,SPPR!$A:$A,0),17),""),"")</f>
        <v/>
      </c>
      <c r="U28">
        <f>IFERROR(IF(ISNUMBER(INDEX(SPPR!$E:$X,MATCH($A28,SPPR!$A:$A,0),18)),$C28*INDEX(SPPR!$E:$X,MATCH($A28,SPPR!$A:$A,0),18),""),"")</f>
        <v/>
      </c>
      <c r="V28">
        <f>IFERROR(IF(ISNUMBER(INDEX(SPPR!$E:$X,MATCH($A28,SPPR!$A:$A,0),19)),$C28*INDEX(SPPR!$E:$X,MATCH($A28,SPPR!$A:$A,0),19),""),"")</f>
        <v/>
      </c>
      <c r="W28">
        <f>IFERROR(IF(ISNUMBER(INDEX(SPPR!$E:$X,MATCH($A28,SPPR!$A:$A,0),20)),$C28*INDEX(SPPR!$E:$X,MATCH($A28,SPPR!$A:$A,0),20),""),"")</f>
        <v/>
      </c>
    </row>
    <row r="29">
      <c r="A29" t="inlineStr">
        <is>
          <t>Molva molva</t>
        </is>
      </c>
      <c r="B29">
        <f>IFERROR(INDEX(SPPR!$D:$D,MATCH($A29,SPPR!$A:$A,0)),"")</f>
        <v/>
      </c>
      <c r="C29">
        <f>IFERROR(INDEX(Catch!$E:$BV,MATCH($A29,Catch!$A:$A,0),MATCH($B$4,Catch!$E$1:$BV$1,0)),0)</f>
        <v/>
      </c>
      <c r="D29">
        <f>IFERROR(IF(ISNUMBER(INDEX(SPPR!$E:$X,MATCH($A29,SPPR!$A:$A,0),1)),$C29*INDEX(SPPR!$E:$X,MATCH($A29,SPPR!$A:$A,0),1),""),"")</f>
        <v/>
      </c>
      <c r="E29">
        <f>IFERROR(IF(ISNUMBER(INDEX(SPPR!$E:$X,MATCH($A29,SPPR!$A:$A,0),2)),$C29*INDEX(SPPR!$E:$X,MATCH($A29,SPPR!$A:$A,0),2),""),"")</f>
        <v/>
      </c>
      <c r="F29">
        <f>IFERROR(IF(ISNUMBER(INDEX(SPPR!$E:$X,MATCH($A29,SPPR!$A:$A,0),3)),$C29*INDEX(SPPR!$E:$X,MATCH($A29,SPPR!$A:$A,0),3),""),"")</f>
        <v/>
      </c>
      <c r="G29">
        <f>IFERROR(IF(ISNUMBER(INDEX(SPPR!$E:$X,MATCH($A29,SPPR!$A:$A,0),4)),$C29*INDEX(SPPR!$E:$X,MATCH($A29,SPPR!$A:$A,0),4),""),"")</f>
        <v/>
      </c>
      <c r="H29">
        <f>IFERROR(IF(ISNUMBER(INDEX(SPPR!$E:$X,MATCH($A29,SPPR!$A:$A,0),5)),$C29*INDEX(SPPR!$E:$X,MATCH($A29,SPPR!$A:$A,0),5),""),"")</f>
        <v/>
      </c>
      <c r="I29">
        <f>IFERROR(IF(ISNUMBER(INDEX(SPPR!$E:$X,MATCH($A29,SPPR!$A:$A,0),6)),$C29*INDEX(SPPR!$E:$X,MATCH($A29,SPPR!$A:$A,0),6),""),"")</f>
        <v/>
      </c>
      <c r="J29">
        <f>IFERROR(IF(ISNUMBER(INDEX(SPPR!$E:$X,MATCH($A29,SPPR!$A:$A,0),7)),$C29*INDEX(SPPR!$E:$X,MATCH($A29,SPPR!$A:$A,0),7),""),"")</f>
        <v/>
      </c>
      <c r="K29">
        <f>IFERROR(IF(ISNUMBER(INDEX(SPPR!$E:$X,MATCH($A29,SPPR!$A:$A,0),8)),$C29*INDEX(SPPR!$E:$X,MATCH($A29,SPPR!$A:$A,0),8),""),"")</f>
        <v/>
      </c>
      <c r="L29">
        <f>IFERROR(IF(ISNUMBER(INDEX(SPPR!$E:$X,MATCH($A29,SPPR!$A:$A,0),9)),$C29*INDEX(SPPR!$E:$X,MATCH($A29,SPPR!$A:$A,0),9),""),"")</f>
        <v/>
      </c>
      <c r="M29">
        <f>IFERROR(IF(ISNUMBER(INDEX(SPPR!$E:$X,MATCH($A29,SPPR!$A:$A,0),10)),$C29*INDEX(SPPR!$E:$X,MATCH($A29,SPPR!$A:$A,0),10),""),"")</f>
        <v/>
      </c>
      <c r="N29">
        <f>IFERROR(IF(ISNUMBER(INDEX(SPPR!$E:$X,MATCH($A29,SPPR!$A:$A,0),11)),$C29*INDEX(SPPR!$E:$X,MATCH($A29,SPPR!$A:$A,0),11),""),"")</f>
        <v/>
      </c>
      <c r="O29">
        <f>IFERROR(IF(ISNUMBER(INDEX(SPPR!$E:$X,MATCH($A29,SPPR!$A:$A,0),12)),$C29*INDEX(SPPR!$E:$X,MATCH($A29,SPPR!$A:$A,0),12),""),"")</f>
        <v/>
      </c>
      <c r="P29">
        <f>IFERROR(IF(ISNUMBER(INDEX(SPPR!$E:$X,MATCH($A29,SPPR!$A:$A,0),13)),$C29*INDEX(SPPR!$E:$X,MATCH($A29,SPPR!$A:$A,0),13),""),"")</f>
        <v/>
      </c>
      <c r="Q29">
        <f>IFERROR(IF(ISNUMBER(INDEX(SPPR!$E:$X,MATCH($A29,SPPR!$A:$A,0),14)),$C29*INDEX(SPPR!$E:$X,MATCH($A29,SPPR!$A:$A,0),14),""),"")</f>
        <v/>
      </c>
      <c r="R29">
        <f>IFERROR(IF(ISNUMBER(INDEX(SPPR!$E:$X,MATCH($A29,SPPR!$A:$A,0),15)),$C29*INDEX(SPPR!$E:$X,MATCH($A29,SPPR!$A:$A,0),15),""),"")</f>
        <v/>
      </c>
      <c r="S29">
        <f>IFERROR(IF(ISNUMBER(INDEX(SPPR!$E:$X,MATCH($A29,SPPR!$A:$A,0),16)),$C29*INDEX(SPPR!$E:$X,MATCH($A29,SPPR!$A:$A,0),16),""),"")</f>
        <v/>
      </c>
      <c r="T29">
        <f>IFERROR(IF(ISNUMBER(INDEX(SPPR!$E:$X,MATCH($A29,SPPR!$A:$A,0),17)),$C29*INDEX(SPPR!$E:$X,MATCH($A29,SPPR!$A:$A,0),17),""),"")</f>
        <v/>
      </c>
      <c r="U29">
        <f>IFERROR(IF(ISNUMBER(INDEX(SPPR!$E:$X,MATCH($A29,SPPR!$A:$A,0),18)),$C29*INDEX(SPPR!$E:$X,MATCH($A29,SPPR!$A:$A,0),18),""),"")</f>
        <v/>
      </c>
      <c r="V29">
        <f>IFERROR(IF(ISNUMBER(INDEX(SPPR!$E:$X,MATCH($A29,SPPR!$A:$A,0),19)),$C29*INDEX(SPPR!$E:$X,MATCH($A29,SPPR!$A:$A,0),19),""),"")</f>
        <v/>
      </c>
      <c r="W29">
        <f>IFERROR(IF(ISNUMBER(INDEX(SPPR!$E:$X,MATCH($A29,SPPR!$A:$A,0),20)),$C29*INDEX(SPPR!$E:$X,MATCH($A29,SPPR!$A:$A,0),20),""),"")</f>
        <v/>
      </c>
    </row>
    <row r="30">
      <c r="A30" t="inlineStr">
        <is>
          <t>Ammodytidae</t>
        </is>
      </c>
      <c r="B30">
        <f>IFERROR(INDEX(SPPR!$D:$D,MATCH($A30,SPPR!$A:$A,0)),"")</f>
        <v/>
      </c>
      <c r="C30">
        <f>IFERROR(INDEX(Catch!$E:$BV,MATCH($A30,Catch!$A:$A,0),MATCH($B$4,Catch!$E$1:$BV$1,0)),0)</f>
        <v/>
      </c>
      <c r="D30">
        <f>IFERROR(IF(ISNUMBER(INDEX(SPPR!$E:$X,MATCH($A30,SPPR!$A:$A,0),1)),$C30*INDEX(SPPR!$E:$X,MATCH($A30,SPPR!$A:$A,0),1),""),"")</f>
        <v/>
      </c>
      <c r="E30">
        <f>IFERROR(IF(ISNUMBER(INDEX(SPPR!$E:$X,MATCH($A30,SPPR!$A:$A,0),2)),$C30*INDEX(SPPR!$E:$X,MATCH($A30,SPPR!$A:$A,0),2),""),"")</f>
        <v/>
      </c>
      <c r="F30">
        <f>IFERROR(IF(ISNUMBER(INDEX(SPPR!$E:$X,MATCH($A30,SPPR!$A:$A,0),3)),$C30*INDEX(SPPR!$E:$X,MATCH($A30,SPPR!$A:$A,0),3),""),"")</f>
        <v/>
      </c>
      <c r="G30">
        <f>IFERROR(IF(ISNUMBER(INDEX(SPPR!$E:$X,MATCH($A30,SPPR!$A:$A,0),4)),$C30*INDEX(SPPR!$E:$X,MATCH($A30,SPPR!$A:$A,0),4),""),"")</f>
        <v/>
      </c>
      <c r="H30">
        <f>IFERROR(IF(ISNUMBER(INDEX(SPPR!$E:$X,MATCH($A30,SPPR!$A:$A,0),5)),$C30*INDEX(SPPR!$E:$X,MATCH($A30,SPPR!$A:$A,0),5),""),"")</f>
        <v/>
      </c>
      <c r="I30">
        <f>IFERROR(IF(ISNUMBER(INDEX(SPPR!$E:$X,MATCH($A30,SPPR!$A:$A,0),6)),$C30*INDEX(SPPR!$E:$X,MATCH($A30,SPPR!$A:$A,0),6),""),"")</f>
        <v/>
      </c>
      <c r="J30">
        <f>IFERROR(IF(ISNUMBER(INDEX(SPPR!$E:$X,MATCH($A30,SPPR!$A:$A,0),7)),$C30*INDEX(SPPR!$E:$X,MATCH($A30,SPPR!$A:$A,0),7),""),"")</f>
        <v/>
      </c>
      <c r="K30">
        <f>IFERROR(IF(ISNUMBER(INDEX(SPPR!$E:$X,MATCH($A30,SPPR!$A:$A,0),8)),$C30*INDEX(SPPR!$E:$X,MATCH($A30,SPPR!$A:$A,0),8),""),"")</f>
        <v/>
      </c>
      <c r="L30">
        <f>IFERROR(IF(ISNUMBER(INDEX(SPPR!$E:$X,MATCH($A30,SPPR!$A:$A,0),9)),$C30*INDEX(SPPR!$E:$X,MATCH($A30,SPPR!$A:$A,0),9),""),"")</f>
        <v/>
      </c>
      <c r="M30">
        <f>IFERROR(IF(ISNUMBER(INDEX(SPPR!$E:$X,MATCH($A30,SPPR!$A:$A,0),10)),$C30*INDEX(SPPR!$E:$X,MATCH($A30,SPPR!$A:$A,0),10),""),"")</f>
        <v/>
      </c>
      <c r="N30">
        <f>IFERROR(IF(ISNUMBER(INDEX(SPPR!$E:$X,MATCH($A30,SPPR!$A:$A,0),11)),$C30*INDEX(SPPR!$E:$X,MATCH($A30,SPPR!$A:$A,0),11),""),"")</f>
        <v/>
      </c>
      <c r="O30">
        <f>IFERROR(IF(ISNUMBER(INDEX(SPPR!$E:$X,MATCH($A30,SPPR!$A:$A,0),12)),$C30*INDEX(SPPR!$E:$X,MATCH($A30,SPPR!$A:$A,0),12),""),"")</f>
        <v/>
      </c>
      <c r="P30">
        <f>IFERROR(IF(ISNUMBER(INDEX(SPPR!$E:$X,MATCH($A30,SPPR!$A:$A,0),13)),$C30*INDEX(SPPR!$E:$X,MATCH($A30,SPPR!$A:$A,0),13),""),"")</f>
        <v/>
      </c>
      <c r="Q30">
        <f>IFERROR(IF(ISNUMBER(INDEX(SPPR!$E:$X,MATCH($A30,SPPR!$A:$A,0),14)),$C30*INDEX(SPPR!$E:$X,MATCH($A30,SPPR!$A:$A,0),14),""),"")</f>
        <v/>
      </c>
      <c r="R30">
        <f>IFERROR(IF(ISNUMBER(INDEX(SPPR!$E:$X,MATCH($A30,SPPR!$A:$A,0),15)),$C30*INDEX(SPPR!$E:$X,MATCH($A30,SPPR!$A:$A,0),15),""),"")</f>
        <v/>
      </c>
      <c r="S30">
        <f>IFERROR(IF(ISNUMBER(INDEX(SPPR!$E:$X,MATCH($A30,SPPR!$A:$A,0),16)),$C30*INDEX(SPPR!$E:$X,MATCH($A30,SPPR!$A:$A,0),16),""),"")</f>
        <v/>
      </c>
      <c r="T30">
        <f>IFERROR(IF(ISNUMBER(INDEX(SPPR!$E:$X,MATCH($A30,SPPR!$A:$A,0),17)),$C30*INDEX(SPPR!$E:$X,MATCH($A30,SPPR!$A:$A,0),17),""),"")</f>
        <v/>
      </c>
      <c r="U30">
        <f>IFERROR(IF(ISNUMBER(INDEX(SPPR!$E:$X,MATCH($A30,SPPR!$A:$A,0),18)),$C30*INDEX(SPPR!$E:$X,MATCH($A30,SPPR!$A:$A,0),18),""),"")</f>
        <v/>
      </c>
      <c r="V30">
        <f>IFERROR(IF(ISNUMBER(INDEX(SPPR!$E:$X,MATCH($A30,SPPR!$A:$A,0),19)),$C30*INDEX(SPPR!$E:$X,MATCH($A30,SPPR!$A:$A,0),19),""),"")</f>
        <v/>
      </c>
      <c r="W30">
        <f>IFERROR(IF(ISNUMBER(INDEX(SPPR!$E:$X,MATCH($A30,SPPR!$A:$A,0),20)),$C30*INDEX(SPPR!$E:$X,MATCH($A30,SPPR!$A:$A,0),20),""),"")</f>
        <v/>
      </c>
    </row>
    <row r="31">
      <c r="A31" t="inlineStr">
        <is>
          <t>Cancer pagurus</t>
        </is>
      </c>
      <c r="B31">
        <f>IFERROR(INDEX(SPPR!$D:$D,MATCH($A31,SPPR!$A:$A,0)),"")</f>
        <v/>
      </c>
      <c r="C31">
        <f>IFERROR(INDEX(Catch!$E:$BV,MATCH($A31,Catch!$A:$A,0),MATCH($B$4,Catch!$E$1:$BV$1,0)),0)</f>
        <v/>
      </c>
      <c r="D31">
        <f>IFERROR(IF(ISNUMBER(INDEX(SPPR!$E:$X,MATCH($A31,SPPR!$A:$A,0),1)),$C31*INDEX(SPPR!$E:$X,MATCH($A31,SPPR!$A:$A,0),1),""),"")</f>
        <v/>
      </c>
      <c r="E31">
        <f>IFERROR(IF(ISNUMBER(INDEX(SPPR!$E:$X,MATCH($A31,SPPR!$A:$A,0),2)),$C31*INDEX(SPPR!$E:$X,MATCH($A31,SPPR!$A:$A,0),2),""),"")</f>
        <v/>
      </c>
      <c r="F31">
        <f>IFERROR(IF(ISNUMBER(INDEX(SPPR!$E:$X,MATCH($A31,SPPR!$A:$A,0),3)),$C31*INDEX(SPPR!$E:$X,MATCH($A31,SPPR!$A:$A,0),3),""),"")</f>
        <v/>
      </c>
      <c r="G31">
        <f>IFERROR(IF(ISNUMBER(INDEX(SPPR!$E:$X,MATCH($A31,SPPR!$A:$A,0),4)),$C31*INDEX(SPPR!$E:$X,MATCH($A31,SPPR!$A:$A,0),4),""),"")</f>
        <v/>
      </c>
      <c r="H31">
        <f>IFERROR(IF(ISNUMBER(INDEX(SPPR!$E:$X,MATCH($A31,SPPR!$A:$A,0),5)),$C31*INDEX(SPPR!$E:$X,MATCH($A31,SPPR!$A:$A,0),5),""),"")</f>
        <v/>
      </c>
      <c r="I31">
        <f>IFERROR(IF(ISNUMBER(INDEX(SPPR!$E:$X,MATCH($A31,SPPR!$A:$A,0),6)),$C31*INDEX(SPPR!$E:$X,MATCH($A31,SPPR!$A:$A,0),6),""),"")</f>
        <v/>
      </c>
      <c r="J31">
        <f>IFERROR(IF(ISNUMBER(INDEX(SPPR!$E:$X,MATCH($A31,SPPR!$A:$A,0),7)),$C31*INDEX(SPPR!$E:$X,MATCH($A31,SPPR!$A:$A,0),7),""),"")</f>
        <v/>
      </c>
      <c r="K31">
        <f>IFERROR(IF(ISNUMBER(INDEX(SPPR!$E:$X,MATCH($A31,SPPR!$A:$A,0),8)),$C31*INDEX(SPPR!$E:$X,MATCH($A31,SPPR!$A:$A,0),8),""),"")</f>
        <v/>
      </c>
      <c r="L31">
        <f>IFERROR(IF(ISNUMBER(INDEX(SPPR!$E:$X,MATCH($A31,SPPR!$A:$A,0),9)),$C31*INDEX(SPPR!$E:$X,MATCH($A31,SPPR!$A:$A,0),9),""),"")</f>
        <v/>
      </c>
      <c r="M31">
        <f>IFERROR(IF(ISNUMBER(INDEX(SPPR!$E:$X,MATCH($A31,SPPR!$A:$A,0),10)),$C31*INDEX(SPPR!$E:$X,MATCH($A31,SPPR!$A:$A,0),10),""),"")</f>
        <v/>
      </c>
      <c r="N31">
        <f>IFERROR(IF(ISNUMBER(INDEX(SPPR!$E:$X,MATCH($A31,SPPR!$A:$A,0),11)),$C31*INDEX(SPPR!$E:$X,MATCH($A31,SPPR!$A:$A,0),11),""),"")</f>
        <v/>
      </c>
      <c r="O31">
        <f>IFERROR(IF(ISNUMBER(INDEX(SPPR!$E:$X,MATCH($A31,SPPR!$A:$A,0),12)),$C31*INDEX(SPPR!$E:$X,MATCH($A31,SPPR!$A:$A,0),12),""),"")</f>
        <v/>
      </c>
      <c r="P31">
        <f>IFERROR(IF(ISNUMBER(INDEX(SPPR!$E:$X,MATCH($A31,SPPR!$A:$A,0),13)),$C31*INDEX(SPPR!$E:$X,MATCH($A31,SPPR!$A:$A,0),13),""),"")</f>
        <v/>
      </c>
      <c r="Q31">
        <f>IFERROR(IF(ISNUMBER(INDEX(SPPR!$E:$X,MATCH($A31,SPPR!$A:$A,0),14)),$C31*INDEX(SPPR!$E:$X,MATCH($A31,SPPR!$A:$A,0),14),""),"")</f>
        <v/>
      </c>
      <c r="R31">
        <f>IFERROR(IF(ISNUMBER(INDEX(SPPR!$E:$X,MATCH($A31,SPPR!$A:$A,0),15)),$C31*INDEX(SPPR!$E:$X,MATCH($A31,SPPR!$A:$A,0),15),""),"")</f>
        <v/>
      </c>
      <c r="S31">
        <f>IFERROR(IF(ISNUMBER(INDEX(SPPR!$E:$X,MATCH($A31,SPPR!$A:$A,0),16)),$C31*INDEX(SPPR!$E:$X,MATCH($A31,SPPR!$A:$A,0),16),""),"")</f>
        <v/>
      </c>
      <c r="T31">
        <f>IFERROR(IF(ISNUMBER(INDEX(SPPR!$E:$X,MATCH($A31,SPPR!$A:$A,0),17)),$C31*INDEX(SPPR!$E:$X,MATCH($A31,SPPR!$A:$A,0),17),""),"")</f>
        <v/>
      </c>
      <c r="U31">
        <f>IFERROR(IF(ISNUMBER(INDEX(SPPR!$E:$X,MATCH($A31,SPPR!$A:$A,0),18)),$C31*INDEX(SPPR!$E:$X,MATCH($A31,SPPR!$A:$A,0),18),""),"")</f>
        <v/>
      </c>
      <c r="V31">
        <f>IFERROR(IF(ISNUMBER(INDEX(SPPR!$E:$X,MATCH($A31,SPPR!$A:$A,0),19)),$C31*INDEX(SPPR!$E:$X,MATCH($A31,SPPR!$A:$A,0),19),""),"")</f>
        <v/>
      </c>
      <c r="W31">
        <f>IFERROR(IF(ISNUMBER(INDEX(SPPR!$E:$X,MATCH($A31,SPPR!$A:$A,0),20)),$C31*INDEX(SPPR!$E:$X,MATCH($A31,SPPR!$A:$A,0),20),""),"")</f>
        <v/>
      </c>
    </row>
    <row r="32">
      <c r="A32" t="inlineStr">
        <is>
          <t>Eutrigla gurnardus</t>
        </is>
      </c>
      <c r="B32">
        <f>IFERROR(INDEX(SPPR!$D:$D,MATCH($A32,SPPR!$A:$A,0)),"")</f>
        <v/>
      </c>
      <c r="C32">
        <f>IFERROR(INDEX(Catch!$E:$BV,MATCH($A32,Catch!$A:$A,0),MATCH($B$4,Catch!$E$1:$BV$1,0)),0)</f>
        <v/>
      </c>
      <c r="D32">
        <f>IFERROR(IF(ISNUMBER(INDEX(SPPR!$E:$X,MATCH($A32,SPPR!$A:$A,0),1)),$C32*INDEX(SPPR!$E:$X,MATCH($A32,SPPR!$A:$A,0),1),""),"")</f>
        <v/>
      </c>
      <c r="E32">
        <f>IFERROR(IF(ISNUMBER(INDEX(SPPR!$E:$X,MATCH($A32,SPPR!$A:$A,0),2)),$C32*INDEX(SPPR!$E:$X,MATCH($A32,SPPR!$A:$A,0),2),""),"")</f>
        <v/>
      </c>
      <c r="F32">
        <f>IFERROR(IF(ISNUMBER(INDEX(SPPR!$E:$X,MATCH($A32,SPPR!$A:$A,0),3)),$C32*INDEX(SPPR!$E:$X,MATCH($A32,SPPR!$A:$A,0),3),""),"")</f>
        <v/>
      </c>
      <c r="G32">
        <f>IFERROR(IF(ISNUMBER(INDEX(SPPR!$E:$X,MATCH($A32,SPPR!$A:$A,0),4)),$C32*INDEX(SPPR!$E:$X,MATCH($A32,SPPR!$A:$A,0),4),""),"")</f>
        <v/>
      </c>
      <c r="H32">
        <f>IFERROR(IF(ISNUMBER(INDEX(SPPR!$E:$X,MATCH($A32,SPPR!$A:$A,0),5)),$C32*INDEX(SPPR!$E:$X,MATCH($A32,SPPR!$A:$A,0),5),""),"")</f>
        <v/>
      </c>
      <c r="I32">
        <f>IFERROR(IF(ISNUMBER(INDEX(SPPR!$E:$X,MATCH($A32,SPPR!$A:$A,0),6)),$C32*INDEX(SPPR!$E:$X,MATCH($A32,SPPR!$A:$A,0),6),""),"")</f>
        <v/>
      </c>
      <c r="J32">
        <f>IFERROR(IF(ISNUMBER(INDEX(SPPR!$E:$X,MATCH($A32,SPPR!$A:$A,0),7)),$C32*INDEX(SPPR!$E:$X,MATCH($A32,SPPR!$A:$A,0),7),""),"")</f>
        <v/>
      </c>
      <c r="K32">
        <f>IFERROR(IF(ISNUMBER(INDEX(SPPR!$E:$X,MATCH($A32,SPPR!$A:$A,0),8)),$C32*INDEX(SPPR!$E:$X,MATCH($A32,SPPR!$A:$A,0),8),""),"")</f>
        <v/>
      </c>
      <c r="L32">
        <f>IFERROR(IF(ISNUMBER(INDEX(SPPR!$E:$X,MATCH($A32,SPPR!$A:$A,0),9)),$C32*INDEX(SPPR!$E:$X,MATCH($A32,SPPR!$A:$A,0),9),""),"")</f>
        <v/>
      </c>
      <c r="M32">
        <f>IFERROR(IF(ISNUMBER(INDEX(SPPR!$E:$X,MATCH($A32,SPPR!$A:$A,0),10)),$C32*INDEX(SPPR!$E:$X,MATCH($A32,SPPR!$A:$A,0),10),""),"")</f>
        <v/>
      </c>
      <c r="N32">
        <f>IFERROR(IF(ISNUMBER(INDEX(SPPR!$E:$X,MATCH($A32,SPPR!$A:$A,0),11)),$C32*INDEX(SPPR!$E:$X,MATCH($A32,SPPR!$A:$A,0),11),""),"")</f>
        <v/>
      </c>
      <c r="O32">
        <f>IFERROR(IF(ISNUMBER(INDEX(SPPR!$E:$X,MATCH($A32,SPPR!$A:$A,0),12)),$C32*INDEX(SPPR!$E:$X,MATCH($A32,SPPR!$A:$A,0),12),""),"")</f>
        <v/>
      </c>
      <c r="P32">
        <f>IFERROR(IF(ISNUMBER(INDEX(SPPR!$E:$X,MATCH($A32,SPPR!$A:$A,0),13)),$C32*INDEX(SPPR!$E:$X,MATCH($A32,SPPR!$A:$A,0),13),""),"")</f>
        <v/>
      </c>
      <c r="Q32">
        <f>IFERROR(IF(ISNUMBER(INDEX(SPPR!$E:$X,MATCH($A32,SPPR!$A:$A,0),14)),$C32*INDEX(SPPR!$E:$X,MATCH($A32,SPPR!$A:$A,0),14),""),"")</f>
        <v/>
      </c>
      <c r="R32">
        <f>IFERROR(IF(ISNUMBER(INDEX(SPPR!$E:$X,MATCH($A32,SPPR!$A:$A,0),15)),$C32*INDEX(SPPR!$E:$X,MATCH($A32,SPPR!$A:$A,0),15),""),"")</f>
        <v/>
      </c>
      <c r="S32">
        <f>IFERROR(IF(ISNUMBER(INDEX(SPPR!$E:$X,MATCH($A32,SPPR!$A:$A,0),16)),$C32*INDEX(SPPR!$E:$X,MATCH($A32,SPPR!$A:$A,0),16),""),"")</f>
        <v/>
      </c>
      <c r="T32">
        <f>IFERROR(IF(ISNUMBER(INDEX(SPPR!$E:$X,MATCH($A32,SPPR!$A:$A,0),17)),$C32*INDEX(SPPR!$E:$X,MATCH($A32,SPPR!$A:$A,0),17),""),"")</f>
        <v/>
      </c>
      <c r="U32">
        <f>IFERROR(IF(ISNUMBER(INDEX(SPPR!$E:$X,MATCH($A32,SPPR!$A:$A,0),18)),$C32*INDEX(SPPR!$E:$X,MATCH($A32,SPPR!$A:$A,0),18),""),"")</f>
        <v/>
      </c>
      <c r="V32">
        <f>IFERROR(IF(ISNUMBER(INDEX(SPPR!$E:$X,MATCH($A32,SPPR!$A:$A,0),19)),$C32*INDEX(SPPR!$E:$X,MATCH($A32,SPPR!$A:$A,0),19),""),"")</f>
        <v/>
      </c>
      <c r="W32">
        <f>IFERROR(IF(ISNUMBER(INDEX(SPPR!$E:$X,MATCH($A32,SPPR!$A:$A,0),20)),$C32*INDEX(SPPR!$E:$X,MATCH($A32,SPPR!$A:$A,0),20),""),"")</f>
        <v/>
      </c>
    </row>
    <row r="33">
      <c r="A33" t="inlineStr">
        <is>
          <t>Lophius piscatorius</t>
        </is>
      </c>
      <c r="B33">
        <f>IFERROR(INDEX(SPPR!$D:$D,MATCH($A33,SPPR!$A:$A,0)),"")</f>
        <v/>
      </c>
      <c r="C33">
        <f>IFERROR(INDEX(Catch!$E:$BV,MATCH($A33,Catch!$A:$A,0),MATCH($B$4,Catch!$E$1:$BV$1,0)),0)</f>
        <v/>
      </c>
      <c r="D33">
        <f>IFERROR(IF(ISNUMBER(INDEX(SPPR!$E:$X,MATCH($A33,SPPR!$A:$A,0),1)),$C33*INDEX(SPPR!$E:$X,MATCH($A33,SPPR!$A:$A,0),1),""),"")</f>
        <v/>
      </c>
      <c r="E33">
        <f>IFERROR(IF(ISNUMBER(INDEX(SPPR!$E:$X,MATCH($A33,SPPR!$A:$A,0),2)),$C33*INDEX(SPPR!$E:$X,MATCH($A33,SPPR!$A:$A,0),2),""),"")</f>
        <v/>
      </c>
      <c r="F33">
        <f>IFERROR(IF(ISNUMBER(INDEX(SPPR!$E:$X,MATCH($A33,SPPR!$A:$A,0),3)),$C33*INDEX(SPPR!$E:$X,MATCH($A33,SPPR!$A:$A,0),3),""),"")</f>
        <v/>
      </c>
      <c r="G33">
        <f>IFERROR(IF(ISNUMBER(INDEX(SPPR!$E:$X,MATCH($A33,SPPR!$A:$A,0),4)),$C33*INDEX(SPPR!$E:$X,MATCH($A33,SPPR!$A:$A,0),4),""),"")</f>
        <v/>
      </c>
      <c r="H33">
        <f>IFERROR(IF(ISNUMBER(INDEX(SPPR!$E:$X,MATCH($A33,SPPR!$A:$A,0),5)),$C33*INDEX(SPPR!$E:$X,MATCH($A33,SPPR!$A:$A,0),5),""),"")</f>
        <v/>
      </c>
      <c r="I33">
        <f>IFERROR(IF(ISNUMBER(INDEX(SPPR!$E:$X,MATCH($A33,SPPR!$A:$A,0),6)),$C33*INDEX(SPPR!$E:$X,MATCH($A33,SPPR!$A:$A,0),6),""),"")</f>
        <v/>
      </c>
      <c r="J33">
        <f>IFERROR(IF(ISNUMBER(INDEX(SPPR!$E:$X,MATCH($A33,SPPR!$A:$A,0),7)),$C33*INDEX(SPPR!$E:$X,MATCH($A33,SPPR!$A:$A,0),7),""),"")</f>
        <v/>
      </c>
      <c r="K33">
        <f>IFERROR(IF(ISNUMBER(INDEX(SPPR!$E:$X,MATCH($A33,SPPR!$A:$A,0),8)),$C33*INDEX(SPPR!$E:$X,MATCH($A33,SPPR!$A:$A,0),8),""),"")</f>
        <v/>
      </c>
      <c r="L33">
        <f>IFERROR(IF(ISNUMBER(INDEX(SPPR!$E:$X,MATCH($A33,SPPR!$A:$A,0),9)),$C33*INDEX(SPPR!$E:$X,MATCH($A33,SPPR!$A:$A,0),9),""),"")</f>
        <v/>
      </c>
      <c r="M33">
        <f>IFERROR(IF(ISNUMBER(INDEX(SPPR!$E:$X,MATCH($A33,SPPR!$A:$A,0),10)),$C33*INDEX(SPPR!$E:$X,MATCH($A33,SPPR!$A:$A,0),10),""),"")</f>
        <v/>
      </c>
      <c r="N33">
        <f>IFERROR(IF(ISNUMBER(INDEX(SPPR!$E:$X,MATCH($A33,SPPR!$A:$A,0),11)),$C33*INDEX(SPPR!$E:$X,MATCH($A33,SPPR!$A:$A,0),11),""),"")</f>
        <v/>
      </c>
      <c r="O33">
        <f>IFERROR(IF(ISNUMBER(INDEX(SPPR!$E:$X,MATCH($A33,SPPR!$A:$A,0),12)),$C33*INDEX(SPPR!$E:$X,MATCH($A33,SPPR!$A:$A,0),12),""),"")</f>
        <v/>
      </c>
      <c r="P33">
        <f>IFERROR(IF(ISNUMBER(INDEX(SPPR!$E:$X,MATCH($A33,SPPR!$A:$A,0),13)),$C33*INDEX(SPPR!$E:$X,MATCH($A33,SPPR!$A:$A,0),13),""),"")</f>
        <v/>
      </c>
      <c r="Q33">
        <f>IFERROR(IF(ISNUMBER(INDEX(SPPR!$E:$X,MATCH($A33,SPPR!$A:$A,0),14)),$C33*INDEX(SPPR!$E:$X,MATCH($A33,SPPR!$A:$A,0),14),""),"")</f>
        <v/>
      </c>
      <c r="R33">
        <f>IFERROR(IF(ISNUMBER(INDEX(SPPR!$E:$X,MATCH($A33,SPPR!$A:$A,0),15)),$C33*INDEX(SPPR!$E:$X,MATCH($A33,SPPR!$A:$A,0),15),""),"")</f>
        <v/>
      </c>
      <c r="S33">
        <f>IFERROR(IF(ISNUMBER(INDEX(SPPR!$E:$X,MATCH($A33,SPPR!$A:$A,0),16)),$C33*INDEX(SPPR!$E:$X,MATCH($A33,SPPR!$A:$A,0),16),""),"")</f>
        <v/>
      </c>
      <c r="T33">
        <f>IFERROR(IF(ISNUMBER(INDEX(SPPR!$E:$X,MATCH($A33,SPPR!$A:$A,0),17)),$C33*INDEX(SPPR!$E:$X,MATCH($A33,SPPR!$A:$A,0),17),""),"")</f>
        <v/>
      </c>
      <c r="U33">
        <f>IFERROR(IF(ISNUMBER(INDEX(SPPR!$E:$X,MATCH($A33,SPPR!$A:$A,0),18)),$C33*INDEX(SPPR!$E:$X,MATCH($A33,SPPR!$A:$A,0),18),""),"")</f>
        <v/>
      </c>
      <c r="V33">
        <f>IFERROR(IF(ISNUMBER(INDEX(SPPR!$E:$X,MATCH($A33,SPPR!$A:$A,0),19)),$C33*INDEX(SPPR!$E:$X,MATCH($A33,SPPR!$A:$A,0),19),""),"")</f>
        <v/>
      </c>
      <c r="W33">
        <f>IFERROR(IF(ISNUMBER(INDEX(SPPR!$E:$X,MATCH($A33,SPPR!$A:$A,0),20)),$C33*INDEX(SPPR!$E:$X,MATCH($A33,SPPR!$A:$A,0),20),""),"")</f>
        <v/>
      </c>
    </row>
    <row r="34">
      <c r="A34" t="inlineStr">
        <is>
          <t>Platichthys flesus</t>
        </is>
      </c>
      <c r="B34">
        <f>IFERROR(INDEX(SPPR!$D:$D,MATCH($A34,SPPR!$A:$A,0)),"")</f>
        <v/>
      </c>
      <c r="C34">
        <f>IFERROR(INDEX(Catch!$E:$BV,MATCH($A34,Catch!$A:$A,0),MATCH($B$4,Catch!$E$1:$BV$1,0)),0)</f>
        <v/>
      </c>
      <c r="D34">
        <f>IFERROR(IF(ISNUMBER(INDEX(SPPR!$E:$X,MATCH($A34,SPPR!$A:$A,0),1)),$C34*INDEX(SPPR!$E:$X,MATCH($A34,SPPR!$A:$A,0),1),""),"")</f>
        <v/>
      </c>
      <c r="E34">
        <f>IFERROR(IF(ISNUMBER(INDEX(SPPR!$E:$X,MATCH($A34,SPPR!$A:$A,0),2)),$C34*INDEX(SPPR!$E:$X,MATCH($A34,SPPR!$A:$A,0),2),""),"")</f>
        <v/>
      </c>
      <c r="F34">
        <f>IFERROR(IF(ISNUMBER(INDEX(SPPR!$E:$X,MATCH($A34,SPPR!$A:$A,0),3)),$C34*INDEX(SPPR!$E:$X,MATCH($A34,SPPR!$A:$A,0),3),""),"")</f>
        <v/>
      </c>
      <c r="G34">
        <f>IFERROR(IF(ISNUMBER(INDEX(SPPR!$E:$X,MATCH($A34,SPPR!$A:$A,0),4)),$C34*INDEX(SPPR!$E:$X,MATCH($A34,SPPR!$A:$A,0),4),""),"")</f>
        <v/>
      </c>
      <c r="H34">
        <f>IFERROR(IF(ISNUMBER(INDEX(SPPR!$E:$X,MATCH($A34,SPPR!$A:$A,0),5)),$C34*INDEX(SPPR!$E:$X,MATCH($A34,SPPR!$A:$A,0),5),""),"")</f>
        <v/>
      </c>
      <c r="I34">
        <f>IFERROR(IF(ISNUMBER(INDEX(SPPR!$E:$X,MATCH($A34,SPPR!$A:$A,0),6)),$C34*INDEX(SPPR!$E:$X,MATCH($A34,SPPR!$A:$A,0),6),""),"")</f>
        <v/>
      </c>
      <c r="J34">
        <f>IFERROR(IF(ISNUMBER(INDEX(SPPR!$E:$X,MATCH($A34,SPPR!$A:$A,0),7)),$C34*INDEX(SPPR!$E:$X,MATCH($A34,SPPR!$A:$A,0),7),""),"")</f>
        <v/>
      </c>
      <c r="K34">
        <f>IFERROR(IF(ISNUMBER(INDEX(SPPR!$E:$X,MATCH($A34,SPPR!$A:$A,0),8)),$C34*INDEX(SPPR!$E:$X,MATCH($A34,SPPR!$A:$A,0),8),""),"")</f>
        <v/>
      </c>
      <c r="L34">
        <f>IFERROR(IF(ISNUMBER(INDEX(SPPR!$E:$X,MATCH($A34,SPPR!$A:$A,0),9)),$C34*INDEX(SPPR!$E:$X,MATCH($A34,SPPR!$A:$A,0),9),""),"")</f>
        <v/>
      </c>
      <c r="M34">
        <f>IFERROR(IF(ISNUMBER(INDEX(SPPR!$E:$X,MATCH($A34,SPPR!$A:$A,0),10)),$C34*INDEX(SPPR!$E:$X,MATCH($A34,SPPR!$A:$A,0),10),""),"")</f>
        <v/>
      </c>
      <c r="N34">
        <f>IFERROR(IF(ISNUMBER(INDEX(SPPR!$E:$X,MATCH($A34,SPPR!$A:$A,0),11)),$C34*INDEX(SPPR!$E:$X,MATCH($A34,SPPR!$A:$A,0),11),""),"")</f>
        <v/>
      </c>
      <c r="O34">
        <f>IFERROR(IF(ISNUMBER(INDEX(SPPR!$E:$X,MATCH($A34,SPPR!$A:$A,0),12)),$C34*INDEX(SPPR!$E:$X,MATCH($A34,SPPR!$A:$A,0),12),""),"")</f>
        <v/>
      </c>
      <c r="P34">
        <f>IFERROR(IF(ISNUMBER(INDEX(SPPR!$E:$X,MATCH($A34,SPPR!$A:$A,0),13)),$C34*INDEX(SPPR!$E:$X,MATCH($A34,SPPR!$A:$A,0),13),""),"")</f>
        <v/>
      </c>
      <c r="Q34">
        <f>IFERROR(IF(ISNUMBER(INDEX(SPPR!$E:$X,MATCH($A34,SPPR!$A:$A,0),14)),$C34*INDEX(SPPR!$E:$X,MATCH($A34,SPPR!$A:$A,0),14),""),"")</f>
        <v/>
      </c>
      <c r="R34">
        <f>IFERROR(IF(ISNUMBER(INDEX(SPPR!$E:$X,MATCH($A34,SPPR!$A:$A,0),15)),$C34*INDEX(SPPR!$E:$X,MATCH($A34,SPPR!$A:$A,0),15),""),"")</f>
        <v/>
      </c>
      <c r="S34">
        <f>IFERROR(IF(ISNUMBER(INDEX(SPPR!$E:$X,MATCH($A34,SPPR!$A:$A,0),16)),$C34*INDEX(SPPR!$E:$X,MATCH($A34,SPPR!$A:$A,0),16),""),"")</f>
        <v/>
      </c>
      <c r="T34">
        <f>IFERROR(IF(ISNUMBER(INDEX(SPPR!$E:$X,MATCH($A34,SPPR!$A:$A,0),17)),$C34*INDEX(SPPR!$E:$X,MATCH($A34,SPPR!$A:$A,0),17),""),"")</f>
        <v/>
      </c>
      <c r="U34">
        <f>IFERROR(IF(ISNUMBER(INDEX(SPPR!$E:$X,MATCH($A34,SPPR!$A:$A,0),18)),$C34*INDEX(SPPR!$E:$X,MATCH($A34,SPPR!$A:$A,0),18),""),"")</f>
        <v/>
      </c>
      <c r="V34">
        <f>IFERROR(IF(ISNUMBER(INDEX(SPPR!$E:$X,MATCH($A34,SPPR!$A:$A,0),19)),$C34*INDEX(SPPR!$E:$X,MATCH($A34,SPPR!$A:$A,0),19),""),"")</f>
        <v/>
      </c>
      <c r="W34">
        <f>IFERROR(IF(ISNUMBER(INDEX(SPPR!$E:$X,MATCH($A34,SPPR!$A:$A,0),20)),$C34*INDEX(SPPR!$E:$X,MATCH($A34,SPPR!$A:$A,0),20),""),"")</f>
        <v/>
      </c>
    </row>
    <row r="35">
      <c r="A35" t="inlineStr">
        <is>
          <t>Pandalus borealis</t>
        </is>
      </c>
      <c r="B35">
        <f>IFERROR(INDEX(SPPR!$D:$D,MATCH($A35,SPPR!$A:$A,0)),"")</f>
        <v/>
      </c>
      <c r="C35">
        <f>IFERROR(INDEX(Catch!$E:$BV,MATCH($A35,Catch!$A:$A,0),MATCH($B$4,Catch!$E$1:$BV$1,0)),0)</f>
        <v/>
      </c>
      <c r="D35">
        <f>IFERROR(IF(ISNUMBER(INDEX(SPPR!$E:$X,MATCH($A35,SPPR!$A:$A,0),1)),$C35*INDEX(SPPR!$E:$X,MATCH($A35,SPPR!$A:$A,0),1),""),"")</f>
        <v/>
      </c>
      <c r="E35">
        <f>IFERROR(IF(ISNUMBER(INDEX(SPPR!$E:$X,MATCH($A35,SPPR!$A:$A,0),2)),$C35*INDEX(SPPR!$E:$X,MATCH($A35,SPPR!$A:$A,0),2),""),"")</f>
        <v/>
      </c>
      <c r="F35">
        <f>IFERROR(IF(ISNUMBER(INDEX(SPPR!$E:$X,MATCH($A35,SPPR!$A:$A,0),3)),$C35*INDEX(SPPR!$E:$X,MATCH($A35,SPPR!$A:$A,0),3),""),"")</f>
        <v/>
      </c>
      <c r="G35">
        <f>IFERROR(IF(ISNUMBER(INDEX(SPPR!$E:$X,MATCH($A35,SPPR!$A:$A,0),4)),$C35*INDEX(SPPR!$E:$X,MATCH($A35,SPPR!$A:$A,0),4),""),"")</f>
        <v/>
      </c>
      <c r="H35">
        <f>IFERROR(IF(ISNUMBER(INDEX(SPPR!$E:$X,MATCH($A35,SPPR!$A:$A,0),5)),$C35*INDEX(SPPR!$E:$X,MATCH($A35,SPPR!$A:$A,0),5),""),"")</f>
        <v/>
      </c>
      <c r="I35">
        <f>IFERROR(IF(ISNUMBER(INDEX(SPPR!$E:$X,MATCH($A35,SPPR!$A:$A,0),6)),$C35*INDEX(SPPR!$E:$X,MATCH($A35,SPPR!$A:$A,0),6),""),"")</f>
        <v/>
      </c>
      <c r="J35">
        <f>IFERROR(IF(ISNUMBER(INDEX(SPPR!$E:$X,MATCH($A35,SPPR!$A:$A,0),7)),$C35*INDEX(SPPR!$E:$X,MATCH($A35,SPPR!$A:$A,0),7),""),"")</f>
        <v/>
      </c>
      <c r="K35">
        <f>IFERROR(IF(ISNUMBER(INDEX(SPPR!$E:$X,MATCH($A35,SPPR!$A:$A,0),8)),$C35*INDEX(SPPR!$E:$X,MATCH($A35,SPPR!$A:$A,0),8),""),"")</f>
        <v/>
      </c>
      <c r="L35">
        <f>IFERROR(IF(ISNUMBER(INDEX(SPPR!$E:$X,MATCH($A35,SPPR!$A:$A,0),9)),$C35*INDEX(SPPR!$E:$X,MATCH($A35,SPPR!$A:$A,0),9),""),"")</f>
        <v/>
      </c>
      <c r="M35">
        <f>IFERROR(IF(ISNUMBER(INDEX(SPPR!$E:$X,MATCH($A35,SPPR!$A:$A,0),10)),$C35*INDEX(SPPR!$E:$X,MATCH($A35,SPPR!$A:$A,0),10),""),"")</f>
        <v/>
      </c>
      <c r="N35">
        <f>IFERROR(IF(ISNUMBER(INDEX(SPPR!$E:$X,MATCH($A35,SPPR!$A:$A,0),11)),$C35*INDEX(SPPR!$E:$X,MATCH($A35,SPPR!$A:$A,0),11),""),"")</f>
        <v/>
      </c>
      <c r="O35">
        <f>IFERROR(IF(ISNUMBER(INDEX(SPPR!$E:$X,MATCH($A35,SPPR!$A:$A,0),12)),$C35*INDEX(SPPR!$E:$X,MATCH($A35,SPPR!$A:$A,0),12),""),"")</f>
        <v/>
      </c>
      <c r="P35">
        <f>IFERROR(IF(ISNUMBER(INDEX(SPPR!$E:$X,MATCH($A35,SPPR!$A:$A,0),13)),$C35*INDEX(SPPR!$E:$X,MATCH($A35,SPPR!$A:$A,0),13),""),"")</f>
        <v/>
      </c>
      <c r="Q35">
        <f>IFERROR(IF(ISNUMBER(INDEX(SPPR!$E:$X,MATCH($A35,SPPR!$A:$A,0),14)),$C35*INDEX(SPPR!$E:$X,MATCH($A35,SPPR!$A:$A,0),14),""),"")</f>
        <v/>
      </c>
      <c r="R35">
        <f>IFERROR(IF(ISNUMBER(INDEX(SPPR!$E:$X,MATCH($A35,SPPR!$A:$A,0),15)),$C35*INDEX(SPPR!$E:$X,MATCH($A35,SPPR!$A:$A,0),15),""),"")</f>
        <v/>
      </c>
      <c r="S35">
        <f>IFERROR(IF(ISNUMBER(INDEX(SPPR!$E:$X,MATCH($A35,SPPR!$A:$A,0),16)),$C35*INDEX(SPPR!$E:$X,MATCH($A35,SPPR!$A:$A,0),16),""),"")</f>
        <v/>
      </c>
      <c r="T35">
        <f>IFERROR(IF(ISNUMBER(INDEX(SPPR!$E:$X,MATCH($A35,SPPR!$A:$A,0),17)),$C35*INDEX(SPPR!$E:$X,MATCH($A35,SPPR!$A:$A,0),17),""),"")</f>
        <v/>
      </c>
      <c r="U35">
        <f>IFERROR(IF(ISNUMBER(INDEX(SPPR!$E:$X,MATCH($A35,SPPR!$A:$A,0),18)),$C35*INDEX(SPPR!$E:$X,MATCH($A35,SPPR!$A:$A,0),18),""),"")</f>
        <v/>
      </c>
      <c r="V35">
        <f>IFERROR(IF(ISNUMBER(INDEX(SPPR!$E:$X,MATCH($A35,SPPR!$A:$A,0),19)),$C35*INDEX(SPPR!$E:$X,MATCH($A35,SPPR!$A:$A,0),19),""),"")</f>
        <v/>
      </c>
      <c r="W35">
        <f>IFERROR(IF(ISNUMBER(INDEX(SPPR!$E:$X,MATCH($A35,SPPR!$A:$A,0),20)),$C35*INDEX(SPPR!$E:$X,MATCH($A35,SPPR!$A:$A,0),20),""),"")</f>
        <v/>
      </c>
    </row>
    <row r="36">
      <c r="A36" t="inlineStr">
        <is>
          <t>Coryphaenoides rupestris</t>
        </is>
      </c>
      <c r="B36">
        <f>IFERROR(INDEX(SPPR!$D:$D,MATCH($A36,SPPR!$A:$A,0)),"")</f>
        <v/>
      </c>
      <c r="C36">
        <f>IFERROR(INDEX(Catch!$E:$BV,MATCH($A36,Catch!$A:$A,0),MATCH($B$4,Catch!$E$1:$BV$1,0)),0)</f>
        <v/>
      </c>
      <c r="D36">
        <f>IFERROR(IF(ISNUMBER(INDEX(SPPR!$E:$X,MATCH($A36,SPPR!$A:$A,0),1)),$C36*INDEX(SPPR!$E:$X,MATCH($A36,SPPR!$A:$A,0),1),""),"")</f>
        <v/>
      </c>
      <c r="E36">
        <f>IFERROR(IF(ISNUMBER(INDEX(SPPR!$E:$X,MATCH($A36,SPPR!$A:$A,0),2)),$C36*INDEX(SPPR!$E:$X,MATCH($A36,SPPR!$A:$A,0),2),""),"")</f>
        <v/>
      </c>
      <c r="F36">
        <f>IFERROR(IF(ISNUMBER(INDEX(SPPR!$E:$X,MATCH($A36,SPPR!$A:$A,0),3)),$C36*INDEX(SPPR!$E:$X,MATCH($A36,SPPR!$A:$A,0),3),""),"")</f>
        <v/>
      </c>
      <c r="G36">
        <f>IFERROR(IF(ISNUMBER(INDEX(SPPR!$E:$X,MATCH($A36,SPPR!$A:$A,0),4)),$C36*INDEX(SPPR!$E:$X,MATCH($A36,SPPR!$A:$A,0),4),""),"")</f>
        <v/>
      </c>
      <c r="H36">
        <f>IFERROR(IF(ISNUMBER(INDEX(SPPR!$E:$X,MATCH($A36,SPPR!$A:$A,0),5)),$C36*INDEX(SPPR!$E:$X,MATCH($A36,SPPR!$A:$A,0),5),""),"")</f>
        <v/>
      </c>
      <c r="I36">
        <f>IFERROR(IF(ISNUMBER(INDEX(SPPR!$E:$X,MATCH($A36,SPPR!$A:$A,0),6)),$C36*INDEX(SPPR!$E:$X,MATCH($A36,SPPR!$A:$A,0),6),""),"")</f>
        <v/>
      </c>
      <c r="J36">
        <f>IFERROR(IF(ISNUMBER(INDEX(SPPR!$E:$X,MATCH($A36,SPPR!$A:$A,0),7)),$C36*INDEX(SPPR!$E:$X,MATCH($A36,SPPR!$A:$A,0),7),""),"")</f>
        <v/>
      </c>
      <c r="K36">
        <f>IFERROR(IF(ISNUMBER(INDEX(SPPR!$E:$X,MATCH($A36,SPPR!$A:$A,0),8)),$C36*INDEX(SPPR!$E:$X,MATCH($A36,SPPR!$A:$A,0),8),""),"")</f>
        <v/>
      </c>
      <c r="L36">
        <f>IFERROR(IF(ISNUMBER(INDEX(SPPR!$E:$X,MATCH($A36,SPPR!$A:$A,0),9)),$C36*INDEX(SPPR!$E:$X,MATCH($A36,SPPR!$A:$A,0),9),""),"")</f>
        <v/>
      </c>
      <c r="M36">
        <f>IFERROR(IF(ISNUMBER(INDEX(SPPR!$E:$X,MATCH($A36,SPPR!$A:$A,0),10)),$C36*INDEX(SPPR!$E:$X,MATCH($A36,SPPR!$A:$A,0),10),""),"")</f>
        <v/>
      </c>
      <c r="N36">
        <f>IFERROR(IF(ISNUMBER(INDEX(SPPR!$E:$X,MATCH($A36,SPPR!$A:$A,0),11)),$C36*INDEX(SPPR!$E:$X,MATCH($A36,SPPR!$A:$A,0),11),""),"")</f>
        <v/>
      </c>
      <c r="O36">
        <f>IFERROR(IF(ISNUMBER(INDEX(SPPR!$E:$X,MATCH($A36,SPPR!$A:$A,0),12)),$C36*INDEX(SPPR!$E:$X,MATCH($A36,SPPR!$A:$A,0),12),""),"")</f>
        <v/>
      </c>
      <c r="P36">
        <f>IFERROR(IF(ISNUMBER(INDEX(SPPR!$E:$X,MATCH($A36,SPPR!$A:$A,0),13)),$C36*INDEX(SPPR!$E:$X,MATCH($A36,SPPR!$A:$A,0),13),""),"")</f>
        <v/>
      </c>
      <c r="Q36">
        <f>IFERROR(IF(ISNUMBER(INDEX(SPPR!$E:$X,MATCH($A36,SPPR!$A:$A,0),14)),$C36*INDEX(SPPR!$E:$X,MATCH($A36,SPPR!$A:$A,0),14),""),"")</f>
        <v/>
      </c>
      <c r="R36">
        <f>IFERROR(IF(ISNUMBER(INDEX(SPPR!$E:$X,MATCH($A36,SPPR!$A:$A,0),15)),$C36*INDEX(SPPR!$E:$X,MATCH($A36,SPPR!$A:$A,0),15),""),"")</f>
        <v/>
      </c>
      <c r="S36">
        <f>IFERROR(IF(ISNUMBER(INDEX(SPPR!$E:$X,MATCH($A36,SPPR!$A:$A,0),16)),$C36*INDEX(SPPR!$E:$X,MATCH($A36,SPPR!$A:$A,0),16),""),"")</f>
        <v/>
      </c>
      <c r="T36">
        <f>IFERROR(IF(ISNUMBER(INDEX(SPPR!$E:$X,MATCH($A36,SPPR!$A:$A,0),17)),$C36*INDEX(SPPR!$E:$X,MATCH($A36,SPPR!$A:$A,0),17),""),"")</f>
        <v/>
      </c>
      <c r="U36">
        <f>IFERROR(IF(ISNUMBER(INDEX(SPPR!$E:$X,MATCH($A36,SPPR!$A:$A,0),18)),$C36*INDEX(SPPR!$E:$X,MATCH($A36,SPPR!$A:$A,0),18),""),"")</f>
        <v/>
      </c>
      <c r="V36">
        <f>IFERROR(IF(ISNUMBER(INDEX(SPPR!$E:$X,MATCH($A36,SPPR!$A:$A,0),19)),$C36*INDEX(SPPR!$E:$X,MATCH($A36,SPPR!$A:$A,0),19),""),"")</f>
        <v/>
      </c>
      <c r="W36">
        <f>IFERROR(IF(ISNUMBER(INDEX(SPPR!$E:$X,MATCH($A36,SPPR!$A:$A,0),20)),$C36*INDEX(SPPR!$E:$X,MATCH($A36,SPPR!$A:$A,0),20),""),"")</f>
        <v/>
      </c>
    </row>
    <row r="37">
      <c r="A37" t="inlineStr">
        <is>
          <t>Microstomus kitt</t>
        </is>
      </c>
      <c r="B37">
        <f>IFERROR(INDEX(SPPR!$D:$D,MATCH($A37,SPPR!$A:$A,0)),"")</f>
        <v/>
      </c>
      <c r="C37">
        <f>IFERROR(INDEX(Catch!$E:$BV,MATCH($A37,Catch!$A:$A,0),MATCH($B$4,Catch!$E$1:$BV$1,0)),0)</f>
        <v/>
      </c>
      <c r="D37">
        <f>IFERROR(IF(ISNUMBER(INDEX(SPPR!$E:$X,MATCH($A37,SPPR!$A:$A,0),1)),$C37*INDEX(SPPR!$E:$X,MATCH($A37,SPPR!$A:$A,0),1),""),"")</f>
        <v/>
      </c>
      <c r="E37">
        <f>IFERROR(IF(ISNUMBER(INDEX(SPPR!$E:$X,MATCH($A37,SPPR!$A:$A,0),2)),$C37*INDEX(SPPR!$E:$X,MATCH($A37,SPPR!$A:$A,0),2),""),"")</f>
        <v/>
      </c>
      <c r="F37">
        <f>IFERROR(IF(ISNUMBER(INDEX(SPPR!$E:$X,MATCH($A37,SPPR!$A:$A,0),3)),$C37*INDEX(SPPR!$E:$X,MATCH($A37,SPPR!$A:$A,0),3),""),"")</f>
        <v/>
      </c>
      <c r="G37">
        <f>IFERROR(IF(ISNUMBER(INDEX(SPPR!$E:$X,MATCH($A37,SPPR!$A:$A,0),4)),$C37*INDEX(SPPR!$E:$X,MATCH($A37,SPPR!$A:$A,0),4),""),"")</f>
        <v/>
      </c>
      <c r="H37">
        <f>IFERROR(IF(ISNUMBER(INDEX(SPPR!$E:$X,MATCH($A37,SPPR!$A:$A,0),5)),$C37*INDEX(SPPR!$E:$X,MATCH($A37,SPPR!$A:$A,0),5),""),"")</f>
        <v/>
      </c>
      <c r="I37">
        <f>IFERROR(IF(ISNUMBER(INDEX(SPPR!$E:$X,MATCH($A37,SPPR!$A:$A,0),6)),$C37*INDEX(SPPR!$E:$X,MATCH($A37,SPPR!$A:$A,0),6),""),"")</f>
        <v/>
      </c>
      <c r="J37">
        <f>IFERROR(IF(ISNUMBER(INDEX(SPPR!$E:$X,MATCH($A37,SPPR!$A:$A,0),7)),$C37*INDEX(SPPR!$E:$X,MATCH($A37,SPPR!$A:$A,0),7),""),"")</f>
        <v/>
      </c>
      <c r="K37">
        <f>IFERROR(IF(ISNUMBER(INDEX(SPPR!$E:$X,MATCH($A37,SPPR!$A:$A,0),8)),$C37*INDEX(SPPR!$E:$X,MATCH($A37,SPPR!$A:$A,0),8),""),"")</f>
        <v/>
      </c>
      <c r="L37">
        <f>IFERROR(IF(ISNUMBER(INDEX(SPPR!$E:$X,MATCH($A37,SPPR!$A:$A,0),9)),$C37*INDEX(SPPR!$E:$X,MATCH($A37,SPPR!$A:$A,0),9),""),"")</f>
        <v/>
      </c>
      <c r="M37">
        <f>IFERROR(IF(ISNUMBER(INDEX(SPPR!$E:$X,MATCH($A37,SPPR!$A:$A,0),10)),$C37*INDEX(SPPR!$E:$X,MATCH($A37,SPPR!$A:$A,0),10),""),"")</f>
        <v/>
      </c>
      <c r="N37">
        <f>IFERROR(IF(ISNUMBER(INDEX(SPPR!$E:$X,MATCH($A37,SPPR!$A:$A,0),11)),$C37*INDEX(SPPR!$E:$X,MATCH($A37,SPPR!$A:$A,0),11),""),"")</f>
        <v/>
      </c>
      <c r="O37">
        <f>IFERROR(IF(ISNUMBER(INDEX(SPPR!$E:$X,MATCH($A37,SPPR!$A:$A,0),12)),$C37*INDEX(SPPR!$E:$X,MATCH($A37,SPPR!$A:$A,0),12),""),"")</f>
        <v/>
      </c>
      <c r="P37">
        <f>IFERROR(IF(ISNUMBER(INDEX(SPPR!$E:$X,MATCH($A37,SPPR!$A:$A,0),13)),$C37*INDEX(SPPR!$E:$X,MATCH($A37,SPPR!$A:$A,0),13),""),"")</f>
        <v/>
      </c>
      <c r="Q37">
        <f>IFERROR(IF(ISNUMBER(INDEX(SPPR!$E:$X,MATCH($A37,SPPR!$A:$A,0),14)),$C37*INDEX(SPPR!$E:$X,MATCH($A37,SPPR!$A:$A,0),14),""),"")</f>
        <v/>
      </c>
      <c r="R37">
        <f>IFERROR(IF(ISNUMBER(INDEX(SPPR!$E:$X,MATCH($A37,SPPR!$A:$A,0),15)),$C37*INDEX(SPPR!$E:$X,MATCH($A37,SPPR!$A:$A,0),15),""),"")</f>
        <v/>
      </c>
      <c r="S37">
        <f>IFERROR(IF(ISNUMBER(INDEX(SPPR!$E:$X,MATCH($A37,SPPR!$A:$A,0),16)),$C37*INDEX(SPPR!$E:$X,MATCH($A37,SPPR!$A:$A,0),16),""),"")</f>
        <v/>
      </c>
      <c r="T37">
        <f>IFERROR(IF(ISNUMBER(INDEX(SPPR!$E:$X,MATCH($A37,SPPR!$A:$A,0),17)),$C37*INDEX(SPPR!$E:$X,MATCH($A37,SPPR!$A:$A,0),17),""),"")</f>
        <v/>
      </c>
      <c r="U37">
        <f>IFERROR(IF(ISNUMBER(INDEX(SPPR!$E:$X,MATCH($A37,SPPR!$A:$A,0),18)),$C37*INDEX(SPPR!$E:$X,MATCH($A37,SPPR!$A:$A,0),18),""),"")</f>
        <v/>
      </c>
      <c r="V37">
        <f>IFERROR(IF(ISNUMBER(INDEX(SPPR!$E:$X,MATCH($A37,SPPR!$A:$A,0),19)),$C37*INDEX(SPPR!$E:$X,MATCH($A37,SPPR!$A:$A,0),19),""),"")</f>
        <v/>
      </c>
      <c r="W37">
        <f>IFERROR(IF(ISNUMBER(INDEX(SPPR!$E:$X,MATCH($A37,SPPR!$A:$A,0),20)),$C37*INDEX(SPPR!$E:$X,MATCH($A37,SPPR!$A:$A,0),20),""),"")</f>
        <v/>
      </c>
    </row>
    <row r="38">
      <c r="A38" t="inlineStr">
        <is>
          <t>Merluccius merluccius</t>
        </is>
      </c>
      <c r="B38">
        <f>IFERROR(INDEX(SPPR!$D:$D,MATCH($A38,SPPR!$A:$A,0)),"")</f>
        <v/>
      </c>
      <c r="C38">
        <f>IFERROR(INDEX(Catch!$E:$BV,MATCH($A38,Catch!$A:$A,0),MATCH($B$4,Catch!$E$1:$BV$1,0)),0)</f>
        <v/>
      </c>
      <c r="D38">
        <f>IFERROR(IF(ISNUMBER(INDEX(SPPR!$E:$X,MATCH($A38,SPPR!$A:$A,0),1)),$C38*INDEX(SPPR!$E:$X,MATCH($A38,SPPR!$A:$A,0),1),""),"")</f>
        <v/>
      </c>
      <c r="E38">
        <f>IFERROR(IF(ISNUMBER(INDEX(SPPR!$E:$X,MATCH($A38,SPPR!$A:$A,0),2)),$C38*INDEX(SPPR!$E:$X,MATCH($A38,SPPR!$A:$A,0),2),""),"")</f>
        <v/>
      </c>
      <c r="F38">
        <f>IFERROR(IF(ISNUMBER(INDEX(SPPR!$E:$X,MATCH($A38,SPPR!$A:$A,0),3)),$C38*INDEX(SPPR!$E:$X,MATCH($A38,SPPR!$A:$A,0),3),""),"")</f>
        <v/>
      </c>
      <c r="G38">
        <f>IFERROR(IF(ISNUMBER(INDEX(SPPR!$E:$X,MATCH($A38,SPPR!$A:$A,0),4)),$C38*INDEX(SPPR!$E:$X,MATCH($A38,SPPR!$A:$A,0),4),""),"")</f>
        <v/>
      </c>
      <c r="H38">
        <f>IFERROR(IF(ISNUMBER(INDEX(SPPR!$E:$X,MATCH($A38,SPPR!$A:$A,0),5)),$C38*INDEX(SPPR!$E:$X,MATCH($A38,SPPR!$A:$A,0),5),""),"")</f>
        <v/>
      </c>
      <c r="I38">
        <f>IFERROR(IF(ISNUMBER(INDEX(SPPR!$E:$X,MATCH($A38,SPPR!$A:$A,0),6)),$C38*INDEX(SPPR!$E:$X,MATCH($A38,SPPR!$A:$A,0),6),""),"")</f>
        <v/>
      </c>
      <c r="J38">
        <f>IFERROR(IF(ISNUMBER(INDEX(SPPR!$E:$X,MATCH($A38,SPPR!$A:$A,0),7)),$C38*INDEX(SPPR!$E:$X,MATCH($A38,SPPR!$A:$A,0),7),""),"")</f>
        <v/>
      </c>
      <c r="K38">
        <f>IFERROR(IF(ISNUMBER(INDEX(SPPR!$E:$X,MATCH($A38,SPPR!$A:$A,0),8)),$C38*INDEX(SPPR!$E:$X,MATCH($A38,SPPR!$A:$A,0),8),""),"")</f>
        <v/>
      </c>
      <c r="L38">
        <f>IFERROR(IF(ISNUMBER(INDEX(SPPR!$E:$X,MATCH($A38,SPPR!$A:$A,0),9)),$C38*INDEX(SPPR!$E:$X,MATCH($A38,SPPR!$A:$A,0),9),""),"")</f>
        <v/>
      </c>
      <c r="M38">
        <f>IFERROR(IF(ISNUMBER(INDEX(SPPR!$E:$X,MATCH($A38,SPPR!$A:$A,0),10)),$C38*INDEX(SPPR!$E:$X,MATCH($A38,SPPR!$A:$A,0),10),""),"")</f>
        <v/>
      </c>
      <c r="N38">
        <f>IFERROR(IF(ISNUMBER(INDEX(SPPR!$E:$X,MATCH($A38,SPPR!$A:$A,0),11)),$C38*INDEX(SPPR!$E:$X,MATCH($A38,SPPR!$A:$A,0),11),""),"")</f>
        <v/>
      </c>
      <c r="O38">
        <f>IFERROR(IF(ISNUMBER(INDEX(SPPR!$E:$X,MATCH($A38,SPPR!$A:$A,0),12)),$C38*INDEX(SPPR!$E:$X,MATCH($A38,SPPR!$A:$A,0),12),""),"")</f>
        <v/>
      </c>
      <c r="P38">
        <f>IFERROR(IF(ISNUMBER(INDEX(SPPR!$E:$X,MATCH($A38,SPPR!$A:$A,0),13)),$C38*INDEX(SPPR!$E:$X,MATCH($A38,SPPR!$A:$A,0),13),""),"")</f>
        <v/>
      </c>
      <c r="Q38">
        <f>IFERROR(IF(ISNUMBER(INDEX(SPPR!$E:$X,MATCH($A38,SPPR!$A:$A,0),14)),$C38*INDEX(SPPR!$E:$X,MATCH($A38,SPPR!$A:$A,0),14),""),"")</f>
        <v/>
      </c>
      <c r="R38">
        <f>IFERROR(IF(ISNUMBER(INDEX(SPPR!$E:$X,MATCH($A38,SPPR!$A:$A,0),15)),$C38*INDEX(SPPR!$E:$X,MATCH($A38,SPPR!$A:$A,0),15),""),"")</f>
        <v/>
      </c>
      <c r="S38">
        <f>IFERROR(IF(ISNUMBER(INDEX(SPPR!$E:$X,MATCH($A38,SPPR!$A:$A,0),16)),$C38*INDEX(SPPR!$E:$X,MATCH($A38,SPPR!$A:$A,0),16),""),"")</f>
        <v/>
      </c>
      <c r="T38">
        <f>IFERROR(IF(ISNUMBER(INDEX(SPPR!$E:$X,MATCH($A38,SPPR!$A:$A,0),17)),$C38*INDEX(SPPR!$E:$X,MATCH($A38,SPPR!$A:$A,0),17),""),"")</f>
        <v/>
      </c>
      <c r="U38">
        <f>IFERROR(IF(ISNUMBER(INDEX(SPPR!$E:$X,MATCH($A38,SPPR!$A:$A,0),18)),$C38*INDEX(SPPR!$E:$X,MATCH($A38,SPPR!$A:$A,0),18),""),"")</f>
        <v/>
      </c>
      <c r="V38">
        <f>IFERROR(IF(ISNUMBER(INDEX(SPPR!$E:$X,MATCH($A38,SPPR!$A:$A,0),19)),$C38*INDEX(SPPR!$E:$X,MATCH($A38,SPPR!$A:$A,0),19),""),"")</f>
        <v/>
      </c>
      <c r="W38">
        <f>IFERROR(IF(ISNUMBER(INDEX(SPPR!$E:$X,MATCH($A38,SPPR!$A:$A,0),20)),$C38*INDEX(SPPR!$E:$X,MATCH($A38,SPPR!$A:$A,0),20),""),"")</f>
        <v/>
      </c>
    </row>
    <row r="39">
      <c r="A39" t="inlineStr">
        <is>
          <t>Scophthalmus maximus</t>
        </is>
      </c>
      <c r="B39">
        <f>IFERROR(INDEX(SPPR!$D:$D,MATCH($A39,SPPR!$A:$A,0)),"")</f>
        <v/>
      </c>
      <c r="C39">
        <f>IFERROR(INDEX(Catch!$E:$BV,MATCH($A39,Catch!$A:$A,0),MATCH($B$4,Catch!$E$1:$BV$1,0)),0)</f>
        <v/>
      </c>
      <c r="D39">
        <f>IFERROR(IF(ISNUMBER(INDEX(SPPR!$E:$X,MATCH($A39,SPPR!$A:$A,0),1)),$C39*INDEX(SPPR!$E:$X,MATCH($A39,SPPR!$A:$A,0),1),""),"")</f>
        <v/>
      </c>
      <c r="E39">
        <f>IFERROR(IF(ISNUMBER(INDEX(SPPR!$E:$X,MATCH($A39,SPPR!$A:$A,0),2)),$C39*INDEX(SPPR!$E:$X,MATCH($A39,SPPR!$A:$A,0),2),""),"")</f>
        <v/>
      </c>
      <c r="F39">
        <f>IFERROR(IF(ISNUMBER(INDEX(SPPR!$E:$X,MATCH($A39,SPPR!$A:$A,0),3)),$C39*INDEX(SPPR!$E:$X,MATCH($A39,SPPR!$A:$A,0),3),""),"")</f>
        <v/>
      </c>
      <c r="G39">
        <f>IFERROR(IF(ISNUMBER(INDEX(SPPR!$E:$X,MATCH($A39,SPPR!$A:$A,0),4)),$C39*INDEX(SPPR!$E:$X,MATCH($A39,SPPR!$A:$A,0),4),""),"")</f>
        <v/>
      </c>
      <c r="H39">
        <f>IFERROR(IF(ISNUMBER(INDEX(SPPR!$E:$X,MATCH($A39,SPPR!$A:$A,0),5)),$C39*INDEX(SPPR!$E:$X,MATCH($A39,SPPR!$A:$A,0),5),""),"")</f>
        <v/>
      </c>
      <c r="I39">
        <f>IFERROR(IF(ISNUMBER(INDEX(SPPR!$E:$X,MATCH($A39,SPPR!$A:$A,0),6)),$C39*INDEX(SPPR!$E:$X,MATCH($A39,SPPR!$A:$A,0),6),""),"")</f>
        <v/>
      </c>
      <c r="J39">
        <f>IFERROR(IF(ISNUMBER(INDEX(SPPR!$E:$X,MATCH($A39,SPPR!$A:$A,0),7)),$C39*INDEX(SPPR!$E:$X,MATCH($A39,SPPR!$A:$A,0),7),""),"")</f>
        <v/>
      </c>
      <c r="K39">
        <f>IFERROR(IF(ISNUMBER(INDEX(SPPR!$E:$X,MATCH($A39,SPPR!$A:$A,0),8)),$C39*INDEX(SPPR!$E:$X,MATCH($A39,SPPR!$A:$A,0),8),""),"")</f>
        <v/>
      </c>
      <c r="L39">
        <f>IFERROR(IF(ISNUMBER(INDEX(SPPR!$E:$X,MATCH($A39,SPPR!$A:$A,0),9)),$C39*INDEX(SPPR!$E:$X,MATCH($A39,SPPR!$A:$A,0),9),""),"")</f>
        <v/>
      </c>
      <c r="M39">
        <f>IFERROR(IF(ISNUMBER(INDEX(SPPR!$E:$X,MATCH($A39,SPPR!$A:$A,0),10)),$C39*INDEX(SPPR!$E:$X,MATCH($A39,SPPR!$A:$A,0),10),""),"")</f>
        <v/>
      </c>
      <c r="N39">
        <f>IFERROR(IF(ISNUMBER(INDEX(SPPR!$E:$X,MATCH($A39,SPPR!$A:$A,0),11)),$C39*INDEX(SPPR!$E:$X,MATCH($A39,SPPR!$A:$A,0),11),""),"")</f>
        <v/>
      </c>
      <c r="O39">
        <f>IFERROR(IF(ISNUMBER(INDEX(SPPR!$E:$X,MATCH($A39,SPPR!$A:$A,0),12)),$C39*INDEX(SPPR!$E:$X,MATCH($A39,SPPR!$A:$A,0),12),""),"")</f>
        <v/>
      </c>
      <c r="P39">
        <f>IFERROR(IF(ISNUMBER(INDEX(SPPR!$E:$X,MATCH($A39,SPPR!$A:$A,0),13)),$C39*INDEX(SPPR!$E:$X,MATCH($A39,SPPR!$A:$A,0),13),""),"")</f>
        <v/>
      </c>
      <c r="Q39">
        <f>IFERROR(IF(ISNUMBER(INDEX(SPPR!$E:$X,MATCH($A39,SPPR!$A:$A,0),14)),$C39*INDEX(SPPR!$E:$X,MATCH($A39,SPPR!$A:$A,0),14),""),"")</f>
        <v/>
      </c>
      <c r="R39">
        <f>IFERROR(IF(ISNUMBER(INDEX(SPPR!$E:$X,MATCH($A39,SPPR!$A:$A,0),15)),$C39*INDEX(SPPR!$E:$X,MATCH($A39,SPPR!$A:$A,0),15),""),"")</f>
        <v/>
      </c>
      <c r="S39">
        <f>IFERROR(IF(ISNUMBER(INDEX(SPPR!$E:$X,MATCH($A39,SPPR!$A:$A,0),16)),$C39*INDEX(SPPR!$E:$X,MATCH($A39,SPPR!$A:$A,0),16),""),"")</f>
        <v/>
      </c>
      <c r="T39">
        <f>IFERROR(IF(ISNUMBER(INDEX(SPPR!$E:$X,MATCH($A39,SPPR!$A:$A,0),17)),$C39*INDEX(SPPR!$E:$X,MATCH($A39,SPPR!$A:$A,0),17),""),"")</f>
        <v/>
      </c>
      <c r="U39">
        <f>IFERROR(IF(ISNUMBER(INDEX(SPPR!$E:$X,MATCH($A39,SPPR!$A:$A,0),18)),$C39*INDEX(SPPR!$E:$X,MATCH($A39,SPPR!$A:$A,0),18),""),"")</f>
        <v/>
      </c>
      <c r="V39">
        <f>IFERROR(IF(ISNUMBER(INDEX(SPPR!$E:$X,MATCH($A39,SPPR!$A:$A,0),19)),$C39*INDEX(SPPR!$E:$X,MATCH($A39,SPPR!$A:$A,0),19),""),"")</f>
        <v/>
      </c>
      <c r="W39">
        <f>IFERROR(IF(ISNUMBER(INDEX(SPPR!$E:$X,MATCH($A39,SPPR!$A:$A,0),20)),$C39*INDEX(SPPR!$E:$X,MATCH($A39,SPPR!$A:$A,0),20),""),"")</f>
        <v/>
      </c>
    </row>
    <row r="40">
      <c r="A40" t="inlineStr">
        <is>
          <t>Raja</t>
        </is>
      </c>
      <c r="B40">
        <f>IFERROR(INDEX(SPPR!$D:$D,MATCH($A40,SPPR!$A:$A,0)),"")</f>
        <v/>
      </c>
      <c r="C40">
        <f>IFERROR(INDEX(Catch!$E:$BV,MATCH($A40,Catch!$A:$A,0),MATCH($B$4,Catch!$E$1:$BV$1,0)),0)</f>
        <v/>
      </c>
      <c r="D40">
        <f>IFERROR(IF(ISNUMBER(INDEX(SPPR!$E:$X,MATCH($A40,SPPR!$A:$A,0),1)),$C40*INDEX(SPPR!$E:$X,MATCH($A40,SPPR!$A:$A,0),1),""),"")</f>
        <v/>
      </c>
      <c r="E40">
        <f>IFERROR(IF(ISNUMBER(INDEX(SPPR!$E:$X,MATCH($A40,SPPR!$A:$A,0),2)),$C40*INDEX(SPPR!$E:$X,MATCH($A40,SPPR!$A:$A,0),2),""),"")</f>
        <v/>
      </c>
      <c r="F40">
        <f>IFERROR(IF(ISNUMBER(INDEX(SPPR!$E:$X,MATCH($A40,SPPR!$A:$A,0),3)),$C40*INDEX(SPPR!$E:$X,MATCH($A40,SPPR!$A:$A,0),3),""),"")</f>
        <v/>
      </c>
      <c r="G40">
        <f>IFERROR(IF(ISNUMBER(INDEX(SPPR!$E:$X,MATCH($A40,SPPR!$A:$A,0),4)),$C40*INDEX(SPPR!$E:$X,MATCH($A40,SPPR!$A:$A,0),4),""),"")</f>
        <v/>
      </c>
      <c r="H40">
        <f>IFERROR(IF(ISNUMBER(INDEX(SPPR!$E:$X,MATCH($A40,SPPR!$A:$A,0),5)),$C40*INDEX(SPPR!$E:$X,MATCH($A40,SPPR!$A:$A,0),5),""),"")</f>
        <v/>
      </c>
      <c r="I40">
        <f>IFERROR(IF(ISNUMBER(INDEX(SPPR!$E:$X,MATCH($A40,SPPR!$A:$A,0),6)),$C40*INDEX(SPPR!$E:$X,MATCH($A40,SPPR!$A:$A,0),6),""),"")</f>
        <v/>
      </c>
      <c r="J40">
        <f>IFERROR(IF(ISNUMBER(INDEX(SPPR!$E:$X,MATCH($A40,SPPR!$A:$A,0),7)),$C40*INDEX(SPPR!$E:$X,MATCH($A40,SPPR!$A:$A,0),7),""),"")</f>
        <v/>
      </c>
      <c r="K40">
        <f>IFERROR(IF(ISNUMBER(INDEX(SPPR!$E:$X,MATCH($A40,SPPR!$A:$A,0),8)),$C40*INDEX(SPPR!$E:$X,MATCH($A40,SPPR!$A:$A,0),8),""),"")</f>
        <v/>
      </c>
      <c r="L40">
        <f>IFERROR(IF(ISNUMBER(INDEX(SPPR!$E:$X,MATCH($A40,SPPR!$A:$A,0),9)),$C40*INDEX(SPPR!$E:$X,MATCH($A40,SPPR!$A:$A,0),9),""),"")</f>
        <v/>
      </c>
      <c r="M40">
        <f>IFERROR(IF(ISNUMBER(INDEX(SPPR!$E:$X,MATCH($A40,SPPR!$A:$A,0),10)),$C40*INDEX(SPPR!$E:$X,MATCH($A40,SPPR!$A:$A,0),10),""),"")</f>
        <v/>
      </c>
      <c r="N40">
        <f>IFERROR(IF(ISNUMBER(INDEX(SPPR!$E:$X,MATCH($A40,SPPR!$A:$A,0),11)),$C40*INDEX(SPPR!$E:$X,MATCH($A40,SPPR!$A:$A,0),11),""),"")</f>
        <v/>
      </c>
      <c r="O40">
        <f>IFERROR(IF(ISNUMBER(INDEX(SPPR!$E:$X,MATCH($A40,SPPR!$A:$A,0),12)),$C40*INDEX(SPPR!$E:$X,MATCH($A40,SPPR!$A:$A,0),12),""),"")</f>
        <v/>
      </c>
      <c r="P40">
        <f>IFERROR(IF(ISNUMBER(INDEX(SPPR!$E:$X,MATCH($A40,SPPR!$A:$A,0),13)),$C40*INDEX(SPPR!$E:$X,MATCH($A40,SPPR!$A:$A,0),13),""),"")</f>
        <v/>
      </c>
      <c r="Q40">
        <f>IFERROR(IF(ISNUMBER(INDEX(SPPR!$E:$X,MATCH($A40,SPPR!$A:$A,0),14)),$C40*INDEX(SPPR!$E:$X,MATCH($A40,SPPR!$A:$A,0),14),""),"")</f>
        <v/>
      </c>
      <c r="R40">
        <f>IFERROR(IF(ISNUMBER(INDEX(SPPR!$E:$X,MATCH($A40,SPPR!$A:$A,0),15)),$C40*INDEX(SPPR!$E:$X,MATCH($A40,SPPR!$A:$A,0),15),""),"")</f>
        <v/>
      </c>
      <c r="S40">
        <f>IFERROR(IF(ISNUMBER(INDEX(SPPR!$E:$X,MATCH($A40,SPPR!$A:$A,0),16)),$C40*INDEX(SPPR!$E:$X,MATCH($A40,SPPR!$A:$A,0),16),""),"")</f>
        <v/>
      </c>
      <c r="T40">
        <f>IFERROR(IF(ISNUMBER(INDEX(SPPR!$E:$X,MATCH($A40,SPPR!$A:$A,0),17)),$C40*INDEX(SPPR!$E:$X,MATCH($A40,SPPR!$A:$A,0),17),""),"")</f>
        <v/>
      </c>
      <c r="U40">
        <f>IFERROR(IF(ISNUMBER(INDEX(SPPR!$E:$X,MATCH($A40,SPPR!$A:$A,0),18)),$C40*INDEX(SPPR!$E:$X,MATCH($A40,SPPR!$A:$A,0),18),""),"")</f>
        <v/>
      </c>
      <c r="V40">
        <f>IFERROR(IF(ISNUMBER(INDEX(SPPR!$E:$X,MATCH($A40,SPPR!$A:$A,0),19)),$C40*INDEX(SPPR!$E:$X,MATCH($A40,SPPR!$A:$A,0),19),""),"")</f>
        <v/>
      </c>
      <c r="W40">
        <f>IFERROR(IF(ISNUMBER(INDEX(SPPR!$E:$X,MATCH($A40,SPPR!$A:$A,0),20)),$C40*INDEX(SPPR!$E:$X,MATCH($A40,SPPR!$A:$A,0),20),""),"")</f>
        <v/>
      </c>
    </row>
    <row r="41">
      <c r="A41" t="inlineStr">
        <is>
          <t>Brosme brosme</t>
        </is>
      </c>
      <c r="B41">
        <f>IFERROR(INDEX(SPPR!$D:$D,MATCH($A41,SPPR!$A:$A,0)),"")</f>
        <v/>
      </c>
      <c r="C41">
        <f>IFERROR(INDEX(Catch!$E:$BV,MATCH($A41,Catch!$A:$A,0),MATCH($B$4,Catch!$E$1:$BV$1,0)),0)</f>
        <v/>
      </c>
      <c r="D41">
        <f>IFERROR(IF(ISNUMBER(INDEX(SPPR!$E:$X,MATCH($A41,SPPR!$A:$A,0),1)),$C41*INDEX(SPPR!$E:$X,MATCH($A41,SPPR!$A:$A,0),1),""),"")</f>
        <v/>
      </c>
      <c r="E41">
        <f>IFERROR(IF(ISNUMBER(INDEX(SPPR!$E:$X,MATCH($A41,SPPR!$A:$A,0),2)),$C41*INDEX(SPPR!$E:$X,MATCH($A41,SPPR!$A:$A,0),2),""),"")</f>
        <v/>
      </c>
      <c r="F41">
        <f>IFERROR(IF(ISNUMBER(INDEX(SPPR!$E:$X,MATCH($A41,SPPR!$A:$A,0),3)),$C41*INDEX(SPPR!$E:$X,MATCH($A41,SPPR!$A:$A,0),3),""),"")</f>
        <v/>
      </c>
      <c r="G41">
        <f>IFERROR(IF(ISNUMBER(INDEX(SPPR!$E:$X,MATCH($A41,SPPR!$A:$A,0),4)),$C41*INDEX(SPPR!$E:$X,MATCH($A41,SPPR!$A:$A,0),4),""),"")</f>
        <v/>
      </c>
      <c r="H41">
        <f>IFERROR(IF(ISNUMBER(INDEX(SPPR!$E:$X,MATCH($A41,SPPR!$A:$A,0),5)),$C41*INDEX(SPPR!$E:$X,MATCH($A41,SPPR!$A:$A,0),5),""),"")</f>
        <v/>
      </c>
      <c r="I41">
        <f>IFERROR(IF(ISNUMBER(INDEX(SPPR!$E:$X,MATCH($A41,SPPR!$A:$A,0),6)),$C41*INDEX(SPPR!$E:$X,MATCH($A41,SPPR!$A:$A,0),6),""),"")</f>
        <v/>
      </c>
      <c r="J41">
        <f>IFERROR(IF(ISNUMBER(INDEX(SPPR!$E:$X,MATCH($A41,SPPR!$A:$A,0),7)),$C41*INDEX(SPPR!$E:$X,MATCH($A41,SPPR!$A:$A,0),7),""),"")</f>
        <v/>
      </c>
      <c r="K41">
        <f>IFERROR(IF(ISNUMBER(INDEX(SPPR!$E:$X,MATCH($A41,SPPR!$A:$A,0),8)),$C41*INDEX(SPPR!$E:$X,MATCH($A41,SPPR!$A:$A,0),8),""),"")</f>
        <v/>
      </c>
      <c r="L41">
        <f>IFERROR(IF(ISNUMBER(INDEX(SPPR!$E:$X,MATCH($A41,SPPR!$A:$A,0),9)),$C41*INDEX(SPPR!$E:$X,MATCH($A41,SPPR!$A:$A,0),9),""),"")</f>
        <v/>
      </c>
      <c r="M41">
        <f>IFERROR(IF(ISNUMBER(INDEX(SPPR!$E:$X,MATCH($A41,SPPR!$A:$A,0),10)),$C41*INDEX(SPPR!$E:$X,MATCH($A41,SPPR!$A:$A,0),10),""),"")</f>
        <v/>
      </c>
      <c r="N41">
        <f>IFERROR(IF(ISNUMBER(INDEX(SPPR!$E:$X,MATCH($A41,SPPR!$A:$A,0),11)),$C41*INDEX(SPPR!$E:$X,MATCH($A41,SPPR!$A:$A,0),11),""),"")</f>
        <v/>
      </c>
      <c r="O41">
        <f>IFERROR(IF(ISNUMBER(INDEX(SPPR!$E:$X,MATCH($A41,SPPR!$A:$A,0),12)),$C41*INDEX(SPPR!$E:$X,MATCH($A41,SPPR!$A:$A,0),12),""),"")</f>
        <v/>
      </c>
      <c r="P41">
        <f>IFERROR(IF(ISNUMBER(INDEX(SPPR!$E:$X,MATCH($A41,SPPR!$A:$A,0),13)),$C41*INDEX(SPPR!$E:$X,MATCH($A41,SPPR!$A:$A,0),13),""),"")</f>
        <v/>
      </c>
      <c r="Q41">
        <f>IFERROR(IF(ISNUMBER(INDEX(SPPR!$E:$X,MATCH($A41,SPPR!$A:$A,0),14)),$C41*INDEX(SPPR!$E:$X,MATCH($A41,SPPR!$A:$A,0),14),""),"")</f>
        <v/>
      </c>
      <c r="R41">
        <f>IFERROR(IF(ISNUMBER(INDEX(SPPR!$E:$X,MATCH($A41,SPPR!$A:$A,0),15)),$C41*INDEX(SPPR!$E:$X,MATCH($A41,SPPR!$A:$A,0),15),""),"")</f>
        <v/>
      </c>
      <c r="S41">
        <f>IFERROR(IF(ISNUMBER(INDEX(SPPR!$E:$X,MATCH($A41,SPPR!$A:$A,0),16)),$C41*INDEX(SPPR!$E:$X,MATCH($A41,SPPR!$A:$A,0),16),""),"")</f>
        <v/>
      </c>
      <c r="T41">
        <f>IFERROR(IF(ISNUMBER(INDEX(SPPR!$E:$X,MATCH($A41,SPPR!$A:$A,0),17)),$C41*INDEX(SPPR!$E:$X,MATCH($A41,SPPR!$A:$A,0),17),""),"")</f>
        <v/>
      </c>
      <c r="U41">
        <f>IFERROR(IF(ISNUMBER(INDEX(SPPR!$E:$X,MATCH($A41,SPPR!$A:$A,0),18)),$C41*INDEX(SPPR!$E:$X,MATCH($A41,SPPR!$A:$A,0),18),""),"")</f>
        <v/>
      </c>
      <c r="V41">
        <f>IFERROR(IF(ISNUMBER(INDEX(SPPR!$E:$X,MATCH($A41,SPPR!$A:$A,0),19)),$C41*INDEX(SPPR!$E:$X,MATCH($A41,SPPR!$A:$A,0),19),""),"")</f>
        <v/>
      </c>
      <c r="W41">
        <f>IFERROR(IF(ISNUMBER(INDEX(SPPR!$E:$X,MATCH($A41,SPPR!$A:$A,0),20)),$C41*INDEX(SPPR!$E:$X,MATCH($A41,SPPR!$A:$A,0),20),""),"")</f>
        <v/>
      </c>
    </row>
    <row r="42">
      <c r="A42" t="inlineStr">
        <is>
          <t>Glyptocephalus cynoglossus</t>
        </is>
      </c>
      <c r="B42">
        <f>IFERROR(INDEX(SPPR!$D:$D,MATCH($A42,SPPR!$A:$A,0)),"")</f>
        <v/>
      </c>
      <c r="C42">
        <f>IFERROR(INDEX(Catch!$E:$BV,MATCH($A42,Catch!$A:$A,0),MATCH($B$4,Catch!$E$1:$BV$1,0)),0)</f>
        <v/>
      </c>
      <c r="D42">
        <f>IFERROR(IF(ISNUMBER(INDEX(SPPR!$E:$X,MATCH($A42,SPPR!$A:$A,0),1)),$C42*INDEX(SPPR!$E:$X,MATCH($A42,SPPR!$A:$A,0),1),""),"")</f>
        <v/>
      </c>
      <c r="E42">
        <f>IFERROR(IF(ISNUMBER(INDEX(SPPR!$E:$X,MATCH($A42,SPPR!$A:$A,0),2)),$C42*INDEX(SPPR!$E:$X,MATCH($A42,SPPR!$A:$A,0),2),""),"")</f>
        <v/>
      </c>
      <c r="F42">
        <f>IFERROR(IF(ISNUMBER(INDEX(SPPR!$E:$X,MATCH($A42,SPPR!$A:$A,0),3)),$C42*INDEX(SPPR!$E:$X,MATCH($A42,SPPR!$A:$A,0),3),""),"")</f>
        <v/>
      </c>
      <c r="G42">
        <f>IFERROR(IF(ISNUMBER(INDEX(SPPR!$E:$X,MATCH($A42,SPPR!$A:$A,0),4)),$C42*INDEX(SPPR!$E:$X,MATCH($A42,SPPR!$A:$A,0),4),""),"")</f>
        <v/>
      </c>
      <c r="H42">
        <f>IFERROR(IF(ISNUMBER(INDEX(SPPR!$E:$X,MATCH($A42,SPPR!$A:$A,0),5)),$C42*INDEX(SPPR!$E:$X,MATCH($A42,SPPR!$A:$A,0),5),""),"")</f>
        <v/>
      </c>
      <c r="I42">
        <f>IFERROR(IF(ISNUMBER(INDEX(SPPR!$E:$X,MATCH($A42,SPPR!$A:$A,0),6)),$C42*INDEX(SPPR!$E:$X,MATCH($A42,SPPR!$A:$A,0),6),""),"")</f>
        <v/>
      </c>
      <c r="J42">
        <f>IFERROR(IF(ISNUMBER(INDEX(SPPR!$E:$X,MATCH($A42,SPPR!$A:$A,0),7)),$C42*INDEX(SPPR!$E:$X,MATCH($A42,SPPR!$A:$A,0),7),""),"")</f>
        <v/>
      </c>
      <c r="K42">
        <f>IFERROR(IF(ISNUMBER(INDEX(SPPR!$E:$X,MATCH($A42,SPPR!$A:$A,0),8)),$C42*INDEX(SPPR!$E:$X,MATCH($A42,SPPR!$A:$A,0),8),""),"")</f>
        <v/>
      </c>
      <c r="L42">
        <f>IFERROR(IF(ISNUMBER(INDEX(SPPR!$E:$X,MATCH($A42,SPPR!$A:$A,0),9)),$C42*INDEX(SPPR!$E:$X,MATCH($A42,SPPR!$A:$A,0),9),""),"")</f>
        <v/>
      </c>
      <c r="M42">
        <f>IFERROR(IF(ISNUMBER(INDEX(SPPR!$E:$X,MATCH($A42,SPPR!$A:$A,0),10)),$C42*INDEX(SPPR!$E:$X,MATCH($A42,SPPR!$A:$A,0),10),""),"")</f>
        <v/>
      </c>
      <c r="N42">
        <f>IFERROR(IF(ISNUMBER(INDEX(SPPR!$E:$X,MATCH($A42,SPPR!$A:$A,0),11)),$C42*INDEX(SPPR!$E:$X,MATCH($A42,SPPR!$A:$A,0),11),""),"")</f>
        <v/>
      </c>
      <c r="O42">
        <f>IFERROR(IF(ISNUMBER(INDEX(SPPR!$E:$X,MATCH($A42,SPPR!$A:$A,0),12)),$C42*INDEX(SPPR!$E:$X,MATCH($A42,SPPR!$A:$A,0),12),""),"")</f>
        <v/>
      </c>
      <c r="P42">
        <f>IFERROR(IF(ISNUMBER(INDEX(SPPR!$E:$X,MATCH($A42,SPPR!$A:$A,0),13)),$C42*INDEX(SPPR!$E:$X,MATCH($A42,SPPR!$A:$A,0),13),""),"")</f>
        <v/>
      </c>
      <c r="Q42">
        <f>IFERROR(IF(ISNUMBER(INDEX(SPPR!$E:$X,MATCH($A42,SPPR!$A:$A,0),14)),$C42*INDEX(SPPR!$E:$X,MATCH($A42,SPPR!$A:$A,0),14),""),"")</f>
        <v/>
      </c>
      <c r="R42">
        <f>IFERROR(IF(ISNUMBER(INDEX(SPPR!$E:$X,MATCH($A42,SPPR!$A:$A,0),15)),$C42*INDEX(SPPR!$E:$X,MATCH($A42,SPPR!$A:$A,0),15),""),"")</f>
        <v/>
      </c>
      <c r="S42">
        <f>IFERROR(IF(ISNUMBER(INDEX(SPPR!$E:$X,MATCH($A42,SPPR!$A:$A,0),16)),$C42*INDEX(SPPR!$E:$X,MATCH($A42,SPPR!$A:$A,0),16),""),"")</f>
        <v/>
      </c>
      <c r="T42">
        <f>IFERROR(IF(ISNUMBER(INDEX(SPPR!$E:$X,MATCH($A42,SPPR!$A:$A,0),17)),$C42*INDEX(SPPR!$E:$X,MATCH($A42,SPPR!$A:$A,0),17),""),"")</f>
        <v/>
      </c>
      <c r="U42">
        <f>IFERROR(IF(ISNUMBER(INDEX(SPPR!$E:$X,MATCH($A42,SPPR!$A:$A,0),18)),$C42*INDEX(SPPR!$E:$X,MATCH($A42,SPPR!$A:$A,0),18),""),"")</f>
        <v/>
      </c>
      <c r="V42">
        <f>IFERROR(IF(ISNUMBER(INDEX(SPPR!$E:$X,MATCH($A42,SPPR!$A:$A,0),19)),$C42*INDEX(SPPR!$E:$X,MATCH($A42,SPPR!$A:$A,0),19),""),"")</f>
        <v/>
      </c>
      <c r="W42">
        <f>IFERROR(IF(ISNUMBER(INDEX(SPPR!$E:$X,MATCH($A42,SPPR!$A:$A,0),20)),$C42*INDEX(SPPR!$E:$X,MATCH($A42,SPPR!$A:$A,0),20),""),"")</f>
        <v/>
      </c>
    </row>
    <row r="43">
      <c r="A43" t="inlineStr">
        <is>
          <t>Asterias rubens</t>
        </is>
      </c>
      <c r="B43">
        <f>IFERROR(INDEX(SPPR!$D:$D,MATCH($A43,SPPR!$A:$A,0)),"")</f>
        <v/>
      </c>
      <c r="C43">
        <f>IFERROR(INDEX(Catch!$E:$BV,MATCH($A43,Catch!$A:$A,0),MATCH($B$4,Catch!$E$1:$BV$1,0)),0)</f>
        <v/>
      </c>
      <c r="D43">
        <f>IFERROR(IF(ISNUMBER(INDEX(SPPR!$E:$X,MATCH($A43,SPPR!$A:$A,0),1)),$C43*INDEX(SPPR!$E:$X,MATCH($A43,SPPR!$A:$A,0),1),""),"")</f>
        <v/>
      </c>
      <c r="E43">
        <f>IFERROR(IF(ISNUMBER(INDEX(SPPR!$E:$X,MATCH($A43,SPPR!$A:$A,0),2)),$C43*INDEX(SPPR!$E:$X,MATCH($A43,SPPR!$A:$A,0),2),""),"")</f>
        <v/>
      </c>
      <c r="F43">
        <f>IFERROR(IF(ISNUMBER(INDEX(SPPR!$E:$X,MATCH($A43,SPPR!$A:$A,0),3)),$C43*INDEX(SPPR!$E:$X,MATCH($A43,SPPR!$A:$A,0),3),""),"")</f>
        <v/>
      </c>
      <c r="G43">
        <f>IFERROR(IF(ISNUMBER(INDEX(SPPR!$E:$X,MATCH($A43,SPPR!$A:$A,0),4)),$C43*INDEX(SPPR!$E:$X,MATCH($A43,SPPR!$A:$A,0),4),""),"")</f>
        <v/>
      </c>
      <c r="H43">
        <f>IFERROR(IF(ISNUMBER(INDEX(SPPR!$E:$X,MATCH($A43,SPPR!$A:$A,0),5)),$C43*INDEX(SPPR!$E:$X,MATCH($A43,SPPR!$A:$A,0),5),""),"")</f>
        <v/>
      </c>
      <c r="I43">
        <f>IFERROR(IF(ISNUMBER(INDEX(SPPR!$E:$X,MATCH($A43,SPPR!$A:$A,0),6)),$C43*INDEX(SPPR!$E:$X,MATCH($A43,SPPR!$A:$A,0),6),""),"")</f>
        <v/>
      </c>
      <c r="J43">
        <f>IFERROR(IF(ISNUMBER(INDEX(SPPR!$E:$X,MATCH($A43,SPPR!$A:$A,0),7)),$C43*INDEX(SPPR!$E:$X,MATCH($A43,SPPR!$A:$A,0),7),""),"")</f>
        <v/>
      </c>
      <c r="K43">
        <f>IFERROR(IF(ISNUMBER(INDEX(SPPR!$E:$X,MATCH($A43,SPPR!$A:$A,0),8)),$C43*INDEX(SPPR!$E:$X,MATCH($A43,SPPR!$A:$A,0),8),""),"")</f>
        <v/>
      </c>
      <c r="L43">
        <f>IFERROR(IF(ISNUMBER(INDEX(SPPR!$E:$X,MATCH($A43,SPPR!$A:$A,0),9)),$C43*INDEX(SPPR!$E:$X,MATCH($A43,SPPR!$A:$A,0),9),""),"")</f>
        <v/>
      </c>
      <c r="M43">
        <f>IFERROR(IF(ISNUMBER(INDEX(SPPR!$E:$X,MATCH($A43,SPPR!$A:$A,0),10)),$C43*INDEX(SPPR!$E:$X,MATCH($A43,SPPR!$A:$A,0),10),""),"")</f>
        <v/>
      </c>
      <c r="N43">
        <f>IFERROR(IF(ISNUMBER(INDEX(SPPR!$E:$X,MATCH($A43,SPPR!$A:$A,0),11)),$C43*INDEX(SPPR!$E:$X,MATCH($A43,SPPR!$A:$A,0),11),""),"")</f>
        <v/>
      </c>
      <c r="O43">
        <f>IFERROR(IF(ISNUMBER(INDEX(SPPR!$E:$X,MATCH($A43,SPPR!$A:$A,0),12)),$C43*INDEX(SPPR!$E:$X,MATCH($A43,SPPR!$A:$A,0),12),""),"")</f>
        <v/>
      </c>
      <c r="P43">
        <f>IFERROR(IF(ISNUMBER(INDEX(SPPR!$E:$X,MATCH($A43,SPPR!$A:$A,0),13)),$C43*INDEX(SPPR!$E:$X,MATCH($A43,SPPR!$A:$A,0),13),""),"")</f>
        <v/>
      </c>
      <c r="Q43">
        <f>IFERROR(IF(ISNUMBER(INDEX(SPPR!$E:$X,MATCH($A43,SPPR!$A:$A,0),14)),$C43*INDEX(SPPR!$E:$X,MATCH($A43,SPPR!$A:$A,0),14),""),"")</f>
        <v/>
      </c>
      <c r="R43">
        <f>IFERROR(IF(ISNUMBER(INDEX(SPPR!$E:$X,MATCH($A43,SPPR!$A:$A,0),15)),$C43*INDEX(SPPR!$E:$X,MATCH($A43,SPPR!$A:$A,0),15),""),"")</f>
        <v/>
      </c>
      <c r="S43">
        <f>IFERROR(IF(ISNUMBER(INDEX(SPPR!$E:$X,MATCH($A43,SPPR!$A:$A,0),16)),$C43*INDEX(SPPR!$E:$X,MATCH($A43,SPPR!$A:$A,0),16),""),"")</f>
        <v/>
      </c>
      <c r="T43">
        <f>IFERROR(IF(ISNUMBER(INDEX(SPPR!$E:$X,MATCH($A43,SPPR!$A:$A,0),17)),$C43*INDEX(SPPR!$E:$X,MATCH($A43,SPPR!$A:$A,0),17),""),"")</f>
        <v/>
      </c>
      <c r="U43">
        <f>IFERROR(IF(ISNUMBER(INDEX(SPPR!$E:$X,MATCH($A43,SPPR!$A:$A,0),18)),$C43*INDEX(SPPR!$E:$X,MATCH($A43,SPPR!$A:$A,0),18),""),"")</f>
        <v/>
      </c>
      <c r="V43">
        <f>IFERROR(IF(ISNUMBER(INDEX(SPPR!$E:$X,MATCH($A43,SPPR!$A:$A,0),19)),$C43*INDEX(SPPR!$E:$X,MATCH($A43,SPPR!$A:$A,0),19),""),"")</f>
        <v/>
      </c>
      <c r="W43">
        <f>IFERROR(IF(ISNUMBER(INDEX(SPPR!$E:$X,MATCH($A43,SPPR!$A:$A,0),20)),$C43*INDEX(SPPR!$E:$X,MATCH($A43,SPPR!$A:$A,0),20),""),"")</f>
        <v/>
      </c>
    </row>
    <row r="44">
      <c r="A44" t="inlineStr">
        <is>
          <t>Buccinum undatum</t>
        </is>
      </c>
      <c r="B44">
        <f>IFERROR(INDEX(SPPR!$D:$D,MATCH($A44,SPPR!$A:$A,0)),"")</f>
        <v/>
      </c>
      <c r="C44">
        <f>IFERROR(INDEX(Catch!$E:$BV,MATCH($A44,Catch!$A:$A,0),MATCH($B$4,Catch!$E$1:$BV$1,0)),0)</f>
        <v/>
      </c>
      <c r="D44">
        <f>IFERROR(IF(ISNUMBER(INDEX(SPPR!$E:$X,MATCH($A44,SPPR!$A:$A,0),1)),$C44*INDEX(SPPR!$E:$X,MATCH($A44,SPPR!$A:$A,0),1),""),"")</f>
        <v/>
      </c>
      <c r="E44">
        <f>IFERROR(IF(ISNUMBER(INDEX(SPPR!$E:$X,MATCH($A44,SPPR!$A:$A,0),2)),$C44*INDEX(SPPR!$E:$X,MATCH($A44,SPPR!$A:$A,0),2),""),"")</f>
        <v/>
      </c>
      <c r="F44">
        <f>IFERROR(IF(ISNUMBER(INDEX(SPPR!$E:$X,MATCH($A44,SPPR!$A:$A,0),3)),$C44*INDEX(SPPR!$E:$X,MATCH($A44,SPPR!$A:$A,0),3),""),"")</f>
        <v/>
      </c>
      <c r="G44">
        <f>IFERROR(IF(ISNUMBER(INDEX(SPPR!$E:$X,MATCH($A44,SPPR!$A:$A,0),4)),$C44*INDEX(SPPR!$E:$X,MATCH($A44,SPPR!$A:$A,0),4),""),"")</f>
        <v/>
      </c>
      <c r="H44">
        <f>IFERROR(IF(ISNUMBER(INDEX(SPPR!$E:$X,MATCH($A44,SPPR!$A:$A,0),5)),$C44*INDEX(SPPR!$E:$X,MATCH($A44,SPPR!$A:$A,0),5),""),"")</f>
        <v/>
      </c>
      <c r="I44">
        <f>IFERROR(IF(ISNUMBER(INDEX(SPPR!$E:$X,MATCH($A44,SPPR!$A:$A,0),6)),$C44*INDEX(SPPR!$E:$X,MATCH($A44,SPPR!$A:$A,0),6),""),"")</f>
        <v/>
      </c>
      <c r="J44">
        <f>IFERROR(IF(ISNUMBER(INDEX(SPPR!$E:$X,MATCH($A44,SPPR!$A:$A,0),7)),$C44*INDEX(SPPR!$E:$X,MATCH($A44,SPPR!$A:$A,0),7),""),"")</f>
        <v/>
      </c>
      <c r="K44">
        <f>IFERROR(IF(ISNUMBER(INDEX(SPPR!$E:$X,MATCH($A44,SPPR!$A:$A,0),8)),$C44*INDEX(SPPR!$E:$X,MATCH($A44,SPPR!$A:$A,0),8),""),"")</f>
        <v/>
      </c>
      <c r="L44">
        <f>IFERROR(IF(ISNUMBER(INDEX(SPPR!$E:$X,MATCH($A44,SPPR!$A:$A,0),9)),$C44*INDEX(SPPR!$E:$X,MATCH($A44,SPPR!$A:$A,0),9),""),"")</f>
        <v/>
      </c>
      <c r="M44">
        <f>IFERROR(IF(ISNUMBER(INDEX(SPPR!$E:$X,MATCH($A44,SPPR!$A:$A,0),10)),$C44*INDEX(SPPR!$E:$X,MATCH($A44,SPPR!$A:$A,0),10),""),"")</f>
        <v/>
      </c>
      <c r="N44">
        <f>IFERROR(IF(ISNUMBER(INDEX(SPPR!$E:$X,MATCH($A44,SPPR!$A:$A,0),11)),$C44*INDEX(SPPR!$E:$X,MATCH($A44,SPPR!$A:$A,0),11),""),"")</f>
        <v/>
      </c>
      <c r="O44">
        <f>IFERROR(IF(ISNUMBER(INDEX(SPPR!$E:$X,MATCH($A44,SPPR!$A:$A,0),12)),$C44*INDEX(SPPR!$E:$X,MATCH($A44,SPPR!$A:$A,0),12),""),"")</f>
        <v/>
      </c>
      <c r="P44">
        <f>IFERROR(IF(ISNUMBER(INDEX(SPPR!$E:$X,MATCH($A44,SPPR!$A:$A,0),13)),$C44*INDEX(SPPR!$E:$X,MATCH($A44,SPPR!$A:$A,0),13),""),"")</f>
        <v/>
      </c>
      <c r="Q44">
        <f>IFERROR(IF(ISNUMBER(INDEX(SPPR!$E:$X,MATCH($A44,SPPR!$A:$A,0),14)),$C44*INDEX(SPPR!$E:$X,MATCH($A44,SPPR!$A:$A,0),14),""),"")</f>
        <v/>
      </c>
      <c r="R44">
        <f>IFERROR(IF(ISNUMBER(INDEX(SPPR!$E:$X,MATCH($A44,SPPR!$A:$A,0),15)),$C44*INDEX(SPPR!$E:$X,MATCH($A44,SPPR!$A:$A,0),15),""),"")</f>
        <v/>
      </c>
      <c r="S44">
        <f>IFERROR(IF(ISNUMBER(INDEX(SPPR!$E:$X,MATCH($A44,SPPR!$A:$A,0),16)),$C44*INDEX(SPPR!$E:$X,MATCH($A44,SPPR!$A:$A,0),16),""),"")</f>
        <v/>
      </c>
      <c r="T44">
        <f>IFERROR(IF(ISNUMBER(INDEX(SPPR!$E:$X,MATCH($A44,SPPR!$A:$A,0),17)),$C44*INDEX(SPPR!$E:$X,MATCH($A44,SPPR!$A:$A,0),17),""),"")</f>
        <v/>
      </c>
      <c r="U44">
        <f>IFERROR(IF(ISNUMBER(INDEX(SPPR!$E:$X,MATCH($A44,SPPR!$A:$A,0),18)),$C44*INDEX(SPPR!$E:$X,MATCH($A44,SPPR!$A:$A,0),18),""),"")</f>
        <v/>
      </c>
      <c r="V44">
        <f>IFERROR(IF(ISNUMBER(INDEX(SPPR!$E:$X,MATCH($A44,SPPR!$A:$A,0),19)),$C44*INDEX(SPPR!$E:$X,MATCH($A44,SPPR!$A:$A,0),19),""),"")</f>
        <v/>
      </c>
      <c r="W44">
        <f>IFERROR(IF(ISNUMBER(INDEX(SPPR!$E:$X,MATCH($A44,SPPR!$A:$A,0),20)),$C44*INDEX(SPPR!$E:$X,MATCH($A44,SPPR!$A:$A,0),20),""),"")</f>
        <v/>
      </c>
    </row>
    <row r="45">
      <c r="A45" t="inlineStr">
        <is>
          <t>Triglidae</t>
        </is>
      </c>
      <c r="B45">
        <f>IFERROR(INDEX(SPPR!$D:$D,MATCH($A45,SPPR!$A:$A,0)),"")</f>
        <v/>
      </c>
      <c r="C45">
        <f>IFERROR(INDEX(Catch!$E:$BV,MATCH($A45,Catch!$A:$A,0),MATCH($B$4,Catch!$E$1:$BV$1,0)),0)</f>
        <v/>
      </c>
      <c r="D45">
        <f>IFERROR(IF(ISNUMBER(INDEX(SPPR!$E:$X,MATCH($A45,SPPR!$A:$A,0),1)),$C45*INDEX(SPPR!$E:$X,MATCH($A45,SPPR!$A:$A,0),1),""),"")</f>
        <v/>
      </c>
      <c r="E45">
        <f>IFERROR(IF(ISNUMBER(INDEX(SPPR!$E:$X,MATCH($A45,SPPR!$A:$A,0),2)),$C45*INDEX(SPPR!$E:$X,MATCH($A45,SPPR!$A:$A,0),2),""),"")</f>
        <v/>
      </c>
      <c r="F45">
        <f>IFERROR(IF(ISNUMBER(INDEX(SPPR!$E:$X,MATCH($A45,SPPR!$A:$A,0),3)),$C45*INDEX(SPPR!$E:$X,MATCH($A45,SPPR!$A:$A,0),3),""),"")</f>
        <v/>
      </c>
      <c r="G45">
        <f>IFERROR(IF(ISNUMBER(INDEX(SPPR!$E:$X,MATCH($A45,SPPR!$A:$A,0),4)),$C45*INDEX(SPPR!$E:$X,MATCH($A45,SPPR!$A:$A,0),4),""),"")</f>
        <v/>
      </c>
      <c r="H45">
        <f>IFERROR(IF(ISNUMBER(INDEX(SPPR!$E:$X,MATCH($A45,SPPR!$A:$A,0),5)),$C45*INDEX(SPPR!$E:$X,MATCH($A45,SPPR!$A:$A,0),5),""),"")</f>
        <v/>
      </c>
      <c r="I45">
        <f>IFERROR(IF(ISNUMBER(INDEX(SPPR!$E:$X,MATCH($A45,SPPR!$A:$A,0),6)),$C45*INDEX(SPPR!$E:$X,MATCH($A45,SPPR!$A:$A,0),6),""),"")</f>
        <v/>
      </c>
      <c r="J45">
        <f>IFERROR(IF(ISNUMBER(INDEX(SPPR!$E:$X,MATCH($A45,SPPR!$A:$A,0),7)),$C45*INDEX(SPPR!$E:$X,MATCH($A45,SPPR!$A:$A,0),7),""),"")</f>
        <v/>
      </c>
      <c r="K45">
        <f>IFERROR(IF(ISNUMBER(INDEX(SPPR!$E:$X,MATCH($A45,SPPR!$A:$A,0),8)),$C45*INDEX(SPPR!$E:$X,MATCH($A45,SPPR!$A:$A,0),8),""),"")</f>
        <v/>
      </c>
      <c r="L45">
        <f>IFERROR(IF(ISNUMBER(INDEX(SPPR!$E:$X,MATCH($A45,SPPR!$A:$A,0),9)),$C45*INDEX(SPPR!$E:$X,MATCH($A45,SPPR!$A:$A,0),9),""),"")</f>
        <v/>
      </c>
      <c r="M45">
        <f>IFERROR(IF(ISNUMBER(INDEX(SPPR!$E:$X,MATCH($A45,SPPR!$A:$A,0),10)),$C45*INDEX(SPPR!$E:$X,MATCH($A45,SPPR!$A:$A,0),10),""),"")</f>
        <v/>
      </c>
      <c r="N45">
        <f>IFERROR(IF(ISNUMBER(INDEX(SPPR!$E:$X,MATCH($A45,SPPR!$A:$A,0),11)),$C45*INDEX(SPPR!$E:$X,MATCH($A45,SPPR!$A:$A,0),11),""),"")</f>
        <v/>
      </c>
      <c r="O45">
        <f>IFERROR(IF(ISNUMBER(INDEX(SPPR!$E:$X,MATCH($A45,SPPR!$A:$A,0),12)),$C45*INDEX(SPPR!$E:$X,MATCH($A45,SPPR!$A:$A,0),12),""),"")</f>
        <v/>
      </c>
      <c r="P45">
        <f>IFERROR(IF(ISNUMBER(INDEX(SPPR!$E:$X,MATCH($A45,SPPR!$A:$A,0),13)),$C45*INDEX(SPPR!$E:$X,MATCH($A45,SPPR!$A:$A,0),13),""),"")</f>
        <v/>
      </c>
      <c r="Q45">
        <f>IFERROR(IF(ISNUMBER(INDEX(SPPR!$E:$X,MATCH($A45,SPPR!$A:$A,0),14)),$C45*INDEX(SPPR!$E:$X,MATCH($A45,SPPR!$A:$A,0),14),""),"")</f>
        <v/>
      </c>
      <c r="R45">
        <f>IFERROR(IF(ISNUMBER(INDEX(SPPR!$E:$X,MATCH($A45,SPPR!$A:$A,0),15)),$C45*INDEX(SPPR!$E:$X,MATCH($A45,SPPR!$A:$A,0),15),""),"")</f>
        <v/>
      </c>
      <c r="S45">
        <f>IFERROR(IF(ISNUMBER(INDEX(SPPR!$E:$X,MATCH($A45,SPPR!$A:$A,0),16)),$C45*INDEX(SPPR!$E:$X,MATCH($A45,SPPR!$A:$A,0),16),""),"")</f>
        <v/>
      </c>
      <c r="T45">
        <f>IFERROR(IF(ISNUMBER(INDEX(SPPR!$E:$X,MATCH($A45,SPPR!$A:$A,0),17)),$C45*INDEX(SPPR!$E:$X,MATCH($A45,SPPR!$A:$A,0),17),""),"")</f>
        <v/>
      </c>
      <c r="U45">
        <f>IFERROR(IF(ISNUMBER(INDEX(SPPR!$E:$X,MATCH($A45,SPPR!$A:$A,0),18)),$C45*INDEX(SPPR!$E:$X,MATCH($A45,SPPR!$A:$A,0),18),""),"")</f>
        <v/>
      </c>
      <c r="V45">
        <f>IFERROR(IF(ISNUMBER(INDEX(SPPR!$E:$X,MATCH($A45,SPPR!$A:$A,0),19)),$C45*INDEX(SPPR!$E:$X,MATCH($A45,SPPR!$A:$A,0),19),""),"")</f>
        <v/>
      </c>
      <c r="W45">
        <f>IFERROR(IF(ISNUMBER(INDEX(SPPR!$E:$X,MATCH($A45,SPPR!$A:$A,0),20)),$C45*INDEX(SPPR!$E:$X,MATCH($A45,SPPR!$A:$A,0),20),""),"")</f>
        <v/>
      </c>
    </row>
    <row r="46">
      <c r="A46" t="inlineStr">
        <is>
          <t>Sardina pilchardus</t>
        </is>
      </c>
      <c r="B46">
        <f>IFERROR(INDEX(SPPR!$D:$D,MATCH($A46,SPPR!$A:$A,0)),"")</f>
        <v/>
      </c>
      <c r="C46">
        <f>IFERROR(INDEX(Catch!$E:$BV,MATCH($A46,Catch!$A:$A,0),MATCH($B$4,Catch!$E$1:$BV$1,0)),0)</f>
        <v/>
      </c>
      <c r="D46">
        <f>IFERROR(IF(ISNUMBER(INDEX(SPPR!$E:$X,MATCH($A46,SPPR!$A:$A,0),1)),$C46*INDEX(SPPR!$E:$X,MATCH($A46,SPPR!$A:$A,0),1),""),"")</f>
        <v/>
      </c>
      <c r="E46">
        <f>IFERROR(IF(ISNUMBER(INDEX(SPPR!$E:$X,MATCH($A46,SPPR!$A:$A,0),2)),$C46*INDEX(SPPR!$E:$X,MATCH($A46,SPPR!$A:$A,0),2),""),"")</f>
        <v/>
      </c>
      <c r="F46">
        <f>IFERROR(IF(ISNUMBER(INDEX(SPPR!$E:$X,MATCH($A46,SPPR!$A:$A,0),3)),$C46*INDEX(SPPR!$E:$X,MATCH($A46,SPPR!$A:$A,0),3),""),"")</f>
        <v/>
      </c>
      <c r="G46">
        <f>IFERROR(IF(ISNUMBER(INDEX(SPPR!$E:$X,MATCH($A46,SPPR!$A:$A,0),4)),$C46*INDEX(SPPR!$E:$X,MATCH($A46,SPPR!$A:$A,0),4),""),"")</f>
        <v/>
      </c>
      <c r="H46">
        <f>IFERROR(IF(ISNUMBER(INDEX(SPPR!$E:$X,MATCH($A46,SPPR!$A:$A,0),5)),$C46*INDEX(SPPR!$E:$X,MATCH($A46,SPPR!$A:$A,0),5),""),"")</f>
        <v/>
      </c>
      <c r="I46">
        <f>IFERROR(IF(ISNUMBER(INDEX(SPPR!$E:$X,MATCH($A46,SPPR!$A:$A,0),6)),$C46*INDEX(SPPR!$E:$X,MATCH($A46,SPPR!$A:$A,0),6),""),"")</f>
        <v/>
      </c>
      <c r="J46">
        <f>IFERROR(IF(ISNUMBER(INDEX(SPPR!$E:$X,MATCH($A46,SPPR!$A:$A,0),7)),$C46*INDEX(SPPR!$E:$X,MATCH($A46,SPPR!$A:$A,0),7),""),"")</f>
        <v/>
      </c>
      <c r="K46">
        <f>IFERROR(IF(ISNUMBER(INDEX(SPPR!$E:$X,MATCH($A46,SPPR!$A:$A,0),8)),$C46*INDEX(SPPR!$E:$X,MATCH($A46,SPPR!$A:$A,0),8),""),"")</f>
        <v/>
      </c>
      <c r="L46">
        <f>IFERROR(IF(ISNUMBER(INDEX(SPPR!$E:$X,MATCH($A46,SPPR!$A:$A,0),9)),$C46*INDEX(SPPR!$E:$X,MATCH($A46,SPPR!$A:$A,0),9),""),"")</f>
        <v/>
      </c>
      <c r="M46">
        <f>IFERROR(IF(ISNUMBER(INDEX(SPPR!$E:$X,MATCH($A46,SPPR!$A:$A,0),10)),$C46*INDEX(SPPR!$E:$X,MATCH($A46,SPPR!$A:$A,0),10),""),"")</f>
        <v/>
      </c>
      <c r="N46">
        <f>IFERROR(IF(ISNUMBER(INDEX(SPPR!$E:$X,MATCH($A46,SPPR!$A:$A,0),11)),$C46*INDEX(SPPR!$E:$X,MATCH($A46,SPPR!$A:$A,0),11),""),"")</f>
        <v/>
      </c>
      <c r="O46">
        <f>IFERROR(IF(ISNUMBER(INDEX(SPPR!$E:$X,MATCH($A46,SPPR!$A:$A,0),12)),$C46*INDEX(SPPR!$E:$X,MATCH($A46,SPPR!$A:$A,0),12),""),"")</f>
        <v/>
      </c>
      <c r="P46">
        <f>IFERROR(IF(ISNUMBER(INDEX(SPPR!$E:$X,MATCH($A46,SPPR!$A:$A,0),13)),$C46*INDEX(SPPR!$E:$X,MATCH($A46,SPPR!$A:$A,0),13),""),"")</f>
        <v/>
      </c>
      <c r="Q46">
        <f>IFERROR(IF(ISNUMBER(INDEX(SPPR!$E:$X,MATCH($A46,SPPR!$A:$A,0),14)),$C46*INDEX(SPPR!$E:$X,MATCH($A46,SPPR!$A:$A,0),14),""),"")</f>
        <v/>
      </c>
      <c r="R46">
        <f>IFERROR(IF(ISNUMBER(INDEX(SPPR!$E:$X,MATCH($A46,SPPR!$A:$A,0),15)),$C46*INDEX(SPPR!$E:$X,MATCH($A46,SPPR!$A:$A,0),15),""),"")</f>
        <v/>
      </c>
      <c r="S46">
        <f>IFERROR(IF(ISNUMBER(INDEX(SPPR!$E:$X,MATCH($A46,SPPR!$A:$A,0),16)),$C46*INDEX(SPPR!$E:$X,MATCH($A46,SPPR!$A:$A,0),16),""),"")</f>
        <v/>
      </c>
      <c r="T46">
        <f>IFERROR(IF(ISNUMBER(INDEX(SPPR!$E:$X,MATCH($A46,SPPR!$A:$A,0),17)),$C46*INDEX(SPPR!$E:$X,MATCH($A46,SPPR!$A:$A,0),17),""),"")</f>
        <v/>
      </c>
      <c r="U46">
        <f>IFERROR(IF(ISNUMBER(INDEX(SPPR!$E:$X,MATCH($A46,SPPR!$A:$A,0),18)),$C46*INDEX(SPPR!$E:$X,MATCH($A46,SPPR!$A:$A,0),18),""),"")</f>
        <v/>
      </c>
      <c r="V46">
        <f>IFERROR(IF(ISNUMBER(INDEX(SPPR!$E:$X,MATCH($A46,SPPR!$A:$A,0),19)),$C46*INDEX(SPPR!$E:$X,MATCH($A46,SPPR!$A:$A,0),19),""),"")</f>
        <v/>
      </c>
      <c r="W46">
        <f>IFERROR(IF(ISNUMBER(INDEX(SPPR!$E:$X,MATCH($A46,SPPR!$A:$A,0),20)),$C46*INDEX(SPPR!$E:$X,MATCH($A46,SPPR!$A:$A,0),20),""),"")</f>
        <v/>
      </c>
    </row>
    <row r="47">
      <c r="A47" t="inlineStr">
        <is>
          <t>Pecten maximus</t>
        </is>
      </c>
      <c r="B47">
        <f>IFERROR(INDEX(SPPR!$D:$D,MATCH($A47,SPPR!$A:$A,0)),"")</f>
        <v/>
      </c>
      <c r="C47">
        <f>IFERROR(INDEX(Catch!$E:$BV,MATCH($A47,Catch!$A:$A,0),MATCH($B$4,Catch!$E$1:$BV$1,0)),0)</f>
        <v/>
      </c>
      <c r="D47">
        <f>IFERROR(IF(ISNUMBER(INDEX(SPPR!$E:$X,MATCH($A47,SPPR!$A:$A,0),1)),$C47*INDEX(SPPR!$E:$X,MATCH($A47,SPPR!$A:$A,0),1),""),"")</f>
        <v/>
      </c>
      <c r="E47">
        <f>IFERROR(IF(ISNUMBER(INDEX(SPPR!$E:$X,MATCH($A47,SPPR!$A:$A,0),2)),$C47*INDEX(SPPR!$E:$X,MATCH($A47,SPPR!$A:$A,0),2),""),"")</f>
        <v/>
      </c>
      <c r="F47">
        <f>IFERROR(IF(ISNUMBER(INDEX(SPPR!$E:$X,MATCH($A47,SPPR!$A:$A,0),3)),$C47*INDEX(SPPR!$E:$X,MATCH($A47,SPPR!$A:$A,0),3),""),"")</f>
        <v/>
      </c>
      <c r="G47">
        <f>IFERROR(IF(ISNUMBER(INDEX(SPPR!$E:$X,MATCH($A47,SPPR!$A:$A,0),4)),$C47*INDEX(SPPR!$E:$X,MATCH($A47,SPPR!$A:$A,0),4),""),"")</f>
        <v/>
      </c>
      <c r="H47">
        <f>IFERROR(IF(ISNUMBER(INDEX(SPPR!$E:$X,MATCH($A47,SPPR!$A:$A,0),5)),$C47*INDEX(SPPR!$E:$X,MATCH($A47,SPPR!$A:$A,0),5),""),"")</f>
        <v/>
      </c>
      <c r="I47">
        <f>IFERROR(IF(ISNUMBER(INDEX(SPPR!$E:$X,MATCH($A47,SPPR!$A:$A,0),6)),$C47*INDEX(SPPR!$E:$X,MATCH($A47,SPPR!$A:$A,0),6),""),"")</f>
        <v/>
      </c>
      <c r="J47">
        <f>IFERROR(IF(ISNUMBER(INDEX(SPPR!$E:$X,MATCH($A47,SPPR!$A:$A,0),7)),$C47*INDEX(SPPR!$E:$X,MATCH($A47,SPPR!$A:$A,0),7),""),"")</f>
        <v/>
      </c>
      <c r="K47">
        <f>IFERROR(IF(ISNUMBER(INDEX(SPPR!$E:$X,MATCH($A47,SPPR!$A:$A,0),8)),$C47*INDEX(SPPR!$E:$X,MATCH($A47,SPPR!$A:$A,0),8),""),"")</f>
        <v/>
      </c>
      <c r="L47">
        <f>IFERROR(IF(ISNUMBER(INDEX(SPPR!$E:$X,MATCH($A47,SPPR!$A:$A,0),9)),$C47*INDEX(SPPR!$E:$X,MATCH($A47,SPPR!$A:$A,0),9),""),"")</f>
        <v/>
      </c>
      <c r="M47">
        <f>IFERROR(IF(ISNUMBER(INDEX(SPPR!$E:$X,MATCH($A47,SPPR!$A:$A,0),10)),$C47*INDEX(SPPR!$E:$X,MATCH($A47,SPPR!$A:$A,0),10),""),"")</f>
        <v/>
      </c>
      <c r="N47">
        <f>IFERROR(IF(ISNUMBER(INDEX(SPPR!$E:$X,MATCH($A47,SPPR!$A:$A,0),11)),$C47*INDEX(SPPR!$E:$X,MATCH($A47,SPPR!$A:$A,0),11),""),"")</f>
        <v/>
      </c>
      <c r="O47">
        <f>IFERROR(IF(ISNUMBER(INDEX(SPPR!$E:$X,MATCH($A47,SPPR!$A:$A,0),12)),$C47*INDEX(SPPR!$E:$X,MATCH($A47,SPPR!$A:$A,0),12),""),"")</f>
        <v/>
      </c>
      <c r="P47">
        <f>IFERROR(IF(ISNUMBER(INDEX(SPPR!$E:$X,MATCH($A47,SPPR!$A:$A,0),13)),$C47*INDEX(SPPR!$E:$X,MATCH($A47,SPPR!$A:$A,0),13),""),"")</f>
        <v/>
      </c>
      <c r="Q47">
        <f>IFERROR(IF(ISNUMBER(INDEX(SPPR!$E:$X,MATCH($A47,SPPR!$A:$A,0),14)),$C47*INDEX(SPPR!$E:$X,MATCH($A47,SPPR!$A:$A,0),14),""),"")</f>
        <v/>
      </c>
      <c r="R47">
        <f>IFERROR(IF(ISNUMBER(INDEX(SPPR!$E:$X,MATCH($A47,SPPR!$A:$A,0),15)),$C47*INDEX(SPPR!$E:$X,MATCH($A47,SPPR!$A:$A,0),15),""),"")</f>
        <v/>
      </c>
      <c r="S47">
        <f>IFERROR(IF(ISNUMBER(INDEX(SPPR!$E:$X,MATCH($A47,SPPR!$A:$A,0),16)),$C47*INDEX(SPPR!$E:$X,MATCH($A47,SPPR!$A:$A,0),16),""),"")</f>
        <v/>
      </c>
      <c r="T47">
        <f>IFERROR(IF(ISNUMBER(INDEX(SPPR!$E:$X,MATCH($A47,SPPR!$A:$A,0),17)),$C47*INDEX(SPPR!$E:$X,MATCH($A47,SPPR!$A:$A,0),17),""),"")</f>
        <v/>
      </c>
      <c r="U47">
        <f>IFERROR(IF(ISNUMBER(INDEX(SPPR!$E:$X,MATCH($A47,SPPR!$A:$A,0),18)),$C47*INDEX(SPPR!$E:$X,MATCH($A47,SPPR!$A:$A,0),18),""),"")</f>
        <v/>
      </c>
      <c r="V47">
        <f>IFERROR(IF(ISNUMBER(INDEX(SPPR!$E:$X,MATCH($A47,SPPR!$A:$A,0),19)),$C47*INDEX(SPPR!$E:$X,MATCH($A47,SPPR!$A:$A,0),19),""),"")</f>
        <v/>
      </c>
      <c r="W47">
        <f>IFERROR(IF(ISNUMBER(INDEX(SPPR!$E:$X,MATCH($A47,SPPR!$A:$A,0),20)),$C47*INDEX(SPPR!$E:$X,MATCH($A47,SPPR!$A:$A,0),20),""),"")</f>
        <v/>
      </c>
    </row>
    <row r="48">
      <c r="A48" t="inlineStr">
        <is>
          <t>Pollachius pollachius</t>
        </is>
      </c>
      <c r="B48">
        <f>IFERROR(INDEX(SPPR!$D:$D,MATCH($A48,SPPR!$A:$A,0)),"")</f>
        <v/>
      </c>
      <c r="C48">
        <f>IFERROR(INDEX(Catch!$E:$BV,MATCH($A48,Catch!$A:$A,0),MATCH($B$4,Catch!$E$1:$BV$1,0)),0)</f>
        <v/>
      </c>
      <c r="D48">
        <f>IFERROR(IF(ISNUMBER(INDEX(SPPR!$E:$X,MATCH($A48,SPPR!$A:$A,0),1)),$C48*INDEX(SPPR!$E:$X,MATCH($A48,SPPR!$A:$A,0),1),""),"")</f>
        <v/>
      </c>
      <c r="E48">
        <f>IFERROR(IF(ISNUMBER(INDEX(SPPR!$E:$X,MATCH($A48,SPPR!$A:$A,0),2)),$C48*INDEX(SPPR!$E:$X,MATCH($A48,SPPR!$A:$A,0),2),""),"")</f>
        <v/>
      </c>
      <c r="F48">
        <f>IFERROR(IF(ISNUMBER(INDEX(SPPR!$E:$X,MATCH($A48,SPPR!$A:$A,0),3)),$C48*INDEX(SPPR!$E:$X,MATCH($A48,SPPR!$A:$A,0),3),""),"")</f>
        <v/>
      </c>
      <c r="G48">
        <f>IFERROR(IF(ISNUMBER(INDEX(SPPR!$E:$X,MATCH($A48,SPPR!$A:$A,0),4)),$C48*INDEX(SPPR!$E:$X,MATCH($A48,SPPR!$A:$A,0),4),""),"")</f>
        <v/>
      </c>
      <c r="H48">
        <f>IFERROR(IF(ISNUMBER(INDEX(SPPR!$E:$X,MATCH($A48,SPPR!$A:$A,0),5)),$C48*INDEX(SPPR!$E:$X,MATCH($A48,SPPR!$A:$A,0),5),""),"")</f>
        <v/>
      </c>
      <c r="I48">
        <f>IFERROR(IF(ISNUMBER(INDEX(SPPR!$E:$X,MATCH($A48,SPPR!$A:$A,0),6)),$C48*INDEX(SPPR!$E:$X,MATCH($A48,SPPR!$A:$A,0),6),""),"")</f>
        <v/>
      </c>
      <c r="J48">
        <f>IFERROR(IF(ISNUMBER(INDEX(SPPR!$E:$X,MATCH($A48,SPPR!$A:$A,0),7)),$C48*INDEX(SPPR!$E:$X,MATCH($A48,SPPR!$A:$A,0),7),""),"")</f>
        <v/>
      </c>
      <c r="K48">
        <f>IFERROR(IF(ISNUMBER(INDEX(SPPR!$E:$X,MATCH($A48,SPPR!$A:$A,0),8)),$C48*INDEX(SPPR!$E:$X,MATCH($A48,SPPR!$A:$A,0),8),""),"")</f>
        <v/>
      </c>
      <c r="L48">
        <f>IFERROR(IF(ISNUMBER(INDEX(SPPR!$E:$X,MATCH($A48,SPPR!$A:$A,0),9)),$C48*INDEX(SPPR!$E:$X,MATCH($A48,SPPR!$A:$A,0),9),""),"")</f>
        <v/>
      </c>
      <c r="M48">
        <f>IFERROR(IF(ISNUMBER(INDEX(SPPR!$E:$X,MATCH($A48,SPPR!$A:$A,0),10)),$C48*INDEX(SPPR!$E:$X,MATCH($A48,SPPR!$A:$A,0),10),""),"")</f>
        <v/>
      </c>
      <c r="N48">
        <f>IFERROR(IF(ISNUMBER(INDEX(SPPR!$E:$X,MATCH($A48,SPPR!$A:$A,0),11)),$C48*INDEX(SPPR!$E:$X,MATCH($A48,SPPR!$A:$A,0),11),""),"")</f>
        <v/>
      </c>
      <c r="O48">
        <f>IFERROR(IF(ISNUMBER(INDEX(SPPR!$E:$X,MATCH($A48,SPPR!$A:$A,0),12)),$C48*INDEX(SPPR!$E:$X,MATCH($A48,SPPR!$A:$A,0),12),""),"")</f>
        <v/>
      </c>
      <c r="P48">
        <f>IFERROR(IF(ISNUMBER(INDEX(SPPR!$E:$X,MATCH($A48,SPPR!$A:$A,0),13)),$C48*INDEX(SPPR!$E:$X,MATCH($A48,SPPR!$A:$A,0),13),""),"")</f>
        <v/>
      </c>
      <c r="Q48">
        <f>IFERROR(IF(ISNUMBER(INDEX(SPPR!$E:$X,MATCH($A48,SPPR!$A:$A,0),14)),$C48*INDEX(SPPR!$E:$X,MATCH($A48,SPPR!$A:$A,0),14),""),"")</f>
        <v/>
      </c>
      <c r="R48">
        <f>IFERROR(IF(ISNUMBER(INDEX(SPPR!$E:$X,MATCH($A48,SPPR!$A:$A,0),15)),$C48*INDEX(SPPR!$E:$X,MATCH($A48,SPPR!$A:$A,0),15),""),"")</f>
        <v/>
      </c>
      <c r="S48">
        <f>IFERROR(IF(ISNUMBER(INDEX(SPPR!$E:$X,MATCH($A48,SPPR!$A:$A,0),16)),$C48*INDEX(SPPR!$E:$X,MATCH($A48,SPPR!$A:$A,0),16),""),"")</f>
        <v/>
      </c>
      <c r="T48">
        <f>IFERROR(IF(ISNUMBER(INDEX(SPPR!$E:$X,MATCH($A48,SPPR!$A:$A,0),17)),$C48*INDEX(SPPR!$E:$X,MATCH($A48,SPPR!$A:$A,0),17),""),"")</f>
        <v/>
      </c>
      <c r="U48">
        <f>IFERROR(IF(ISNUMBER(INDEX(SPPR!$E:$X,MATCH($A48,SPPR!$A:$A,0),18)),$C48*INDEX(SPPR!$E:$X,MATCH($A48,SPPR!$A:$A,0),18),""),"")</f>
        <v/>
      </c>
      <c r="V48">
        <f>IFERROR(IF(ISNUMBER(INDEX(SPPR!$E:$X,MATCH($A48,SPPR!$A:$A,0),19)),$C48*INDEX(SPPR!$E:$X,MATCH($A48,SPPR!$A:$A,0),19),""),"")</f>
        <v/>
      </c>
      <c r="W48">
        <f>IFERROR(IF(ISNUMBER(INDEX(SPPR!$E:$X,MATCH($A48,SPPR!$A:$A,0),20)),$C48*INDEX(SPPR!$E:$X,MATCH($A48,SPPR!$A:$A,0),20),""),"")</f>
        <v/>
      </c>
    </row>
    <row r="49">
      <c r="A49" t="inlineStr">
        <is>
          <t>Asterozoa</t>
        </is>
      </c>
      <c r="B49">
        <f>IFERROR(INDEX(SPPR!$D:$D,MATCH($A49,SPPR!$A:$A,0)),"")</f>
        <v/>
      </c>
      <c r="C49">
        <f>IFERROR(INDEX(Catch!$E:$BV,MATCH($A49,Catch!$A:$A,0),MATCH($B$4,Catch!$E$1:$BV$1,0)),0)</f>
        <v/>
      </c>
      <c r="D49">
        <f>IFERROR(IF(ISNUMBER(INDEX(SPPR!$E:$X,MATCH($A49,SPPR!$A:$A,0),1)),$C49*INDEX(SPPR!$E:$X,MATCH($A49,SPPR!$A:$A,0),1),""),"")</f>
        <v/>
      </c>
      <c r="E49">
        <f>IFERROR(IF(ISNUMBER(INDEX(SPPR!$E:$X,MATCH($A49,SPPR!$A:$A,0),2)),$C49*INDEX(SPPR!$E:$X,MATCH($A49,SPPR!$A:$A,0),2),""),"")</f>
        <v/>
      </c>
      <c r="F49">
        <f>IFERROR(IF(ISNUMBER(INDEX(SPPR!$E:$X,MATCH($A49,SPPR!$A:$A,0),3)),$C49*INDEX(SPPR!$E:$X,MATCH($A49,SPPR!$A:$A,0),3),""),"")</f>
        <v/>
      </c>
      <c r="G49">
        <f>IFERROR(IF(ISNUMBER(INDEX(SPPR!$E:$X,MATCH($A49,SPPR!$A:$A,0),4)),$C49*INDEX(SPPR!$E:$X,MATCH($A49,SPPR!$A:$A,0),4),""),"")</f>
        <v/>
      </c>
      <c r="H49">
        <f>IFERROR(IF(ISNUMBER(INDEX(SPPR!$E:$X,MATCH($A49,SPPR!$A:$A,0),5)),$C49*INDEX(SPPR!$E:$X,MATCH($A49,SPPR!$A:$A,0),5),""),"")</f>
        <v/>
      </c>
      <c r="I49">
        <f>IFERROR(IF(ISNUMBER(INDEX(SPPR!$E:$X,MATCH($A49,SPPR!$A:$A,0),6)),$C49*INDEX(SPPR!$E:$X,MATCH($A49,SPPR!$A:$A,0),6),""),"")</f>
        <v/>
      </c>
      <c r="J49">
        <f>IFERROR(IF(ISNUMBER(INDEX(SPPR!$E:$X,MATCH($A49,SPPR!$A:$A,0),7)),$C49*INDEX(SPPR!$E:$X,MATCH($A49,SPPR!$A:$A,0),7),""),"")</f>
        <v/>
      </c>
      <c r="K49">
        <f>IFERROR(IF(ISNUMBER(INDEX(SPPR!$E:$X,MATCH($A49,SPPR!$A:$A,0),8)),$C49*INDEX(SPPR!$E:$X,MATCH($A49,SPPR!$A:$A,0),8),""),"")</f>
        <v/>
      </c>
      <c r="L49">
        <f>IFERROR(IF(ISNUMBER(INDEX(SPPR!$E:$X,MATCH($A49,SPPR!$A:$A,0),9)),$C49*INDEX(SPPR!$E:$X,MATCH($A49,SPPR!$A:$A,0),9),""),"")</f>
        <v/>
      </c>
      <c r="M49">
        <f>IFERROR(IF(ISNUMBER(INDEX(SPPR!$E:$X,MATCH($A49,SPPR!$A:$A,0),10)),$C49*INDEX(SPPR!$E:$X,MATCH($A49,SPPR!$A:$A,0),10),""),"")</f>
        <v/>
      </c>
      <c r="N49">
        <f>IFERROR(IF(ISNUMBER(INDEX(SPPR!$E:$X,MATCH($A49,SPPR!$A:$A,0),11)),$C49*INDEX(SPPR!$E:$X,MATCH($A49,SPPR!$A:$A,0),11),""),"")</f>
        <v/>
      </c>
      <c r="O49">
        <f>IFERROR(IF(ISNUMBER(INDEX(SPPR!$E:$X,MATCH($A49,SPPR!$A:$A,0),12)),$C49*INDEX(SPPR!$E:$X,MATCH($A49,SPPR!$A:$A,0),12),""),"")</f>
        <v/>
      </c>
      <c r="P49">
        <f>IFERROR(IF(ISNUMBER(INDEX(SPPR!$E:$X,MATCH($A49,SPPR!$A:$A,0),13)),$C49*INDEX(SPPR!$E:$X,MATCH($A49,SPPR!$A:$A,0),13),""),"")</f>
        <v/>
      </c>
      <c r="Q49">
        <f>IFERROR(IF(ISNUMBER(INDEX(SPPR!$E:$X,MATCH($A49,SPPR!$A:$A,0),14)),$C49*INDEX(SPPR!$E:$X,MATCH($A49,SPPR!$A:$A,0),14),""),"")</f>
        <v/>
      </c>
      <c r="R49">
        <f>IFERROR(IF(ISNUMBER(INDEX(SPPR!$E:$X,MATCH($A49,SPPR!$A:$A,0),15)),$C49*INDEX(SPPR!$E:$X,MATCH($A49,SPPR!$A:$A,0),15),""),"")</f>
        <v/>
      </c>
      <c r="S49">
        <f>IFERROR(IF(ISNUMBER(INDEX(SPPR!$E:$X,MATCH($A49,SPPR!$A:$A,0),16)),$C49*INDEX(SPPR!$E:$X,MATCH($A49,SPPR!$A:$A,0),16),""),"")</f>
        <v/>
      </c>
      <c r="T49">
        <f>IFERROR(IF(ISNUMBER(INDEX(SPPR!$E:$X,MATCH($A49,SPPR!$A:$A,0),17)),$C49*INDEX(SPPR!$E:$X,MATCH($A49,SPPR!$A:$A,0),17),""),"")</f>
        <v/>
      </c>
      <c r="U49">
        <f>IFERROR(IF(ISNUMBER(INDEX(SPPR!$E:$X,MATCH($A49,SPPR!$A:$A,0),18)),$C49*INDEX(SPPR!$E:$X,MATCH($A49,SPPR!$A:$A,0),18),""),"")</f>
        <v/>
      </c>
      <c r="V49">
        <f>IFERROR(IF(ISNUMBER(INDEX(SPPR!$E:$X,MATCH($A49,SPPR!$A:$A,0),19)),$C49*INDEX(SPPR!$E:$X,MATCH($A49,SPPR!$A:$A,0),19),""),"")</f>
        <v/>
      </c>
      <c r="W49">
        <f>IFERROR(IF(ISNUMBER(INDEX(SPPR!$E:$X,MATCH($A49,SPPR!$A:$A,0),20)),$C49*INDEX(SPPR!$E:$X,MATCH($A49,SPPR!$A:$A,0),20),""),"")</f>
        <v/>
      </c>
    </row>
    <row r="50">
      <c r="A50" t="inlineStr">
        <is>
          <t>Elasmobranchii</t>
        </is>
      </c>
      <c r="B50">
        <f>IFERROR(INDEX(SPPR!$D:$D,MATCH($A50,SPPR!$A:$A,0)),"")</f>
        <v/>
      </c>
      <c r="C50">
        <f>IFERROR(INDEX(Catch!$E:$BV,MATCH($A50,Catch!$A:$A,0),MATCH($B$4,Catch!$E$1:$BV$1,0)),0)</f>
        <v/>
      </c>
      <c r="D50">
        <f>IFERROR(IF(ISNUMBER(INDEX(SPPR!$E:$X,MATCH($A50,SPPR!$A:$A,0),1)),$C50*INDEX(SPPR!$E:$X,MATCH($A50,SPPR!$A:$A,0),1),""),"")</f>
        <v/>
      </c>
      <c r="E50">
        <f>IFERROR(IF(ISNUMBER(INDEX(SPPR!$E:$X,MATCH($A50,SPPR!$A:$A,0),2)),$C50*INDEX(SPPR!$E:$X,MATCH($A50,SPPR!$A:$A,0),2),""),"")</f>
        <v/>
      </c>
      <c r="F50">
        <f>IFERROR(IF(ISNUMBER(INDEX(SPPR!$E:$X,MATCH($A50,SPPR!$A:$A,0),3)),$C50*INDEX(SPPR!$E:$X,MATCH($A50,SPPR!$A:$A,0),3),""),"")</f>
        <v/>
      </c>
      <c r="G50">
        <f>IFERROR(IF(ISNUMBER(INDEX(SPPR!$E:$X,MATCH($A50,SPPR!$A:$A,0),4)),$C50*INDEX(SPPR!$E:$X,MATCH($A50,SPPR!$A:$A,0),4),""),"")</f>
        <v/>
      </c>
      <c r="H50">
        <f>IFERROR(IF(ISNUMBER(INDEX(SPPR!$E:$X,MATCH($A50,SPPR!$A:$A,0),5)),$C50*INDEX(SPPR!$E:$X,MATCH($A50,SPPR!$A:$A,0),5),""),"")</f>
        <v/>
      </c>
      <c r="I50">
        <f>IFERROR(IF(ISNUMBER(INDEX(SPPR!$E:$X,MATCH($A50,SPPR!$A:$A,0),6)),$C50*INDEX(SPPR!$E:$X,MATCH($A50,SPPR!$A:$A,0),6),""),"")</f>
        <v/>
      </c>
      <c r="J50">
        <f>IFERROR(IF(ISNUMBER(INDEX(SPPR!$E:$X,MATCH($A50,SPPR!$A:$A,0),7)),$C50*INDEX(SPPR!$E:$X,MATCH($A50,SPPR!$A:$A,0),7),""),"")</f>
        <v/>
      </c>
      <c r="K50">
        <f>IFERROR(IF(ISNUMBER(INDEX(SPPR!$E:$X,MATCH($A50,SPPR!$A:$A,0),8)),$C50*INDEX(SPPR!$E:$X,MATCH($A50,SPPR!$A:$A,0),8),""),"")</f>
        <v/>
      </c>
      <c r="L50">
        <f>IFERROR(IF(ISNUMBER(INDEX(SPPR!$E:$X,MATCH($A50,SPPR!$A:$A,0),9)),$C50*INDEX(SPPR!$E:$X,MATCH($A50,SPPR!$A:$A,0),9),""),"")</f>
        <v/>
      </c>
      <c r="M50">
        <f>IFERROR(IF(ISNUMBER(INDEX(SPPR!$E:$X,MATCH($A50,SPPR!$A:$A,0),10)),$C50*INDEX(SPPR!$E:$X,MATCH($A50,SPPR!$A:$A,0),10),""),"")</f>
        <v/>
      </c>
      <c r="N50">
        <f>IFERROR(IF(ISNUMBER(INDEX(SPPR!$E:$X,MATCH($A50,SPPR!$A:$A,0),11)),$C50*INDEX(SPPR!$E:$X,MATCH($A50,SPPR!$A:$A,0),11),""),"")</f>
        <v/>
      </c>
      <c r="O50">
        <f>IFERROR(IF(ISNUMBER(INDEX(SPPR!$E:$X,MATCH($A50,SPPR!$A:$A,0),12)),$C50*INDEX(SPPR!$E:$X,MATCH($A50,SPPR!$A:$A,0),12),""),"")</f>
        <v/>
      </c>
      <c r="P50">
        <f>IFERROR(IF(ISNUMBER(INDEX(SPPR!$E:$X,MATCH($A50,SPPR!$A:$A,0),13)),$C50*INDEX(SPPR!$E:$X,MATCH($A50,SPPR!$A:$A,0),13),""),"")</f>
        <v/>
      </c>
      <c r="Q50">
        <f>IFERROR(IF(ISNUMBER(INDEX(SPPR!$E:$X,MATCH($A50,SPPR!$A:$A,0),14)),$C50*INDEX(SPPR!$E:$X,MATCH($A50,SPPR!$A:$A,0),14),""),"")</f>
        <v/>
      </c>
      <c r="R50">
        <f>IFERROR(IF(ISNUMBER(INDEX(SPPR!$E:$X,MATCH($A50,SPPR!$A:$A,0),15)),$C50*INDEX(SPPR!$E:$X,MATCH($A50,SPPR!$A:$A,0),15),""),"")</f>
        <v/>
      </c>
      <c r="S50">
        <f>IFERROR(IF(ISNUMBER(INDEX(SPPR!$E:$X,MATCH($A50,SPPR!$A:$A,0),16)),$C50*INDEX(SPPR!$E:$X,MATCH($A50,SPPR!$A:$A,0),16),""),"")</f>
        <v/>
      </c>
      <c r="T50">
        <f>IFERROR(IF(ISNUMBER(INDEX(SPPR!$E:$X,MATCH($A50,SPPR!$A:$A,0),17)),$C50*INDEX(SPPR!$E:$X,MATCH($A50,SPPR!$A:$A,0),17),""),"")</f>
        <v/>
      </c>
      <c r="U50">
        <f>IFERROR(IF(ISNUMBER(INDEX(SPPR!$E:$X,MATCH($A50,SPPR!$A:$A,0),18)),$C50*INDEX(SPPR!$E:$X,MATCH($A50,SPPR!$A:$A,0),18),""),"")</f>
        <v/>
      </c>
      <c r="V50">
        <f>IFERROR(IF(ISNUMBER(INDEX(SPPR!$E:$X,MATCH($A50,SPPR!$A:$A,0),19)),$C50*INDEX(SPPR!$E:$X,MATCH($A50,SPPR!$A:$A,0),19),""),"")</f>
        <v/>
      </c>
      <c r="W50">
        <f>IFERROR(IF(ISNUMBER(INDEX(SPPR!$E:$X,MATCH($A50,SPPR!$A:$A,0),20)),$C50*INDEX(SPPR!$E:$X,MATCH($A50,SPPR!$A:$A,0),20),""),"")</f>
        <v/>
      </c>
    </row>
    <row r="51">
      <c r="A51" t="inlineStr">
        <is>
          <t>Miscellaneous aquatic invertebrates</t>
        </is>
      </c>
      <c r="B51">
        <f>IFERROR(INDEX(SPPR!$D:$D,MATCH($A51,SPPR!$A:$A,0)),"")</f>
        <v/>
      </c>
      <c r="C51">
        <f>IFERROR(INDEX(Catch!$E:$BV,MATCH($A51,Catch!$A:$A,0),MATCH($B$4,Catch!$E$1:$BV$1,0)),0)</f>
        <v/>
      </c>
      <c r="D51">
        <f>IFERROR(IF(ISNUMBER(INDEX(SPPR!$E:$X,MATCH($A51,SPPR!$A:$A,0),1)),$C51*INDEX(SPPR!$E:$X,MATCH($A51,SPPR!$A:$A,0),1),""),"")</f>
        <v/>
      </c>
      <c r="E51">
        <f>IFERROR(IF(ISNUMBER(INDEX(SPPR!$E:$X,MATCH($A51,SPPR!$A:$A,0),2)),$C51*INDEX(SPPR!$E:$X,MATCH($A51,SPPR!$A:$A,0),2),""),"")</f>
        <v/>
      </c>
      <c r="F51">
        <f>IFERROR(IF(ISNUMBER(INDEX(SPPR!$E:$X,MATCH($A51,SPPR!$A:$A,0),3)),$C51*INDEX(SPPR!$E:$X,MATCH($A51,SPPR!$A:$A,0),3),""),"")</f>
        <v/>
      </c>
      <c r="G51">
        <f>IFERROR(IF(ISNUMBER(INDEX(SPPR!$E:$X,MATCH($A51,SPPR!$A:$A,0),4)),$C51*INDEX(SPPR!$E:$X,MATCH($A51,SPPR!$A:$A,0),4),""),"")</f>
        <v/>
      </c>
      <c r="H51">
        <f>IFERROR(IF(ISNUMBER(INDEX(SPPR!$E:$X,MATCH($A51,SPPR!$A:$A,0),5)),$C51*INDEX(SPPR!$E:$X,MATCH($A51,SPPR!$A:$A,0),5),""),"")</f>
        <v/>
      </c>
      <c r="I51">
        <f>IFERROR(IF(ISNUMBER(INDEX(SPPR!$E:$X,MATCH($A51,SPPR!$A:$A,0),6)),$C51*INDEX(SPPR!$E:$X,MATCH($A51,SPPR!$A:$A,0),6),""),"")</f>
        <v/>
      </c>
      <c r="J51">
        <f>IFERROR(IF(ISNUMBER(INDEX(SPPR!$E:$X,MATCH($A51,SPPR!$A:$A,0),7)),$C51*INDEX(SPPR!$E:$X,MATCH($A51,SPPR!$A:$A,0),7),""),"")</f>
        <v/>
      </c>
      <c r="K51">
        <f>IFERROR(IF(ISNUMBER(INDEX(SPPR!$E:$X,MATCH($A51,SPPR!$A:$A,0),8)),$C51*INDEX(SPPR!$E:$X,MATCH($A51,SPPR!$A:$A,0),8),""),"")</f>
        <v/>
      </c>
      <c r="L51">
        <f>IFERROR(IF(ISNUMBER(INDEX(SPPR!$E:$X,MATCH($A51,SPPR!$A:$A,0),9)),$C51*INDEX(SPPR!$E:$X,MATCH($A51,SPPR!$A:$A,0),9),""),"")</f>
        <v/>
      </c>
      <c r="M51">
        <f>IFERROR(IF(ISNUMBER(INDEX(SPPR!$E:$X,MATCH($A51,SPPR!$A:$A,0),10)),$C51*INDEX(SPPR!$E:$X,MATCH($A51,SPPR!$A:$A,0),10),""),"")</f>
        <v/>
      </c>
      <c r="N51">
        <f>IFERROR(IF(ISNUMBER(INDEX(SPPR!$E:$X,MATCH($A51,SPPR!$A:$A,0),11)),$C51*INDEX(SPPR!$E:$X,MATCH($A51,SPPR!$A:$A,0),11),""),"")</f>
        <v/>
      </c>
      <c r="O51">
        <f>IFERROR(IF(ISNUMBER(INDEX(SPPR!$E:$X,MATCH($A51,SPPR!$A:$A,0),12)),$C51*INDEX(SPPR!$E:$X,MATCH($A51,SPPR!$A:$A,0),12),""),"")</f>
        <v/>
      </c>
      <c r="P51">
        <f>IFERROR(IF(ISNUMBER(INDEX(SPPR!$E:$X,MATCH($A51,SPPR!$A:$A,0),13)),$C51*INDEX(SPPR!$E:$X,MATCH($A51,SPPR!$A:$A,0),13),""),"")</f>
        <v/>
      </c>
      <c r="Q51">
        <f>IFERROR(IF(ISNUMBER(INDEX(SPPR!$E:$X,MATCH($A51,SPPR!$A:$A,0),14)),$C51*INDEX(SPPR!$E:$X,MATCH($A51,SPPR!$A:$A,0),14),""),"")</f>
        <v/>
      </c>
      <c r="R51">
        <f>IFERROR(IF(ISNUMBER(INDEX(SPPR!$E:$X,MATCH($A51,SPPR!$A:$A,0),15)),$C51*INDEX(SPPR!$E:$X,MATCH($A51,SPPR!$A:$A,0),15),""),"")</f>
        <v/>
      </c>
      <c r="S51">
        <f>IFERROR(IF(ISNUMBER(INDEX(SPPR!$E:$X,MATCH($A51,SPPR!$A:$A,0),16)),$C51*INDEX(SPPR!$E:$X,MATCH($A51,SPPR!$A:$A,0),16),""),"")</f>
        <v/>
      </c>
      <c r="T51">
        <f>IFERROR(IF(ISNUMBER(INDEX(SPPR!$E:$X,MATCH($A51,SPPR!$A:$A,0),17)),$C51*INDEX(SPPR!$E:$X,MATCH($A51,SPPR!$A:$A,0),17),""),"")</f>
        <v/>
      </c>
      <c r="U51">
        <f>IFERROR(IF(ISNUMBER(INDEX(SPPR!$E:$X,MATCH($A51,SPPR!$A:$A,0),18)),$C51*INDEX(SPPR!$E:$X,MATCH($A51,SPPR!$A:$A,0),18),""),"")</f>
        <v/>
      </c>
      <c r="V51">
        <f>IFERROR(IF(ISNUMBER(INDEX(SPPR!$E:$X,MATCH($A51,SPPR!$A:$A,0),19)),$C51*INDEX(SPPR!$E:$X,MATCH($A51,SPPR!$A:$A,0),19),""),"")</f>
        <v/>
      </c>
      <c r="W51">
        <f>IFERROR(IF(ISNUMBER(INDEX(SPPR!$E:$X,MATCH($A51,SPPR!$A:$A,0),20)),$C51*INDEX(SPPR!$E:$X,MATCH($A51,SPPR!$A:$A,0),20),""),"")</f>
        <v/>
      </c>
    </row>
    <row r="52">
      <c r="A52" t="inlineStr">
        <is>
          <t>Anguilla anguilla</t>
        </is>
      </c>
      <c r="B52">
        <f>IFERROR(INDEX(SPPR!$D:$D,MATCH($A52,SPPR!$A:$A,0)),"")</f>
        <v/>
      </c>
      <c r="C52">
        <f>IFERROR(INDEX(Catch!$E:$BV,MATCH($A52,Catch!$A:$A,0),MATCH($B$4,Catch!$E$1:$BV$1,0)),0)</f>
        <v/>
      </c>
      <c r="D52">
        <f>IFERROR(IF(ISNUMBER(INDEX(SPPR!$E:$X,MATCH($A52,SPPR!$A:$A,0),1)),$C52*INDEX(SPPR!$E:$X,MATCH($A52,SPPR!$A:$A,0),1),""),"")</f>
        <v/>
      </c>
      <c r="E52">
        <f>IFERROR(IF(ISNUMBER(INDEX(SPPR!$E:$X,MATCH($A52,SPPR!$A:$A,0),2)),$C52*INDEX(SPPR!$E:$X,MATCH($A52,SPPR!$A:$A,0),2),""),"")</f>
        <v/>
      </c>
      <c r="F52">
        <f>IFERROR(IF(ISNUMBER(INDEX(SPPR!$E:$X,MATCH($A52,SPPR!$A:$A,0),3)),$C52*INDEX(SPPR!$E:$X,MATCH($A52,SPPR!$A:$A,0),3),""),"")</f>
        <v/>
      </c>
      <c r="G52">
        <f>IFERROR(IF(ISNUMBER(INDEX(SPPR!$E:$X,MATCH($A52,SPPR!$A:$A,0),4)),$C52*INDEX(SPPR!$E:$X,MATCH($A52,SPPR!$A:$A,0),4),""),"")</f>
        <v/>
      </c>
      <c r="H52">
        <f>IFERROR(IF(ISNUMBER(INDEX(SPPR!$E:$X,MATCH($A52,SPPR!$A:$A,0),5)),$C52*INDEX(SPPR!$E:$X,MATCH($A52,SPPR!$A:$A,0),5),""),"")</f>
        <v/>
      </c>
      <c r="I52">
        <f>IFERROR(IF(ISNUMBER(INDEX(SPPR!$E:$X,MATCH($A52,SPPR!$A:$A,0),6)),$C52*INDEX(SPPR!$E:$X,MATCH($A52,SPPR!$A:$A,0),6),""),"")</f>
        <v/>
      </c>
      <c r="J52">
        <f>IFERROR(IF(ISNUMBER(INDEX(SPPR!$E:$X,MATCH($A52,SPPR!$A:$A,0),7)),$C52*INDEX(SPPR!$E:$X,MATCH($A52,SPPR!$A:$A,0),7),""),"")</f>
        <v/>
      </c>
      <c r="K52">
        <f>IFERROR(IF(ISNUMBER(INDEX(SPPR!$E:$X,MATCH($A52,SPPR!$A:$A,0),8)),$C52*INDEX(SPPR!$E:$X,MATCH($A52,SPPR!$A:$A,0),8),""),"")</f>
        <v/>
      </c>
      <c r="L52">
        <f>IFERROR(IF(ISNUMBER(INDEX(SPPR!$E:$X,MATCH($A52,SPPR!$A:$A,0),9)),$C52*INDEX(SPPR!$E:$X,MATCH($A52,SPPR!$A:$A,0),9),""),"")</f>
        <v/>
      </c>
      <c r="M52">
        <f>IFERROR(IF(ISNUMBER(INDEX(SPPR!$E:$X,MATCH($A52,SPPR!$A:$A,0),10)),$C52*INDEX(SPPR!$E:$X,MATCH($A52,SPPR!$A:$A,0),10),""),"")</f>
        <v/>
      </c>
      <c r="N52">
        <f>IFERROR(IF(ISNUMBER(INDEX(SPPR!$E:$X,MATCH($A52,SPPR!$A:$A,0),11)),$C52*INDEX(SPPR!$E:$X,MATCH($A52,SPPR!$A:$A,0),11),""),"")</f>
        <v/>
      </c>
      <c r="O52">
        <f>IFERROR(IF(ISNUMBER(INDEX(SPPR!$E:$X,MATCH($A52,SPPR!$A:$A,0),12)),$C52*INDEX(SPPR!$E:$X,MATCH($A52,SPPR!$A:$A,0),12),""),"")</f>
        <v/>
      </c>
      <c r="P52">
        <f>IFERROR(IF(ISNUMBER(INDEX(SPPR!$E:$X,MATCH($A52,SPPR!$A:$A,0),13)),$C52*INDEX(SPPR!$E:$X,MATCH($A52,SPPR!$A:$A,0),13),""),"")</f>
        <v/>
      </c>
      <c r="Q52">
        <f>IFERROR(IF(ISNUMBER(INDEX(SPPR!$E:$X,MATCH($A52,SPPR!$A:$A,0),14)),$C52*INDEX(SPPR!$E:$X,MATCH($A52,SPPR!$A:$A,0),14),""),"")</f>
        <v/>
      </c>
      <c r="R52">
        <f>IFERROR(IF(ISNUMBER(INDEX(SPPR!$E:$X,MATCH($A52,SPPR!$A:$A,0),15)),$C52*INDEX(SPPR!$E:$X,MATCH($A52,SPPR!$A:$A,0),15),""),"")</f>
        <v/>
      </c>
      <c r="S52">
        <f>IFERROR(IF(ISNUMBER(INDEX(SPPR!$E:$X,MATCH($A52,SPPR!$A:$A,0),16)),$C52*INDEX(SPPR!$E:$X,MATCH($A52,SPPR!$A:$A,0),16),""),"")</f>
        <v/>
      </c>
      <c r="T52">
        <f>IFERROR(IF(ISNUMBER(INDEX(SPPR!$E:$X,MATCH($A52,SPPR!$A:$A,0),17)),$C52*INDEX(SPPR!$E:$X,MATCH($A52,SPPR!$A:$A,0),17),""),"")</f>
        <v/>
      </c>
      <c r="U52">
        <f>IFERROR(IF(ISNUMBER(INDEX(SPPR!$E:$X,MATCH($A52,SPPR!$A:$A,0),18)),$C52*INDEX(SPPR!$E:$X,MATCH($A52,SPPR!$A:$A,0),18),""),"")</f>
        <v/>
      </c>
      <c r="V52">
        <f>IFERROR(IF(ISNUMBER(INDEX(SPPR!$E:$X,MATCH($A52,SPPR!$A:$A,0),19)),$C52*INDEX(SPPR!$E:$X,MATCH($A52,SPPR!$A:$A,0),19),""),"")</f>
        <v/>
      </c>
      <c r="W52">
        <f>IFERROR(IF(ISNUMBER(INDEX(SPPR!$E:$X,MATCH($A52,SPPR!$A:$A,0),20)),$C52*INDEX(SPPR!$E:$X,MATCH($A52,SPPR!$A:$A,0),20),""),"")</f>
        <v/>
      </c>
    </row>
    <row r="53">
      <c r="A53" t="inlineStr">
        <is>
          <t>Squalidae</t>
        </is>
      </c>
      <c r="B53">
        <f>IFERROR(INDEX(SPPR!$D:$D,MATCH($A53,SPPR!$A:$A,0)),"")</f>
        <v/>
      </c>
      <c r="C53">
        <f>IFERROR(INDEX(Catch!$E:$BV,MATCH($A53,Catch!$A:$A,0),MATCH($B$4,Catch!$E$1:$BV$1,0)),0)</f>
        <v/>
      </c>
      <c r="D53">
        <f>IFERROR(IF(ISNUMBER(INDEX(SPPR!$E:$X,MATCH($A53,SPPR!$A:$A,0),1)),$C53*INDEX(SPPR!$E:$X,MATCH($A53,SPPR!$A:$A,0),1),""),"")</f>
        <v/>
      </c>
      <c r="E53">
        <f>IFERROR(IF(ISNUMBER(INDEX(SPPR!$E:$X,MATCH($A53,SPPR!$A:$A,0),2)),$C53*INDEX(SPPR!$E:$X,MATCH($A53,SPPR!$A:$A,0),2),""),"")</f>
        <v/>
      </c>
      <c r="F53">
        <f>IFERROR(IF(ISNUMBER(INDEX(SPPR!$E:$X,MATCH($A53,SPPR!$A:$A,0),3)),$C53*INDEX(SPPR!$E:$X,MATCH($A53,SPPR!$A:$A,0),3),""),"")</f>
        <v/>
      </c>
      <c r="G53">
        <f>IFERROR(IF(ISNUMBER(INDEX(SPPR!$E:$X,MATCH($A53,SPPR!$A:$A,0),4)),$C53*INDEX(SPPR!$E:$X,MATCH($A53,SPPR!$A:$A,0),4),""),"")</f>
        <v/>
      </c>
      <c r="H53">
        <f>IFERROR(IF(ISNUMBER(INDEX(SPPR!$E:$X,MATCH($A53,SPPR!$A:$A,0),5)),$C53*INDEX(SPPR!$E:$X,MATCH($A53,SPPR!$A:$A,0),5),""),"")</f>
        <v/>
      </c>
      <c r="I53">
        <f>IFERROR(IF(ISNUMBER(INDEX(SPPR!$E:$X,MATCH($A53,SPPR!$A:$A,0),6)),$C53*INDEX(SPPR!$E:$X,MATCH($A53,SPPR!$A:$A,0),6),""),"")</f>
        <v/>
      </c>
      <c r="J53">
        <f>IFERROR(IF(ISNUMBER(INDEX(SPPR!$E:$X,MATCH($A53,SPPR!$A:$A,0),7)),$C53*INDEX(SPPR!$E:$X,MATCH($A53,SPPR!$A:$A,0),7),""),"")</f>
        <v/>
      </c>
      <c r="K53">
        <f>IFERROR(IF(ISNUMBER(INDEX(SPPR!$E:$X,MATCH($A53,SPPR!$A:$A,0),8)),$C53*INDEX(SPPR!$E:$X,MATCH($A53,SPPR!$A:$A,0),8),""),"")</f>
        <v/>
      </c>
      <c r="L53">
        <f>IFERROR(IF(ISNUMBER(INDEX(SPPR!$E:$X,MATCH($A53,SPPR!$A:$A,0),9)),$C53*INDEX(SPPR!$E:$X,MATCH($A53,SPPR!$A:$A,0),9),""),"")</f>
        <v/>
      </c>
      <c r="M53">
        <f>IFERROR(IF(ISNUMBER(INDEX(SPPR!$E:$X,MATCH($A53,SPPR!$A:$A,0),10)),$C53*INDEX(SPPR!$E:$X,MATCH($A53,SPPR!$A:$A,0),10),""),"")</f>
        <v/>
      </c>
      <c r="N53">
        <f>IFERROR(IF(ISNUMBER(INDEX(SPPR!$E:$X,MATCH($A53,SPPR!$A:$A,0),11)),$C53*INDEX(SPPR!$E:$X,MATCH($A53,SPPR!$A:$A,0),11),""),"")</f>
        <v/>
      </c>
      <c r="O53">
        <f>IFERROR(IF(ISNUMBER(INDEX(SPPR!$E:$X,MATCH($A53,SPPR!$A:$A,0),12)),$C53*INDEX(SPPR!$E:$X,MATCH($A53,SPPR!$A:$A,0),12),""),"")</f>
        <v/>
      </c>
      <c r="P53">
        <f>IFERROR(IF(ISNUMBER(INDEX(SPPR!$E:$X,MATCH($A53,SPPR!$A:$A,0),13)),$C53*INDEX(SPPR!$E:$X,MATCH($A53,SPPR!$A:$A,0),13),""),"")</f>
        <v/>
      </c>
      <c r="Q53">
        <f>IFERROR(IF(ISNUMBER(INDEX(SPPR!$E:$X,MATCH($A53,SPPR!$A:$A,0),14)),$C53*INDEX(SPPR!$E:$X,MATCH($A53,SPPR!$A:$A,0),14),""),"")</f>
        <v/>
      </c>
      <c r="R53">
        <f>IFERROR(IF(ISNUMBER(INDEX(SPPR!$E:$X,MATCH($A53,SPPR!$A:$A,0),15)),$C53*INDEX(SPPR!$E:$X,MATCH($A53,SPPR!$A:$A,0),15),""),"")</f>
        <v/>
      </c>
      <c r="S53">
        <f>IFERROR(IF(ISNUMBER(INDEX(SPPR!$E:$X,MATCH($A53,SPPR!$A:$A,0),16)),$C53*INDEX(SPPR!$E:$X,MATCH($A53,SPPR!$A:$A,0),16),""),"")</f>
        <v/>
      </c>
      <c r="T53">
        <f>IFERROR(IF(ISNUMBER(INDEX(SPPR!$E:$X,MATCH($A53,SPPR!$A:$A,0),17)),$C53*INDEX(SPPR!$E:$X,MATCH($A53,SPPR!$A:$A,0),17),""),"")</f>
        <v/>
      </c>
      <c r="U53">
        <f>IFERROR(IF(ISNUMBER(INDEX(SPPR!$E:$X,MATCH($A53,SPPR!$A:$A,0),18)),$C53*INDEX(SPPR!$E:$X,MATCH($A53,SPPR!$A:$A,0),18),""),"")</f>
        <v/>
      </c>
      <c r="V53">
        <f>IFERROR(IF(ISNUMBER(INDEX(SPPR!$E:$X,MATCH($A53,SPPR!$A:$A,0),19)),$C53*INDEX(SPPR!$E:$X,MATCH($A53,SPPR!$A:$A,0),19),""),"")</f>
        <v/>
      </c>
      <c r="W53">
        <f>IFERROR(IF(ISNUMBER(INDEX(SPPR!$E:$X,MATCH($A53,SPPR!$A:$A,0),20)),$C53*INDEX(SPPR!$E:$X,MATCH($A53,SPPR!$A:$A,0),20),""),"")</f>
        <v/>
      </c>
    </row>
    <row r="54">
      <c r="A54" t="inlineStr">
        <is>
          <t>Cyclopterus lumpus</t>
        </is>
      </c>
      <c r="B54">
        <f>IFERROR(INDEX(SPPR!$D:$D,MATCH($A54,SPPR!$A:$A,0)),"")</f>
        <v/>
      </c>
      <c r="C54">
        <f>IFERROR(INDEX(Catch!$E:$BV,MATCH($A54,Catch!$A:$A,0),MATCH($B$4,Catch!$E$1:$BV$1,0)),0)</f>
        <v/>
      </c>
      <c r="D54">
        <f>IFERROR(IF(ISNUMBER(INDEX(SPPR!$E:$X,MATCH($A54,SPPR!$A:$A,0),1)),$C54*INDEX(SPPR!$E:$X,MATCH($A54,SPPR!$A:$A,0),1),""),"")</f>
        <v/>
      </c>
      <c r="E54">
        <f>IFERROR(IF(ISNUMBER(INDEX(SPPR!$E:$X,MATCH($A54,SPPR!$A:$A,0),2)),$C54*INDEX(SPPR!$E:$X,MATCH($A54,SPPR!$A:$A,0),2),""),"")</f>
        <v/>
      </c>
      <c r="F54">
        <f>IFERROR(IF(ISNUMBER(INDEX(SPPR!$E:$X,MATCH($A54,SPPR!$A:$A,0),3)),$C54*INDEX(SPPR!$E:$X,MATCH($A54,SPPR!$A:$A,0),3),""),"")</f>
        <v/>
      </c>
      <c r="G54">
        <f>IFERROR(IF(ISNUMBER(INDEX(SPPR!$E:$X,MATCH($A54,SPPR!$A:$A,0),4)),$C54*INDEX(SPPR!$E:$X,MATCH($A54,SPPR!$A:$A,0),4),""),"")</f>
        <v/>
      </c>
      <c r="H54">
        <f>IFERROR(IF(ISNUMBER(INDEX(SPPR!$E:$X,MATCH($A54,SPPR!$A:$A,0),5)),$C54*INDEX(SPPR!$E:$X,MATCH($A54,SPPR!$A:$A,0),5),""),"")</f>
        <v/>
      </c>
      <c r="I54">
        <f>IFERROR(IF(ISNUMBER(INDEX(SPPR!$E:$X,MATCH($A54,SPPR!$A:$A,0),6)),$C54*INDEX(SPPR!$E:$X,MATCH($A54,SPPR!$A:$A,0),6),""),"")</f>
        <v/>
      </c>
      <c r="J54">
        <f>IFERROR(IF(ISNUMBER(INDEX(SPPR!$E:$X,MATCH($A54,SPPR!$A:$A,0),7)),$C54*INDEX(SPPR!$E:$X,MATCH($A54,SPPR!$A:$A,0),7),""),"")</f>
        <v/>
      </c>
      <c r="K54">
        <f>IFERROR(IF(ISNUMBER(INDEX(SPPR!$E:$X,MATCH($A54,SPPR!$A:$A,0),8)),$C54*INDEX(SPPR!$E:$X,MATCH($A54,SPPR!$A:$A,0),8),""),"")</f>
        <v/>
      </c>
      <c r="L54">
        <f>IFERROR(IF(ISNUMBER(INDEX(SPPR!$E:$X,MATCH($A54,SPPR!$A:$A,0),9)),$C54*INDEX(SPPR!$E:$X,MATCH($A54,SPPR!$A:$A,0),9),""),"")</f>
        <v/>
      </c>
      <c r="M54">
        <f>IFERROR(IF(ISNUMBER(INDEX(SPPR!$E:$X,MATCH($A54,SPPR!$A:$A,0),10)),$C54*INDEX(SPPR!$E:$X,MATCH($A54,SPPR!$A:$A,0),10),""),"")</f>
        <v/>
      </c>
      <c r="N54">
        <f>IFERROR(IF(ISNUMBER(INDEX(SPPR!$E:$X,MATCH($A54,SPPR!$A:$A,0),11)),$C54*INDEX(SPPR!$E:$X,MATCH($A54,SPPR!$A:$A,0),11),""),"")</f>
        <v/>
      </c>
      <c r="O54">
        <f>IFERROR(IF(ISNUMBER(INDEX(SPPR!$E:$X,MATCH($A54,SPPR!$A:$A,0),12)),$C54*INDEX(SPPR!$E:$X,MATCH($A54,SPPR!$A:$A,0),12),""),"")</f>
        <v/>
      </c>
      <c r="P54">
        <f>IFERROR(IF(ISNUMBER(INDEX(SPPR!$E:$X,MATCH($A54,SPPR!$A:$A,0),13)),$C54*INDEX(SPPR!$E:$X,MATCH($A54,SPPR!$A:$A,0),13),""),"")</f>
        <v/>
      </c>
      <c r="Q54">
        <f>IFERROR(IF(ISNUMBER(INDEX(SPPR!$E:$X,MATCH($A54,SPPR!$A:$A,0),14)),$C54*INDEX(SPPR!$E:$X,MATCH($A54,SPPR!$A:$A,0),14),""),"")</f>
        <v/>
      </c>
      <c r="R54">
        <f>IFERROR(IF(ISNUMBER(INDEX(SPPR!$E:$X,MATCH($A54,SPPR!$A:$A,0),15)),$C54*INDEX(SPPR!$E:$X,MATCH($A54,SPPR!$A:$A,0),15),""),"")</f>
        <v/>
      </c>
      <c r="S54">
        <f>IFERROR(IF(ISNUMBER(INDEX(SPPR!$E:$X,MATCH($A54,SPPR!$A:$A,0),16)),$C54*INDEX(SPPR!$E:$X,MATCH($A54,SPPR!$A:$A,0),16),""),"")</f>
        <v/>
      </c>
      <c r="T54">
        <f>IFERROR(IF(ISNUMBER(INDEX(SPPR!$E:$X,MATCH($A54,SPPR!$A:$A,0),17)),$C54*INDEX(SPPR!$E:$X,MATCH($A54,SPPR!$A:$A,0),17),""),"")</f>
        <v/>
      </c>
      <c r="U54">
        <f>IFERROR(IF(ISNUMBER(INDEX(SPPR!$E:$X,MATCH($A54,SPPR!$A:$A,0),18)),$C54*INDEX(SPPR!$E:$X,MATCH($A54,SPPR!$A:$A,0),18),""),"")</f>
        <v/>
      </c>
      <c r="V54">
        <f>IFERROR(IF(ISNUMBER(INDEX(SPPR!$E:$X,MATCH($A54,SPPR!$A:$A,0),19)),$C54*INDEX(SPPR!$E:$X,MATCH($A54,SPPR!$A:$A,0),19),""),"")</f>
        <v/>
      </c>
      <c r="W54">
        <f>IFERROR(IF(ISNUMBER(INDEX(SPPR!$E:$X,MATCH($A54,SPPR!$A:$A,0),20)),$C54*INDEX(SPPR!$E:$X,MATCH($A54,SPPR!$A:$A,0),20),""),"")</f>
        <v/>
      </c>
    </row>
    <row r="55">
      <c r="A55" t="inlineStr">
        <is>
          <t>Thunnus thynnus</t>
        </is>
      </c>
      <c r="B55">
        <f>IFERROR(INDEX(SPPR!$D:$D,MATCH($A55,SPPR!$A:$A,0)),"")</f>
        <v/>
      </c>
      <c r="C55">
        <f>IFERROR(INDEX(Catch!$E:$BV,MATCH($A55,Catch!$A:$A,0),MATCH($B$4,Catch!$E$1:$BV$1,0)),0)</f>
        <v/>
      </c>
      <c r="D55">
        <f>IFERROR(IF(ISNUMBER(INDEX(SPPR!$E:$X,MATCH($A55,SPPR!$A:$A,0),1)),$C55*INDEX(SPPR!$E:$X,MATCH($A55,SPPR!$A:$A,0),1),""),"")</f>
        <v/>
      </c>
      <c r="E55">
        <f>IFERROR(IF(ISNUMBER(INDEX(SPPR!$E:$X,MATCH($A55,SPPR!$A:$A,0),2)),$C55*INDEX(SPPR!$E:$X,MATCH($A55,SPPR!$A:$A,0),2),""),"")</f>
        <v/>
      </c>
      <c r="F55">
        <f>IFERROR(IF(ISNUMBER(INDEX(SPPR!$E:$X,MATCH($A55,SPPR!$A:$A,0),3)),$C55*INDEX(SPPR!$E:$X,MATCH($A55,SPPR!$A:$A,0),3),""),"")</f>
        <v/>
      </c>
      <c r="G55">
        <f>IFERROR(IF(ISNUMBER(INDEX(SPPR!$E:$X,MATCH($A55,SPPR!$A:$A,0),4)),$C55*INDEX(SPPR!$E:$X,MATCH($A55,SPPR!$A:$A,0),4),""),"")</f>
        <v/>
      </c>
      <c r="H55">
        <f>IFERROR(IF(ISNUMBER(INDEX(SPPR!$E:$X,MATCH($A55,SPPR!$A:$A,0),5)),$C55*INDEX(SPPR!$E:$X,MATCH($A55,SPPR!$A:$A,0),5),""),"")</f>
        <v/>
      </c>
      <c r="I55">
        <f>IFERROR(IF(ISNUMBER(INDEX(SPPR!$E:$X,MATCH($A55,SPPR!$A:$A,0),6)),$C55*INDEX(SPPR!$E:$X,MATCH($A55,SPPR!$A:$A,0),6),""),"")</f>
        <v/>
      </c>
      <c r="J55">
        <f>IFERROR(IF(ISNUMBER(INDEX(SPPR!$E:$X,MATCH($A55,SPPR!$A:$A,0),7)),$C55*INDEX(SPPR!$E:$X,MATCH($A55,SPPR!$A:$A,0),7),""),"")</f>
        <v/>
      </c>
      <c r="K55">
        <f>IFERROR(IF(ISNUMBER(INDEX(SPPR!$E:$X,MATCH($A55,SPPR!$A:$A,0),8)),$C55*INDEX(SPPR!$E:$X,MATCH($A55,SPPR!$A:$A,0),8),""),"")</f>
        <v/>
      </c>
      <c r="L55">
        <f>IFERROR(IF(ISNUMBER(INDEX(SPPR!$E:$X,MATCH($A55,SPPR!$A:$A,0),9)),$C55*INDEX(SPPR!$E:$X,MATCH($A55,SPPR!$A:$A,0),9),""),"")</f>
        <v/>
      </c>
      <c r="M55">
        <f>IFERROR(IF(ISNUMBER(INDEX(SPPR!$E:$X,MATCH($A55,SPPR!$A:$A,0),10)),$C55*INDEX(SPPR!$E:$X,MATCH($A55,SPPR!$A:$A,0),10),""),"")</f>
        <v/>
      </c>
      <c r="N55">
        <f>IFERROR(IF(ISNUMBER(INDEX(SPPR!$E:$X,MATCH($A55,SPPR!$A:$A,0),11)),$C55*INDEX(SPPR!$E:$X,MATCH($A55,SPPR!$A:$A,0),11),""),"")</f>
        <v/>
      </c>
      <c r="O55">
        <f>IFERROR(IF(ISNUMBER(INDEX(SPPR!$E:$X,MATCH($A55,SPPR!$A:$A,0),12)),$C55*INDEX(SPPR!$E:$X,MATCH($A55,SPPR!$A:$A,0),12),""),"")</f>
        <v/>
      </c>
      <c r="P55">
        <f>IFERROR(IF(ISNUMBER(INDEX(SPPR!$E:$X,MATCH($A55,SPPR!$A:$A,0),13)),$C55*INDEX(SPPR!$E:$X,MATCH($A55,SPPR!$A:$A,0),13),""),"")</f>
        <v/>
      </c>
      <c r="Q55">
        <f>IFERROR(IF(ISNUMBER(INDEX(SPPR!$E:$X,MATCH($A55,SPPR!$A:$A,0),14)),$C55*INDEX(SPPR!$E:$X,MATCH($A55,SPPR!$A:$A,0),14),""),"")</f>
        <v/>
      </c>
      <c r="R55">
        <f>IFERROR(IF(ISNUMBER(INDEX(SPPR!$E:$X,MATCH($A55,SPPR!$A:$A,0),15)),$C55*INDEX(SPPR!$E:$X,MATCH($A55,SPPR!$A:$A,0),15),""),"")</f>
        <v/>
      </c>
      <c r="S55">
        <f>IFERROR(IF(ISNUMBER(INDEX(SPPR!$E:$X,MATCH($A55,SPPR!$A:$A,0),16)),$C55*INDEX(SPPR!$E:$X,MATCH($A55,SPPR!$A:$A,0),16),""),"")</f>
        <v/>
      </c>
      <c r="T55">
        <f>IFERROR(IF(ISNUMBER(INDEX(SPPR!$E:$X,MATCH($A55,SPPR!$A:$A,0),17)),$C55*INDEX(SPPR!$E:$X,MATCH($A55,SPPR!$A:$A,0),17),""),"")</f>
        <v/>
      </c>
      <c r="U55">
        <f>IFERROR(IF(ISNUMBER(INDEX(SPPR!$E:$X,MATCH($A55,SPPR!$A:$A,0),18)),$C55*INDEX(SPPR!$E:$X,MATCH($A55,SPPR!$A:$A,0),18),""),"")</f>
        <v/>
      </c>
      <c r="V55">
        <f>IFERROR(IF(ISNUMBER(INDEX(SPPR!$E:$X,MATCH($A55,SPPR!$A:$A,0),19)),$C55*INDEX(SPPR!$E:$X,MATCH($A55,SPPR!$A:$A,0),19),""),"")</f>
        <v/>
      </c>
      <c r="W55">
        <f>IFERROR(IF(ISNUMBER(INDEX(SPPR!$E:$X,MATCH($A55,SPPR!$A:$A,0),20)),$C55*INDEX(SPPR!$E:$X,MATCH($A55,SPPR!$A:$A,0),20),""),"")</f>
        <v/>
      </c>
    </row>
    <row r="56">
      <c r="A56" t="inlineStr">
        <is>
          <t>Marine pelagic fishes not identified</t>
        </is>
      </c>
      <c r="B56">
        <f>IFERROR(INDEX(SPPR!$D:$D,MATCH($A56,SPPR!$A:$A,0)),"")</f>
        <v/>
      </c>
      <c r="C56">
        <f>IFERROR(INDEX(Catch!$E:$BV,MATCH($A56,Catch!$A:$A,0),MATCH($B$4,Catch!$E$1:$BV$1,0)),0)</f>
        <v/>
      </c>
      <c r="D56">
        <f>IFERROR(IF(ISNUMBER(INDEX(SPPR!$E:$X,MATCH($A56,SPPR!$A:$A,0),1)),$C56*INDEX(SPPR!$E:$X,MATCH($A56,SPPR!$A:$A,0),1),""),"")</f>
        <v/>
      </c>
      <c r="E56">
        <f>IFERROR(IF(ISNUMBER(INDEX(SPPR!$E:$X,MATCH($A56,SPPR!$A:$A,0),2)),$C56*INDEX(SPPR!$E:$X,MATCH($A56,SPPR!$A:$A,0),2),""),"")</f>
        <v/>
      </c>
      <c r="F56">
        <f>IFERROR(IF(ISNUMBER(INDEX(SPPR!$E:$X,MATCH($A56,SPPR!$A:$A,0),3)),$C56*INDEX(SPPR!$E:$X,MATCH($A56,SPPR!$A:$A,0),3),""),"")</f>
        <v/>
      </c>
      <c r="G56">
        <f>IFERROR(IF(ISNUMBER(INDEX(SPPR!$E:$X,MATCH($A56,SPPR!$A:$A,0),4)),$C56*INDEX(SPPR!$E:$X,MATCH($A56,SPPR!$A:$A,0),4),""),"")</f>
        <v/>
      </c>
      <c r="H56">
        <f>IFERROR(IF(ISNUMBER(INDEX(SPPR!$E:$X,MATCH($A56,SPPR!$A:$A,0),5)),$C56*INDEX(SPPR!$E:$X,MATCH($A56,SPPR!$A:$A,0),5),""),"")</f>
        <v/>
      </c>
      <c r="I56">
        <f>IFERROR(IF(ISNUMBER(INDEX(SPPR!$E:$X,MATCH($A56,SPPR!$A:$A,0),6)),$C56*INDEX(SPPR!$E:$X,MATCH($A56,SPPR!$A:$A,0),6),""),"")</f>
        <v/>
      </c>
      <c r="J56">
        <f>IFERROR(IF(ISNUMBER(INDEX(SPPR!$E:$X,MATCH($A56,SPPR!$A:$A,0),7)),$C56*INDEX(SPPR!$E:$X,MATCH($A56,SPPR!$A:$A,0),7),""),"")</f>
        <v/>
      </c>
      <c r="K56">
        <f>IFERROR(IF(ISNUMBER(INDEX(SPPR!$E:$X,MATCH($A56,SPPR!$A:$A,0),8)),$C56*INDEX(SPPR!$E:$X,MATCH($A56,SPPR!$A:$A,0),8),""),"")</f>
        <v/>
      </c>
      <c r="L56">
        <f>IFERROR(IF(ISNUMBER(INDEX(SPPR!$E:$X,MATCH($A56,SPPR!$A:$A,0),9)),$C56*INDEX(SPPR!$E:$X,MATCH($A56,SPPR!$A:$A,0),9),""),"")</f>
        <v/>
      </c>
      <c r="M56">
        <f>IFERROR(IF(ISNUMBER(INDEX(SPPR!$E:$X,MATCH($A56,SPPR!$A:$A,0),10)),$C56*INDEX(SPPR!$E:$X,MATCH($A56,SPPR!$A:$A,0),10),""),"")</f>
        <v/>
      </c>
      <c r="N56">
        <f>IFERROR(IF(ISNUMBER(INDEX(SPPR!$E:$X,MATCH($A56,SPPR!$A:$A,0),11)),$C56*INDEX(SPPR!$E:$X,MATCH($A56,SPPR!$A:$A,0),11),""),"")</f>
        <v/>
      </c>
      <c r="O56">
        <f>IFERROR(IF(ISNUMBER(INDEX(SPPR!$E:$X,MATCH($A56,SPPR!$A:$A,0),12)),$C56*INDEX(SPPR!$E:$X,MATCH($A56,SPPR!$A:$A,0),12),""),"")</f>
        <v/>
      </c>
      <c r="P56">
        <f>IFERROR(IF(ISNUMBER(INDEX(SPPR!$E:$X,MATCH($A56,SPPR!$A:$A,0),13)),$C56*INDEX(SPPR!$E:$X,MATCH($A56,SPPR!$A:$A,0),13),""),"")</f>
        <v/>
      </c>
      <c r="Q56">
        <f>IFERROR(IF(ISNUMBER(INDEX(SPPR!$E:$X,MATCH($A56,SPPR!$A:$A,0),14)),$C56*INDEX(SPPR!$E:$X,MATCH($A56,SPPR!$A:$A,0),14),""),"")</f>
        <v/>
      </c>
      <c r="R56">
        <f>IFERROR(IF(ISNUMBER(INDEX(SPPR!$E:$X,MATCH($A56,SPPR!$A:$A,0),15)),$C56*INDEX(SPPR!$E:$X,MATCH($A56,SPPR!$A:$A,0),15),""),"")</f>
        <v/>
      </c>
      <c r="S56">
        <f>IFERROR(IF(ISNUMBER(INDEX(SPPR!$E:$X,MATCH($A56,SPPR!$A:$A,0),16)),$C56*INDEX(SPPR!$E:$X,MATCH($A56,SPPR!$A:$A,0),16),""),"")</f>
        <v/>
      </c>
      <c r="T56">
        <f>IFERROR(IF(ISNUMBER(INDEX(SPPR!$E:$X,MATCH($A56,SPPR!$A:$A,0),17)),$C56*INDEX(SPPR!$E:$X,MATCH($A56,SPPR!$A:$A,0),17),""),"")</f>
        <v/>
      </c>
      <c r="U56">
        <f>IFERROR(IF(ISNUMBER(INDEX(SPPR!$E:$X,MATCH($A56,SPPR!$A:$A,0),18)),$C56*INDEX(SPPR!$E:$X,MATCH($A56,SPPR!$A:$A,0),18),""),"")</f>
        <v/>
      </c>
      <c r="V56">
        <f>IFERROR(IF(ISNUMBER(INDEX(SPPR!$E:$X,MATCH($A56,SPPR!$A:$A,0),19)),$C56*INDEX(SPPR!$E:$X,MATCH($A56,SPPR!$A:$A,0),19),""),"")</f>
        <v/>
      </c>
      <c r="W56">
        <f>IFERROR(IF(ISNUMBER(INDEX(SPPR!$E:$X,MATCH($A56,SPPR!$A:$A,0),20)),$C56*INDEX(SPPR!$E:$X,MATCH($A56,SPPR!$A:$A,0),20),""),"")</f>
        <v/>
      </c>
    </row>
    <row r="57">
      <c r="A57" t="inlineStr">
        <is>
          <t>Carcinus maenas</t>
        </is>
      </c>
      <c r="B57">
        <f>IFERROR(INDEX(SPPR!$D:$D,MATCH($A57,SPPR!$A:$A,0)),"")</f>
        <v/>
      </c>
      <c r="C57">
        <f>IFERROR(INDEX(Catch!$E:$BV,MATCH($A57,Catch!$A:$A,0),MATCH($B$4,Catch!$E$1:$BV$1,0)),0)</f>
        <v/>
      </c>
      <c r="D57">
        <f>IFERROR(IF(ISNUMBER(INDEX(SPPR!$E:$X,MATCH($A57,SPPR!$A:$A,0),1)),$C57*INDEX(SPPR!$E:$X,MATCH($A57,SPPR!$A:$A,0),1),""),"")</f>
        <v/>
      </c>
      <c r="E57">
        <f>IFERROR(IF(ISNUMBER(INDEX(SPPR!$E:$X,MATCH($A57,SPPR!$A:$A,0),2)),$C57*INDEX(SPPR!$E:$X,MATCH($A57,SPPR!$A:$A,0),2),""),"")</f>
        <v/>
      </c>
      <c r="F57">
        <f>IFERROR(IF(ISNUMBER(INDEX(SPPR!$E:$X,MATCH($A57,SPPR!$A:$A,0),3)),$C57*INDEX(SPPR!$E:$X,MATCH($A57,SPPR!$A:$A,0),3),""),"")</f>
        <v/>
      </c>
      <c r="G57">
        <f>IFERROR(IF(ISNUMBER(INDEX(SPPR!$E:$X,MATCH($A57,SPPR!$A:$A,0),4)),$C57*INDEX(SPPR!$E:$X,MATCH($A57,SPPR!$A:$A,0),4),""),"")</f>
        <v/>
      </c>
      <c r="H57">
        <f>IFERROR(IF(ISNUMBER(INDEX(SPPR!$E:$X,MATCH($A57,SPPR!$A:$A,0),5)),$C57*INDEX(SPPR!$E:$X,MATCH($A57,SPPR!$A:$A,0),5),""),"")</f>
        <v/>
      </c>
      <c r="I57">
        <f>IFERROR(IF(ISNUMBER(INDEX(SPPR!$E:$X,MATCH($A57,SPPR!$A:$A,0),6)),$C57*INDEX(SPPR!$E:$X,MATCH($A57,SPPR!$A:$A,0),6),""),"")</f>
        <v/>
      </c>
      <c r="J57">
        <f>IFERROR(IF(ISNUMBER(INDEX(SPPR!$E:$X,MATCH($A57,SPPR!$A:$A,0),7)),$C57*INDEX(SPPR!$E:$X,MATCH($A57,SPPR!$A:$A,0),7),""),"")</f>
        <v/>
      </c>
      <c r="K57">
        <f>IFERROR(IF(ISNUMBER(INDEX(SPPR!$E:$X,MATCH($A57,SPPR!$A:$A,0),8)),$C57*INDEX(SPPR!$E:$X,MATCH($A57,SPPR!$A:$A,0),8),""),"")</f>
        <v/>
      </c>
      <c r="L57">
        <f>IFERROR(IF(ISNUMBER(INDEX(SPPR!$E:$X,MATCH($A57,SPPR!$A:$A,0),9)),$C57*INDEX(SPPR!$E:$X,MATCH($A57,SPPR!$A:$A,0),9),""),"")</f>
        <v/>
      </c>
      <c r="M57">
        <f>IFERROR(IF(ISNUMBER(INDEX(SPPR!$E:$X,MATCH($A57,SPPR!$A:$A,0),10)),$C57*INDEX(SPPR!$E:$X,MATCH($A57,SPPR!$A:$A,0),10),""),"")</f>
        <v/>
      </c>
      <c r="N57">
        <f>IFERROR(IF(ISNUMBER(INDEX(SPPR!$E:$X,MATCH($A57,SPPR!$A:$A,0),11)),$C57*INDEX(SPPR!$E:$X,MATCH($A57,SPPR!$A:$A,0),11),""),"")</f>
        <v/>
      </c>
      <c r="O57">
        <f>IFERROR(IF(ISNUMBER(INDEX(SPPR!$E:$X,MATCH($A57,SPPR!$A:$A,0),12)),$C57*INDEX(SPPR!$E:$X,MATCH($A57,SPPR!$A:$A,0),12),""),"")</f>
        <v/>
      </c>
      <c r="P57">
        <f>IFERROR(IF(ISNUMBER(INDEX(SPPR!$E:$X,MATCH($A57,SPPR!$A:$A,0),13)),$C57*INDEX(SPPR!$E:$X,MATCH($A57,SPPR!$A:$A,0),13),""),"")</f>
        <v/>
      </c>
      <c r="Q57">
        <f>IFERROR(IF(ISNUMBER(INDEX(SPPR!$E:$X,MATCH($A57,SPPR!$A:$A,0),14)),$C57*INDEX(SPPR!$E:$X,MATCH($A57,SPPR!$A:$A,0),14),""),"")</f>
        <v/>
      </c>
      <c r="R57">
        <f>IFERROR(IF(ISNUMBER(INDEX(SPPR!$E:$X,MATCH($A57,SPPR!$A:$A,0),15)),$C57*INDEX(SPPR!$E:$X,MATCH($A57,SPPR!$A:$A,0),15),""),"")</f>
        <v/>
      </c>
      <c r="S57">
        <f>IFERROR(IF(ISNUMBER(INDEX(SPPR!$E:$X,MATCH($A57,SPPR!$A:$A,0),16)),$C57*INDEX(SPPR!$E:$X,MATCH($A57,SPPR!$A:$A,0),16),""),"")</f>
        <v/>
      </c>
      <c r="T57">
        <f>IFERROR(IF(ISNUMBER(INDEX(SPPR!$E:$X,MATCH($A57,SPPR!$A:$A,0),17)),$C57*INDEX(SPPR!$E:$X,MATCH($A57,SPPR!$A:$A,0),17),""),"")</f>
        <v/>
      </c>
      <c r="U57">
        <f>IFERROR(IF(ISNUMBER(INDEX(SPPR!$E:$X,MATCH($A57,SPPR!$A:$A,0),18)),$C57*INDEX(SPPR!$E:$X,MATCH($A57,SPPR!$A:$A,0),18),""),"")</f>
        <v/>
      </c>
      <c r="V57">
        <f>IFERROR(IF(ISNUMBER(INDEX(SPPR!$E:$X,MATCH($A57,SPPR!$A:$A,0),19)),$C57*INDEX(SPPR!$E:$X,MATCH($A57,SPPR!$A:$A,0),19),""),"")</f>
        <v/>
      </c>
      <c r="W57">
        <f>IFERROR(IF(ISNUMBER(INDEX(SPPR!$E:$X,MATCH($A57,SPPR!$A:$A,0),20)),$C57*INDEX(SPPR!$E:$X,MATCH($A57,SPPR!$A:$A,0),20),""),"")</f>
        <v/>
      </c>
    </row>
    <row r="58">
      <c r="A58" t="inlineStr">
        <is>
          <t>Rajiformes</t>
        </is>
      </c>
      <c r="B58">
        <f>IFERROR(INDEX(SPPR!$D:$D,MATCH($A58,SPPR!$A:$A,0)),"")</f>
        <v/>
      </c>
      <c r="C58">
        <f>IFERROR(INDEX(Catch!$E:$BV,MATCH($A58,Catch!$A:$A,0),MATCH($B$4,Catch!$E$1:$BV$1,0)),0)</f>
        <v/>
      </c>
      <c r="D58">
        <f>IFERROR(IF(ISNUMBER(INDEX(SPPR!$E:$X,MATCH($A58,SPPR!$A:$A,0),1)),$C58*INDEX(SPPR!$E:$X,MATCH($A58,SPPR!$A:$A,0),1),""),"")</f>
        <v/>
      </c>
      <c r="E58">
        <f>IFERROR(IF(ISNUMBER(INDEX(SPPR!$E:$X,MATCH($A58,SPPR!$A:$A,0),2)),$C58*INDEX(SPPR!$E:$X,MATCH($A58,SPPR!$A:$A,0),2),""),"")</f>
        <v/>
      </c>
      <c r="F58">
        <f>IFERROR(IF(ISNUMBER(INDEX(SPPR!$E:$X,MATCH($A58,SPPR!$A:$A,0),3)),$C58*INDEX(SPPR!$E:$X,MATCH($A58,SPPR!$A:$A,0),3),""),"")</f>
        <v/>
      </c>
      <c r="G58">
        <f>IFERROR(IF(ISNUMBER(INDEX(SPPR!$E:$X,MATCH($A58,SPPR!$A:$A,0),4)),$C58*INDEX(SPPR!$E:$X,MATCH($A58,SPPR!$A:$A,0),4),""),"")</f>
        <v/>
      </c>
      <c r="H58">
        <f>IFERROR(IF(ISNUMBER(INDEX(SPPR!$E:$X,MATCH($A58,SPPR!$A:$A,0),5)),$C58*INDEX(SPPR!$E:$X,MATCH($A58,SPPR!$A:$A,0),5),""),"")</f>
        <v/>
      </c>
      <c r="I58">
        <f>IFERROR(IF(ISNUMBER(INDEX(SPPR!$E:$X,MATCH($A58,SPPR!$A:$A,0),6)),$C58*INDEX(SPPR!$E:$X,MATCH($A58,SPPR!$A:$A,0),6),""),"")</f>
        <v/>
      </c>
      <c r="J58">
        <f>IFERROR(IF(ISNUMBER(INDEX(SPPR!$E:$X,MATCH($A58,SPPR!$A:$A,0),7)),$C58*INDEX(SPPR!$E:$X,MATCH($A58,SPPR!$A:$A,0),7),""),"")</f>
        <v/>
      </c>
      <c r="K58">
        <f>IFERROR(IF(ISNUMBER(INDEX(SPPR!$E:$X,MATCH($A58,SPPR!$A:$A,0),8)),$C58*INDEX(SPPR!$E:$X,MATCH($A58,SPPR!$A:$A,0),8),""),"")</f>
        <v/>
      </c>
      <c r="L58">
        <f>IFERROR(IF(ISNUMBER(INDEX(SPPR!$E:$X,MATCH($A58,SPPR!$A:$A,0),9)),$C58*INDEX(SPPR!$E:$X,MATCH($A58,SPPR!$A:$A,0),9),""),"")</f>
        <v/>
      </c>
      <c r="M58">
        <f>IFERROR(IF(ISNUMBER(INDEX(SPPR!$E:$X,MATCH($A58,SPPR!$A:$A,0),10)),$C58*INDEX(SPPR!$E:$X,MATCH($A58,SPPR!$A:$A,0),10),""),"")</f>
        <v/>
      </c>
      <c r="N58">
        <f>IFERROR(IF(ISNUMBER(INDEX(SPPR!$E:$X,MATCH($A58,SPPR!$A:$A,0),11)),$C58*INDEX(SPPR!$E:$X,MATCH($A58,SPPR!$A:$A,0),11),""),"")</f>
        <v/>
      </c>
      <c r="O58">
        <f>IFERROR(IF(ISNUMBER(INDEX(SPPR!$E:$X,MATCH($A58,SPPR!$A:$A,0),12)),$C58*INDEX(SPPR!$E:$X,MATCH($A58,SPPR!$A:$A,0),12),""),"")</f>
        <v/>
      </c>
      <c r="P58">
        <f>IFERROR(IF(ISNUMBER(INDEX(SPPR!$E:$X,MATCH($A58,SPPR!$A:$A,0),13)),$C58*INDEX(SPPR!$E:$X,MATCH($A58,SPPR!$A:$A,0),13),""),"")</f>
        <v/>
      </c>
      <c r="Q58">
        <f>IFERROR(IF(ISNUMBER(INDEX(SPPR!$E:$X,MATCH($A58,SPPR!$A:$A,0),14)),$C58*INDEX(SPPR!$E:$X,MATCH($A58,SPPR!$A:$A,0),14),""),"")</f>
        <v/>
      </c>
      <c r="R58">
        <f>IFERROR(IF(ISNUMBER(INDEX(SPPR!$E:$X,MATCH($A58,SPPR!$A:$A,0),15)),$C58*INDEX(SPPR!$E:$X,MATCH($A58,SPPR!$A:$A,0),15),""),"")</f>
        <v/>
      </c>
      <c r="S58">
        <f>IFERROR(IF(ISNUMBER(INDEX(SPPR!$E:$X,MATCH($A58,SPPR!$A:$A,0),16)),$C58*INDEX(SPPR!$E:$X,MATCH($A58,SPPR!$A:$A,0),16),""),"")</f>
        <v/>
      </c>
      <c r="T58">
        <f>IFERROR(IF(ISNUMBER(INDEX(SPPR!$E:$X,MATCH($A58,SPPR!$A:$A,0),17)),$C58*INDEX(SPPR!$E:$X,MATCH($A58,SPPR!$A:$A,0),17),""),"")</f>
        <v/>
      </c>
      <c r="U58">
        <f>IFERROR(IF(ISNUMBER(INDEX(SPPR!$E:$X,MATCH($A58,SPPR!$A:$A,0),18)),$C58*INDEX(SPPR!$E:$X,MATCH($A58,SPPR!$A:$A,0),18),""),"")</f>
        <v/>
      </c>
      <c r="V58">
        <f>IFERROR(IF(ISNUMBER(INDEX(SPPR!$E:$X,MATCH($A58,SPPR!$A:$A,0),19)),$C58*INDEX(SPPR!$E:$X,MATCH($A58,SPPR!$A:$A,0),19),""),"")</f>
        <v/>
      </c>
      <c r="W58">
        <f>IFERROR(IF(ISNUMBER(INDEX(SPPR!$E:$X,MATCH($A58,SPPR!$A:$A,0),20)),$C58*INDEX(SPPR!$E:$X,MATCH($A58,SPPR!$A:$A,0),20),""),"")</f>
        <v/>
      </c>
    </row>
    <row r="59">
      <c r="A59" t="inlineStr">
        <is>
          <t>Buglossidium luteum</t>
        </is>
      </c>
      <c r="B59">
        <f>IFERROR(INDEX(SPPR!$D:$D,MATCH($A59,SPPR!$A:$A,0)),"")</f>
        <v/>
      </c>
      <c r="C59">
        <f>IFERROR(INDEX(Catch!$E:$BV,MATCH($A59,Catch!$A:$A,0),MATCH($B$4,Catch!$E$1:$BV$1,0)),0)</f>
        <v/>
      </c>
      <c r="D59">
        <f>IFERROR(IF(ISNUMBER(INDEX(SPPR!$E:$X,MATCH($A59,SPPR!$A:$A,0),1)),$C59*INDEX(SPPR!$E:$X,MATCH($A59,SPPR!$A:$A,0),1),""),"")</f>
        <v/>
      </c>
      <c r="E59">
        <f>IFERROR(IF(ISNUMBER(INDEX(SPPR!$E:$X,MATCH($A59,SPPR!$A:$A,0),2)),$C59*INDEX(SPPR!$E:$X,MATCH($A59,SPPR!$A:$A,0),2),""),"")</f>
        <v/>
      </c>
      <c r="F59">
        <f>IFERROR(IF(ISNUMBER(INDEX(SPPR!$E:$X,MATCH($A59,SPPR!$A:$A,0),3)),$C59*INDEX(SPPR!$E:$X,MATCH($A59,SPPR!$A:$A,0),3),""),"")</f>
        <v/>
      </c>
      <c r="G59">
        <f>IFERROR(IF(ISNUMBER(INDEX(SPPR!$E:$X,MATCH($A59,SPPR!$A:$A,0),4)),$C59*INDEX(SPPR!$E:$X,MATCH($A59,SPPR!$A:$A,0),4),""),"")</f>
        <v/>
      </c>
      <c r="H59">
        <f>IFERROR(IF(ISNUMBER(INDEX(SPPR!$E:$X,MATCH($A59,SPPR!$A:$A,0),5)),$C59*INDEX(SPPR!$E:$X,MATCH($A59,SPPR!$A:$A,0),5),""),"")</f>
        <v/>
      </c>
      <c r="I59">
        <f>IFERROR(IF(ISNUMBER(INDEX(SPPR!$E:$X,MATCH($A59,SPPR!$A:$A,0),6)),$C59*INDEX(SPPR!$E:$X,MATCH($A59,SPPR!$A:$A,0),6),""),"")</f>
        <v/>
      </c>
      <c r="J59">
        <f>IFERROR(IF(ISNUMBER(INDEX(SPPR!$E:$X,MATCH($A59,SPPR!$A:$A,0),7)),$C59*INDEX(SPPR!$E:$X,MATCH($A59,SPPR!$A:$A,0),7),""),"")</f>
        <v/>
      </c>
      <c r="K59">
        <f>IFERROR(IF(ISNUMBER(INDEX(SPPR!$E:$X,MATCH($A59,SPPR!$A:$A,0),8)),$C59*INDEX(SPPR!$E:$X,MATCH($A59,SPPR!$A:$A,0),8),""),"")</f>
        <v/>
      </c>
      <c r="L59">
        <f>IFERROR(IF(ISNUMBER(INDEX(SPPR!$E:$X,MATCH($A59,SPPR!$A:$A,0),9)),$C59*INDEX(SPPR!$E:$X,MATCH($A59,SPPR!$A:$A,0),9),""),"")</f>
        <v/>
      </c>
      <c r="M59">
        <f>IFERROR(IF(ISNUMBER(INDEX(SPPR!$E:$X,MATCH($A59,SPPR!$A:$A,0),10)),$C59*INDEX(SPPR!$E:$X,MATCH($A59,SPPR!$A:$A,0),10),""),"")</f>
        <v/>
      </c>
      <c r="N59">
        <f>IFERROR(IF(ISNUMBER(INDEX(SPPR!$E:$X,MATCH($A59,SPPR!$A:$A,0),11)),$C59*INDEX(SPPR!$E:$X,MATCH($A59,SPPR!$A:$A,0),11),""),"")</f>
        <v/>
      </c>
      <c r="O59">
        <f>IFERROR(IF(ISNUMBER(INDEX(SPPR!$E:$X,MATCH($A59,SPPR!$A:$A,0),12)),$C59*INDEX(SPPR!$E:$X,MATCH($A59,SPPR!$A:$A,0),12),""),"")</f>
        <v/>
      </c>
      <c r="P59">
        <f>IFERROR(IF(ISNUMBER(INDEX(SPPR!$E:$X,MATCH($A59,SPPR!$A:$A,0),13)),$C59*INDEX(SPPR!$E:$X,MATCH($A59,SPPR!$A:$A,0),13),""),"")</f>
        <v/>
      </c>
      <c r="Q59">
        <f>IFERROR(IF(ISNUMBER(INDEX(SPPR!$E:$X,MATCH($A59,SPPR!$A:$A,0),14)),$C59*INDEX(SPPR!$E:$X,MATCH($A59,SPPR!$A:$A,0),14),""),"")</f>
        <v/>
      </c>
      <c r="R59">
        <f>IFERROR(IF(ISNUMBER(INDEX(SPPR!$E:$X,MATCH($A59,SPPR!$A:$A,0),15)),$C59*INDEX(SPPR!$E:$X,MATCH($A59,SPPR!$A:$A,0),15),""),"")</f>
        <v/>
      </c>
      <c r="S59">
        <f>IFERROR(IF(ISNUMBER(INDEX(SPPR!$E:$X,MATCH($A59,SPPR!$A:$A,0),16)),$C59*INDEX(SPPR!$E:$X,MATCH($A59,SPPR!$A:$A,0),16),""),"")</f>
        <v/>
      </c>
      <c r="T59">
        <f>IFERROR(IF(ISNUMBER(INDEX(SPPR!$E:$X,MATCH($A59,SPPR!$A:$A,0),17)),$C59*INDEX(SPPR!$E:$X,MATCH($A59,SPPR!$A:$A,0),17),""),"")</f>
        <v/>
      </c>
      <c r="U59">
        <f>IFERROR(IF(ISNUMBER(INDEX(SPPR!$E:$X,MATCH($A59,SPPR!$A:$A,0),18)),$C59*INDEX(SPPR!$E:$X,MATCH($A59,SPPR!$A:$A,0),18),""),"")</f>
        <v/>
      </c>
      <c r="V59">
        <f>IFERROR(IF(ISNUMBER(INDEX(SPPR!$E:$X,MATCH($A59,SPPR!$A:$A,0),19)),$C59*INDEX(SPPR!$E:$X,MATCH($A59,SPPR!$A:$A,0),19),""),"")</f>
        <v/>
      </c>
      <c r="W59">
        <f>IFERROR(IF(ISNUMBER(INDEX(SPPR!$E:$X,MATCH($A59,SPPR!$A:$A,0),20)),$C59*INDEX(SPPR!$E:$X,MATCH($A59,SPPR!$A:$A,0),20),""),"")</f>
        <v/>
      </c>
    </row>
    <row r="60">
      <c r="A60" t="inlineStr">
        <is>
          <t>Trisopterus luscus</t>
        </is>
      </c>
      <c r="B60">
        <f>IFERROR(INDEX(SPPR!$D:$D,MATCH($A60,SPPR!$A:$A,0)),"")</f>
        <v/>
      </c>
      <c r="C60">
        <f>IFERROR(INDEX(Catch!$E:$BV,MATCH($A60,Catch!$A:$A,0),MATCH($B$4,Catch!$E$1:$BV$1,0)),0)</f>
        <v/>
      </c>
      <c r="D60">
        <f>IFERROR(IF(ISNUMBER(INDEX(SPPR!$E:$X,MATCH($A60,SPPR!$A:$A,0),1)),$C60*INDEX(SPPR!$E:$X,MATCH($A60,SPPR!$A:$A,0),1),""),"")</f>
        <v/>
      </c>
      <c r="E60">
        <f>IFERROR(IF(ISNUMBER(INDEX(SPPR!$E:$X,MATCH($A60,SPPR!$A:$A,0),2)),$C60*INDEX(SPPR!$E:$X,MATCH($A60,SPPR!$A:$A,0),2),""),"")</f>
        <v/>
      </c>
      <c r="F60">
        <f>IFERROR(IF(ISNUMBER(INDEX(SPPR!$E:$X,MATCH($A60,SPPR!$A:$A,0),3)),$C60*INDEX(SPPR!$E:$X,MATCH($A60,SPPR!$A:$A,0),3),""),"")</f>
        <v/>
      </c>
      <c r="G60">
        <f>IFERROR(IF(ISNUMBER(INDEX(SPPR!$E:$X,MATCH($A60,SPPR!$A:$A,0),4)),$C60*INDEX(SPPR!$E:$X,MATCH($A60,SPPR!$A:$A,0),4),""),"")</f>
        <v/>
      </c>
      <c r="H60">
        <f>IFERROR(IF(ISNUMBER(INDEX(SPPR!$E:$X,MATCH($A60,SPPR!$A:$A,0),5)),$C60*INDEX(SPPR!$E:$X,MATCH($A60,SPPR!$A:$A,0),5),""),"")</f>
        <v/>
      </c>
      <c r="I60">
        <f>IFERROR(IF(ISNUMBER(INDEX(SPPR!$E:$X,MATCH($A60,SPPR!$A:$A,0),6)),$C60*INDEX(SPPR!$E:$X,MATCH($A60,SPPR!$A:$A,0),6),""),"")</f>
        <v/>
      </c>
      <c r="J60">
        <f>IFERROR(IF(ISNUMBER(INDEX(SPPR!$E:$X,MATCH($A60,SPPR!$A:$A,0),7)),$C60*INDEX(SPPR!$E:$X,MATCH($A60,SPPR!$A:$A,0),7),""),"")</f>
        <v/>
      </c>
      <c r="K60">
        <f>IFERROR(IF(ISNUMBER(INDEX(SPPR!$E:$X,MATCH($A60,SPPR!$A:$A,0),8)),$C60*INDEX(SPPR!$E:$X,MATCH($A60,SPPR!$A:$A,0),8),""),"")</f>
        <v/>
      </c>
      <c r="L60">
        <f>IFERROR(IF(ISNUMBER(INDEX(SPPR!$E:$X,MATCH($A60,SPPR!$A:$A,0),9)),$C60*INDEX(SPPR!$E:$X,MATCH($A60,SPPR!$A:$A,0),9),""),"")</f>
        <v/>
      </c>
      <c r="M60">
        <f>IFERROR(IF(ISNUMBER(INDEX(SPPR!$E:$X,MATCH($A60,SPPR!$A:$A,0),10)),$C60*INDEX(SPPR!$E:$X,MATCH($A60,SPPR!$A:$A,0),10),""),"")</f>
        <v/>
      </c>
      <c r="N60">
        <f>IFERROR(IF(ISNUMBER(INDEX(SPPR!$E:$X,MATCH($A60,SPPR!$A:$A,0),11)),$C60*INDEX(SPPR!$E:$X,MATCH($A60,SPPR!$A:$A,0),11),""),"")</f>
        <v/>
      </c>
      <c r="O60">
        <f>IFERROR(IF(ISNUMBER(INDEX(SPPR!$E:$X,MATCH($A60,SPPR!$A:$A,0),12)),$C60*INDEX(SPPR!$E:$X,MATCH($A60,SPPR!$A:$A,0),12),""),"")</f>
        <v/>
      </c>
      <c r="P60">
        <f>IFERROR(IF(ISNUMBER(INDEX(SPPR!$E:$X,MATCH($A60,SPPR!$A:$A,0),13)),$C60*INDEX(SPPR!$E:$X,MATCH($A60,SPPR!$A:$A,0),13),""),"")</f>
        <v/>
      </c>
      <c r="Q60">
        <f>IFERROR(IF(ISNUMBER(INDEX(SPPR!$E:$X,MATCH($A60,SPPR!$A:$A,0),14)),$C60*INDEX(SPPR!$E:$X,MATCH($A60,SPPR!$A:$A,0),14),""),"")</f>
        <v/>
      </c>
      <c r="R60">
        <f>IFERROR(IF(ISNUMBER(INDEX(SPPR!$E:$X,MATCH($A60,SPPR!$A:$A,0),15)),$C60*INDEX(SPPR!$E:$X,MATCH($A60,SPPR!$A:$A,0),15),""),"")</f>
        <v/>
      </c>
      <c r="S60">
        <f>IFERROR(IF(ISNUMBER(INDEX(SPPR!$E:$X,MATCH($A60,SPPR!$A:$A,0),16)),$C60*INDEX(SPPR!$E:$X,MATCH($A60,SPPR!$A:$A,0),16),""),"")</f>
        <v/>
      </c>
      <c r="T60">
        <f>IFERROR(IF(ISNUMBER(INDEX(SPPR!$E:$X,MATCH($A60,SPPR!$A:$A,0),17)),$C60*INDEX(SPPR!$E:$X,MATCH($A60,SPPR!$A:$A,0),17),""),"")</f>
        <v/>
      </c>
      <c r="U60">
        <f>IFERROR(IF(ISNUMBER(INDEX(SPPR!$E:$X,MATCH($A60,SPPR!$A:$A,0),18)),$C60*INDEX(SPPR!$E:$X,MATCH($A60,SPPR!$A:$A,0),18),""),"")</f>
        <v/>
      </c>
      <c r="V60">
        <f>IFERROR(IF(ISNUMBER(INDEX(SPPR!$E:$X,MATCH($A60,SPPR!$A:$A,0),19)),$C60*INDEX(SPPR!$E:$X,MATCH($A60,SPPR!$A:$A,0),19),""),"")</f>
        <v/>
      </c>
      <c r="W60">
        <f>IFERROR(IF(ISNUMBER(INDEX(SPPR!$E:$X,MATCH($A60,SPPR!$A:$A,0),20)),$C60*INDEX(SPPR!$E:$X,MATCH($A60,SPPR!$A:$A,0),20),""),"")</f>
        <v/>
      </c>
    </row>
    <row r="61">
      <c r="A61" t="inlineStr">
        <is>
          <t>Miscellaneous marine crustaceans</t>
        </is>
      </c>
      <c r="B61">
        <f>IFERROR(INDEX(SPPR!$D:$D,MATCH($A61,SPPR!$A:$A,0)),"")</f>
        <v/>
      </c>
      <c r="C61">
        <f>IFERROR(INDEX(Catch!$E:$BV,MATCH($A61,Catch!$A:$A,0),MATCH($B$4,Catch!$E$1:$BV$1,0)),0)</f>
        <v/>
      </c>
      <c r="D61">
        <f>IFERROR(IF(ISNUMBER(INDEX(SPPR!$E:$X,MATCH($A61,SPPR!$A:$A,0),1)),$C61*INDEX(SPPR!$E:$X,MATCH($A61,SPPR!$A:$A,0),1),""),"")</f>
        <v/>
      </c>
      <c r="E61">
        <f>IFERROR(IF(ISNUMBER(INDEX(SPPR!$E:$X,MATCH($A61,SPPR!$A:$A,0),2)),$C61*INDEX(SPPR!$E:$X,MATCH($A61,SPPR!$A:$A,0),2),""),"")</f>
        <v/>
      </c>
      <c r="F61">
        <f>IFERROR(IF(ISNUMBER(INDEX(SPPR!$E:$X,MATCH($A61,SPPR!$A:$A,0),3)),$C61*INDEX(SPPR!$E:$X,MATCH($A61,SPPR!$A:$A,0),3),""),"")</f>
        <v/>
      </c>
      <c r="G61">
        <f>IFERROR(IF(ISNUMBER(INDEX(SPPR!$E:$X,MATCH($A61,SPPR!$A:$A,0),4)),$C61*INDEX(SPPR!$E:$X,MATCH($A61,SPPR!$A:$A,0),4),""),"")</f>
        <v/>
      </c>
      <c r="H61">
        <f>IFERROR(IF(ISNUMBER(INDEX(SPPR!$E:$X,MATCH($A61,SPPR!$A:$A,0),5)),$C61*INDEX(SPPR!$E:$X,MATCH($A61,SPPR!$A:$A,0),5),""),"")</f>
        <v/>
      </c>
      <c r="I61">
        <f>IFERROR(IF(ISNUMBER(INDEX(SPPR!$E:$X,MATCH($A61,SPPR!$A:$A,0),6)),$C61*INDEX(SPPR!$E:$X,MATCH($A61,SPPR!$A:$A,0),6),""),"")</f>
        <v/>
      </c>
      <c r="J61">
        <f>IFERROR(IF(ISNUMBER(INDEX(SPPR!$E:$X,MATCH($A61,SPPR!$A:$A,0),7)),$C61*INDEX(SPPR!$E:$X,MATCH($A61,SPPR!$A:$A,0),7),""),"")</f>
        <v/>
      </c>
      <c r="K61">
        <f>IFERROR(IF(ISNUMBER(INDEX(SPPR!$E:$X,MATCH($A61,SPPR!$A:$A,0),8)),$C61*INDEX(SPPR!$E:$X,MATCH($A61,SPPR!$A:$A,0),8),""),"")</f>
        <v/>
      </c>
      <c r="L61">
        <f>IFERROR(IF(ISNUMBER(INDEX(SPPR!$E:$X,MATCH($A61,SPPR!$A:$A,0),9)),$C61*INDEX(SPPR!$E:$X,MATCH($A61,SPPR!$A:$A,0),9),""),"")</f>
        <v/>
      </c>
      <c r="M61">
        <f>IFERROR(IF(ISNUMBER(INDEX(SPPR!$E:$X,MATCH($A61,SPPR!$A:$A,0),10)),$C61*INDEX(SPPR!$E:$X,MATCH($A61,SPPR!$A:$A,0),10),""),"")</f>
        <v/>
      </c>
      <c r="N61">
        <f>IFERROR(IF(ISNUMBER(INDEX(SPPR!$E:$X,MATCH($A61,SPPR!$A:$A,0),11)),$C61*INDEX(SPPR!$E:$X,MATCH($A61,SPPR!$A:$A,0),11),""),"")</f>
        <v/>
      </c>
      <c r="O61">
        <f>IFERROR(IF(ISNUMBER(INDEX(SPPR!$E:$X,MATCH($A61,SPPR!$A:$A,0),12)),$C61*INDEX(SPPR!$E:$X,MATCH($A61,SPPR!$A:$A,0),12),""),"")</f>
        <v/>
      </c>
      <c r="P61">
        <f>IFERROR(IF(ISNUMBER(INDEX(SPPR!$E:$X,MATCH($A61,SPPR!$A:$A,0),13)),$C61*INDEX(SPPR!$E:$X,MATCH($A61,SPPR!$A:$A,0),13),""),"")</f>
        <v/>
      </c>
      <c r="Q61">
        <f>IFERROR(IF(ISNUMBER(INDEX(SPPR!$E:$X,MATCH($A61,SPPR!$A:$A,0),14)),$C61*INDEX(SPPR!$E:$X,MATCH($A61,SPPR!$A:$A,0),14),""),"")</f>
        <v/>
      </c>
      <c r="R61">
        <f>IFERROR(IF(ISNUMBER(INDEX(SPPR!$E:$X,MATCH($A61,SPPR!$A:$A,0),15)),$C61*INDEX(SPPR!$E:$X,MATCH($A61,SPPR!$A:$A,0),15),""),"")</f>
        <v/>
      </c>
      <c r="S61">
        <f>IFERROR(IF(ISNUMBER(INDEX(SPPR!$E:$X,MATCH($A61,SPPR!$A:$A,0),16)),$C61*INDEX(SPPR!$E:$X,MATCH($A61,SPPR!$A:$A,0),16),""),"")</f>
        <v/>
      </c>
      <c r="T61">
        <f>IFERROR(IF(ISNUMBER(INDEX(SPPR!$E:$X,MATCH($A61,SPPR!$A:$A,0),17)),$C61*INDEX(SPPR!$E:$X,MATCH($A61,SPPR!$A:$A,0),17),""),"")</f>
        <v/>
      </c>
      <c r="U61">
        <f>IFERROR(IF(ISNUMBER(INDEX(SPPR!$E:$X,MATCH($A61,SPPR!$A:$A,0),18)),$C61*INDEX(SPPR!$E:$X,MATCH($A61,SPPR!$A:$A,0),18),""),"")</f>
        <v/>
      </c>
      <c r="V61">
        <f>IFERROR(IF(ISNUMBER(INDEX(SPPR!$E:$X,MATCH($A61,SPPR!$A:$A,0),19)),$C61*INDEX(SPPR!$E:$X,MATCH($A61,SPPR!$A:$A,0),19),""),"")</f>
        <v/>
      </c>
      <c r="W61">
        <f>IFERROR(IF(ISNUMBER(INDEX(SPPR!$E:$X,MATCH($A61,SPPR!$A:$A,0),20)),$C61*INDEX(SPPR!$E:$X,MATCH($A61,SPPR!$A:$A,0),20),""),"")</f>
        <v/>
      </c>
    </row>
    <row r="62">
      <c r="A62" t="inlineStr">
        <is>
          <t>Chelidonichthys lucerna</t>
        </is>
      </c>
      <c r="B62">
        <f>IFERROR(INDEX(SPPR!$D:$D,MATCH($A62,SPPR!$A:$A,0)),"")</f>
        <v/>
      </c>
      <c r="C62">
        <f>IFERROR(INDEX(Catch!$E:$BV,MATCH($A62,Catch!$A:$A,0),MATCH($B$4,Catch!$E$1:$BV$1,0)),0)</f>
        <v/>
      </c>
      <c r="D62">
        <f>IFERROR(IF(ISNUMBER(INDEX(SPPR!$E:$X,MATCH($A62,SPPR!$A:$A,0),1)),$C62*INDEX(SPPR!$E:$X,MATCH($A62,SPPR!$A:$A,0),1),""),"")</f>
        <v/>
      </c>
      <c r="E62">
        <f>IFERROR(IF(ISNUMBER(INDEX(SPPR!$E:$X,MATCH($A62,SPPR!$A:$A,0),2)),$C62*INDEX(SPPR!$E:$X,MATCH($A62,SPPR!$A:$A,0),2),""),"")</f>
        <v/>
      </c>
      <c r="F62">
        <f>IFERROR(IF(ISNUMBER(INDEX(SPPR!$E:$X,MATCH($A62,SPPR!$A:$A,0),3)),$C62*INDEX(SPPR!$E:$X,MATCH($A62,SPPR!$A:$A,0),3),""),"")</f>
        <v/>
      </c>
      <c r="G62">
        <f>IFERROR(IF(ISNUMBER(INDEX(SPPR!$E:$X,MATCH($A62,SPPR!$A:$A,0),4)),$C62*INDEX(SPPR!$E:$X,MATCH($A62,SPPR!$A:$A,0),4),""),"")</f>
        <v/>
      </c>
      <c r="H62">
        <f>IFERROR(IF(ISNUMBER(INDEX(SPPR!$E:$X,MATCH($A62,SPPR!$A:$A,0),5)),$C62*INDEX(SPPR!$E:$X,MATCH($A62,SPPR!$A:$A,0),5),""),"")</f>
        <v/>
      </c>
      <c r="I62">
        <f>IFERROR(IF(ISNUMBER(INDEX(SPPR!$E:$X,MATCH($A62,SPPR!$A:$A,0),6)),$C62*INDEX(SPPR!$E:$X,MATCH($A62,SPPR!$A:$A,0),6),""),"")</f>
        <v/>
      </c>
      <c r="J62">
        <f>IFERROR(IF(ISNUMBER(INDEX(SPPR!$E:$X,MATCH($A62,SPPR!$A:$A,0),7)),$C62*INDEX(SPPR!$E:$X,MATCH($A62,SPPR!$A:$A,0),7),""),"")</f>
        <v/>
      </c>
      <c r="K62">
        <f>IFERROR(IF(ISNUMBER(INDEX(SPPR!$E:$X,MATCH($A62,SPPR!$A:$A,0),8)),$C62*INDEX(SPPR!$E:$X,MATCH($A62,SPPR!$A:$A,0),8),""),"")</f>
        <v/>
      </c>
      <c r="L62">
        <f>IFERROR(IF(ISNUMBER(INDEX(SPPR!$E:$X,MATCH($A62,SPPR!$A:$A,0),9)),$C62*INDEX(SPPR!$E:$X,MATCH($A62,SPPR!$A:$A,0),9),""),"")</f>
        <v/>
      </c>
      <c r="M62">
        <f>IFERROR(IF(ISNUMBER(INDEX(SPPR!$E:$X,MATCH($A62,SPPR!$A:$A,0),10)),$C62*INDEX(SPPR!$E:$X,MATCH($A62,SPPR!$A:$A,0),10),""),"")</f>
        <v/>
      </c>
      <c r="N62">
        <f>IFERROR(IF(ISNUMBER(INDEX(SPPR!$E:$X,MATCH($A62,SPPR!$A:$A,0),11)),$C62*INDEX(SPPR!$E:$X,MATCH($A62,SPPR!$A:$A,0),11),""),"")</f>
        <v/>
      </c>
      <c r="O62">
        <f>IFERROR(IF(ISNUMBER(INDEX(SPPR!$E:$X,MATCH($A62,SPPR!$A:$A,0),12)),$C62*INDEX(SPPR!$E:$X,MATCH($A62,SPPR!$A:$A,0),12),""),"")</f>
        <v/>
      </c>
      <c r="P62">
        <f>IFERROR(IF(ISNUMBER(INDEX(SPPR!$E:$X,MATCH($A62,SPPR!$A:$A,0),13)),$C62*INDEX(SPPR!$E:$X,MATCH($A62,SPPR!$A:$A,0),13),""),"")</f>
        <v/>
      </c>
      <c r="Q62">
        <f>IFERROR(IF(ISNUMBER(INDEX(SPPR!$E:$X,MATCH($A62,SPPR!$A:$A,0),14)),$C62*INDEX(SPPR!$E:$X,MATCH($A62,SPPR!$A:$A,0),14),""),"")</f>
        <v/>
      </c>
      <c r="R62">
        <f>IFERROR(IF(ISNUMBER(INDEX(SPPR!$E:$X,MATCH($A62,SPPR!$A:$A,0),15)),$C62*INDEX(SPPR!$E:$X,MATCH($A62,SPPR!$A:$A,0),15),""),"")</f>
        <v/>
      </c>
      <c r="S62">
        <f>IFERROR(IF(ISNUMBER(INDEX(SPPR!$E:$X,MATCH($A62,SPPR!$A:$A,0),16)),$C62*INDEX(SPPR!$E:$X,MATCH($A62,SPPR!$A:$A,0),16),""),"")</f>
        <v/>
      </c>
      <c r="T62">
        <f>IFERROR(IF(ISNUMBER(INDEX(SPPR!$E:$X,MATCH($A62,SPPR!$A:$A,0),17)),$C62*INDEX(SPPR!$E:$X,MATCH($A62,SPPR!$A:$A,0),17),""),"")</f>
        <v/>
      </c>
      <c r="U62">
        <f>IFERROR(IF(ISNUMBER(INDEX(SPPR!$E:$X,MATCH($A62,SPPR!$A:$A,0),18)),$C62*INDEX(SPPR!$E:$X,MATCH($A62,SPPR!$A:$A,0),18),""),"")</f>
        <v/>
      </c>
      <c r="V62">
        <f>IFERROR(IF(ISNUMBER(INDEX(SPPR!$E:$X,MATCH($A62,SPPR!$A:$A,0),19)),$C62*INDEX(SPPR!$E:$X,MATCH($A62,SPPR!$A:$A,0),19),""),"")</f>
        <v/>
      </c>
      <c r="W62">
        <f>IFERROR(IF(ISNUMBER(INDEX(SPPR!$E:$X,MATCH($A62,SPPR!$A:$A,0),20)),$C62*INDEX(SPPR!$E:$X,MATCH($A62,SPPR!$A:$A,0),20),""),"")</f>
        <v/>
      </c>
    </row>
    <row r="63">
      <c r="A63" t="inlineStr">
        <is>
          <t>Scophthalmus rhombus</t>
        </is>
      </c>
      <c r="B63">
        <f>IFERROR(INDEX(SPPR!$D:$D,MATCH($A63,SPPR!$A:$A,0)),"")</f>
        <v/>
      </c>
      <c r="C63">
        <f>IFERROR(INDEX(Catch!$E:$BV,MATCH($A63,Catch!$A:$A,0),MATCH($B$4,Catch!$E$1:$BV$1,0)),0)</f>
        <v/>
      </c>
      <c r="D63">
        <f>IFERROR(IF(ISNUMBER(INDEX(SPPR!$E:$X,MATCH($A63,SPPR!$A:$A,0),1)),$C63*INDEX(SPPR!$E:$X,MATCH($A63,SPPR!$A:$A,0),1),""),"")</f>
        <v/>
      </c>
      <c r="E63">
        <f>IFERROR(IF(ISNUMBER(INDEX(SPPR!$E:$X,MATCH($A63,SPPR!$A:$A,0),2)),$C63*INDEX(SPPR!$E:$X,MATCH($A63,SPPR!$A:$A,0),2),""),"")</f>
        <v/>
      </c>
      <c r="F63">
        <f>IFERROR(IF(ISNUMBER(INDEX(SPPR!$E:$X,MATCH($A63,SPPR!$A:$A,0),3)),$C63*INDEX(SPPR!$E:$X,MATCH($A63,SPPR!$A:$A,0),3),""),"")</f>
        <v/>
      </c>
      <c r="G63">
        <f>IFERROR(IF(ISNUMBER(INDEX(SPPR!$E:$X,MATCH($A63,SPPR!$A:$A,0),4)),$C63*INDEX(SPPR!$E:$X,MATCH($A63,SPPR!$A:$A,0),4),""),"")</f>
        <v/>
      </c>
      <c r="H63">
        <f>IFERROR(IF(ISNUMBER(INDEX(SPPR!$E:$X,MATCH($A63,SPPR!$A:$A,0),5)),$C63*INDEX(SPPR!$E:$X,MATCH($A63,SPPR!$A:$A,0),5),""),"")</f>
        <v/>
      </c>
      <c r="I63">
        <f>IFERROR(IF(ISNUMBER(INDEX(SPPR!$E:$X,MATCH($A63,SPPR!$A:$A,0),6)),$C63*INDEX(SPPR!$E:$X,MATCH($A63,SPPR!$A:$A,0),6),""),"")</f>
        <v/>
      </c>
      <c r="J63">
        <f>IFERROR(IF(ISNUMBER(INDEX(SPPR!$E:$X,MATCH($A63,SPPR!$A:$A,0),7)),$C63*INDEX(SPPR!$E:$X,MATCH($A63,SPPR!$A:$A,0),7),""),"")</f>
        <v/>
      </c>
      <c r="K63">
        <f>IFERROR(IF(ISNUMBER(INDEX(SPPR!$E:$X,MATCH($A63,SPPR!$A:$A,0),8)),$C63*INDEX(SPPR!$E:$X,MATCH($A63,SPPR!$A:$A,0),8),""),"")</f>
        <v/>
      </c>
      <c r="L63">
        <f>IFERROR(IF(ISNUMBER(INDEX(SPPR!$E:$X,MATCH($A63,SPPR!$A:$A,0),9)),$C63*INDEX(SPPR!$E:$X,MATCH($A63,SPPR!$A:$A,0),9),""),"")</f>
        <v/>
      </c>
      <c r="M63">
        <f>IFERROR(IF(ISNUMBER(INDEX(SPPR!$E:$X,MATCH($A63,SPPR!$A:$A,0),10)),$C63*INDEX(SPPR!$E:$X,MATCH($A63,SPPR!$A:$A,0),10),""),"")</f>
        <v/>
      </c>
      <c r="N63">
        <f>IFERROR(IF(ISNUMBER(INDEX(SPPR!$E:$X,MATCH($A63,SPPR!$A:$A,0),11)),$C63*INDEX(SPPR!$E:$X,MATCH($A63,SPPR!$A:$A,0),11),""),"")</f>
        <v/>
      </c>
      <c r="O63">
        <f>IFERROR(IF(ISNUMBER(INDEX(SPPR!$E:$X,MATCH($A63,SPPR!$A:$A,0),12)),$C63*INDEX(SPPR!$E:$X,MATCH($A63,SPPR!$A:$A,0),12),""),"")</f>
        <v/>
      </c>
      <c r="P63">
        <f>IFERROR(IF(ISNUMBER(INDEX(SPPR!$E:$X,MATCH($A63,SPPR!$A:$A,0),13)),$C63*INDEX(SPPR!$E:$X,MATCH($A63,SPPR!$A:$A,0),13),""),"")</f>
        <v/>
      </c>
      <c r="Q63">
        <f>IFERROR(IF(ISNUMBER(INDEX(SPPR!$E:$X,MATCH($A63,SPPR!$A:$A,0),14)),$C63*INDEX(SPPR!$E:$X,MATCH($A63,SPPR!$A:$A,0),14),""),"")</f>
        <v/>
      </c>
      <c r="R63">
        <f>IFERROR(IF(ISNUMBER(INDEX(SPPR!$E:$X,MATCH($A63,SPPR!$A:$A,0),15)),$C63*INDEX(SPPR!$E:$X,MATCH($A63,SPPR!$A:$A,0),15),""),"")</f>
        <v/>
      </c>
      <c r="S63">
        <f>IFERROR(IF(ISNUMBER(INDEX(SPPR!$E:$X,MATCH($A63,SPPR!$A:$A,0),16)),$C63*INDEX(SPPR!$E:$X,MATCH($A63,SPPR!$A:$A,0),16),""),"")</f>
        <v/>
      </c>
      <c r="T63">
        <f>IFERROR(IF(ISNUMBER(INDEX(SPPR!$E:$X,MATCH($A63,SPPR!$A:$A,0),17)),$C63*INDEX(SPPR!$E:$X,MATCH($A63,SPPR!$A:$A,0),17),""),"")</f>
        <v/>
      </c>
      <c r="U63">
        <f>IFERROR(IF(ISNUMBER(INDEX(SPPR!$E:$X,MATCH($A63,SPPR!$A:$A,0),18)),$C63*INDEX(SPPR!$E:$X,MATCH($A63,SPPR!$A:$A,0),18),""),"")</f>
        <v/>
      </c>
      <c r="V63">
        <f>IFERROR(IF(ISNUMBER(INDEX(SPPR!$E:$X,MATCH($A63,SPPR!$A:$A,0),19)),$C63*INDEX(SPPR!$E:$X,MATCH($A63,SPPR!$A:$A,0),19),""),"")</f>
        <v/>
      </c>
      <c r="W63">
        <f>IFERROR(IF(ISNUMBER(INDEX(SPPR!$E:$X,MATCH($A63,SPPR!$A:$A,0),20)),$C63*INDEX(SPPR!$E:$X,MATCH($A63,SPPR!$A:$A,0),20),""),"")</f>
        <v/>
      </c>
    </row>
    <row r="64">
      <c r="A64" t="inlineStr">
        <is>
          <t>Gadidae</t>
        </is>
      </c>
      <c r="B64">
        <f>IFERROR(INDEX(SPPR!$D:$D,MATCH($A64,SPPR!$A:$A,0)),"")</f>
        <v/>
      </c>
      <c r="C64">
        <f>IFERROR(INDEX(Catch!$E:$BV,MATCH($A64,Catch!$A:$A,0),MATCH($B$4,Catch!$E$1:$BV$1,0)),0)</f>
        <v/>
      </c>
      <c r="D64">
        <f>IFERROR(IF(ISNUMBER(INDEX(SPPR!$E:$X,MATCH($A64,SPPR!$A:$A,0),1)),$C64*INDEX(SPPR!$E:$X,MATCH($A64,SPPR!$A:$A,0),1),""),"")</f>
        <v/>
      </c>
      <c r="E64">
        <f>IFERROR(IF(ISNUMBER(INDEX(SPPR!$E:$X,MATCH($A64,SPPR!$A:$A,0),2)),$C64*INDEX(SPPR!$E:$X,MATCH($A64,SPPR!$A:$A,0),2),""),"")</f>
        <v/>
      </c>
      <c r="F64">
        <f>IFERROR(IF(ISNUMBER(INDEX(SPPR!$E:$X,MATCH($A64,SPPR!$A:$A,0),3)),$C64*INDEX(SPPR!$E:$X,MATCH($A64,SPPR!$A:$A,0),3),""),"")</f>
        <v/>
      </c>
      <c r="G64">
        <f>IFERROR(IF(ISNUMBER(INDEX(SPPR!$E:$X,MATCH($A64,SPPR!$A:$A,0),4)),$C64*INDEX(SPPR!$E:$X,MATCH($A64,SPPR!$A:$A,0),4),""),"")</f>
        <v/>
      </c>
      <c r="H64">
        <f>IFERROR(IF(ISNUMBER(INDEX(SPPR!$E:$X,MATCH($A64,SPPR!$A:$A,0),5)),$C64*INDEX(SPPR!$E:$X,MATCH($A64,SPPR!$A:$A,0),5),""),"")</f>
        <v/>
      </c>
      <c r="I64">
        <f>IFERROR(IF(ISNUMBER(INDEX(SPPR!$E:$X,MATCH($A64,SPPR!$A:$A,0),6)),$C64*INDEX(SPPR!$E:$X,MATCH($A64,SPPR!$A:$A,0),6),""),"")</f>
        <v/>
      </c>
      <c r="J64">
        <f>IFERROR(IF(ISNUMBER(INDEX(SPPR!$E:$X,MATCH($A64,SPPR!$A:$A,0),7)),$C64*INDEX(SPPR!$E:$X,MATCH($A64,SPPR!$A:$A,0),7),""),"")</f>
        <v/>
      </c>
      <c r="K64">
        <f>IFERROR(IF(ISNUMBER(INDEX(SPPR!$E:$X,MATCH($A64,SPPR!$A:$A,0),8)),$C64*INDEX(SPPR!$E:$X,MATCH($A64,SPPR!$A:$A,0),8),""),"")</f>
        <v/>
      </c>
      <c r="L64">
        <f>IFERROR(IF(ISNUMBER(INDEX(SPPR!$E:$X,MATCH($A64,SPPR!$A:$A,0),9)),$C64*INDEX(SPPR!$E:$X,MATCH($A64,SPPR!$A:$A,0),9),""),"")</f>
        <v/>
      </c>
      <c r="M64">
        <f>IFERROR(IF(ISNUMBER(INDEX(SPPR!$E:$X,MATCH($A64,SPPR!$A:$A,0),10)),$C64*INDEX(SPPR!$E:$X,MATCH($A64,SPPR!$A:$A,0),10),""),"")</f>
        <v/>
      </c>
      <c r="N64">
        <f>IFERROR(IF(ISNUMBER(INDEX(SPPR!$E:$X,MATCH($A64,SPPR!$A:$A,0),11)),$C64*INDEX(SPPR!$E:$X,MATCH($A64,SPPR!$A:$A,0),11),""),"")</f>
        <v/>
      </c>
      <c r="O64">
        <f>IFERROR(IF(ISNUMBER(INDEX(SPPR!$E:$X,MATCH($A64,SPPR!$A:$A,0),12)),$C64*INDEX(SPPR!$E:$X,MATCH($A64,SPPR!$A:$A,0),12),""),"")</f>
        <v/>
      </c>
      <c r="P64">
        <f>IFERROR(IF(ISNUMBER(INDEX(SPPR!$E:$X,MATCH($A64,SPPR!$A:$A,0),13)),$C64*INDEX(SPPR!$E:$X,MATCH($A64,SPPR!$A:$A,0),13),""),"")</f>
        <v/>
      </c>
      <c r="Q64">
        <f>IFERROR(IF(ISNUMBER(INDEX(SPPR!$E:$X,MATCH($A64,SPPR!$A:$A,0),14)),$C64*INDEX(SPPR!$E:$X,MATCH($A64,SPPR!$A:$A,0),14),""),"")</f>
        <v/>
      </c>
      <c r="R64">
        <f>IFERROR(IF(ISNUMBER(INDEX(SPPR!$E:$X,MATCH($A64,SPPR!$A:$A,0),15)),$C64*INDEX(SPPR!$E:$X,MATCH($A64,SPPR!$A:$A,0),15),""),"")</f>
        <v/>
      </c>
      <c r="S64">
        <f>IFERROR(IF(ISNUMBER(INDEX(SPPR!$E:$X,MATCH($A64,SPPR!$A:$A,0),16)),$C64*INDEX(SPPR!$E:$X,MATCH($A64,SPPR!$A:$A,0),16),""),"")</f>
        <v/>
      </c>
      <c r="T64">
        <f>IFERROR(IF(ISNUMBER(INDEX(SPPR!$E:$X,MATCH($A64,SPPR!$A:$A,0),17)),$C64*INDEX(SPPR!$E:$X,MATCH($A64,SPPR!$A:$A,0),17),""),"")</f>
        <v/>
      </c>
      <c r="U64">
        <f>IFERROR(IF(ISNUMBER(INDEX(SPPR!$E:$X,MATCH($A64,SPPR!$A:$A,0),18)),$C64*INDEX(SPPR!$E:$X,MATCH($A64,SPPR!$A:$A,0),18),""),"")</f>
        <v/>
      </c>
      <c r="V64">
        <f>IFERROR(IF(ISNUMBER(INDEX(SPPR!$E:$X,MATCH($A64,SPPR!$A:$A,0),19)),$C64*INDEX(SPPR!$E:$X,MATCH($A64,SPPR!$A:$A,0),19),""),"")</f>
        <v/>
      </c>
      <c r="W64">
        <f>IFERROR(IF(ISNUMBER(INDEX(SPPR!$E:$X,MATCH($A64,SPPR!$A:$A,0),20)),$C64*INDEX(SPPR!$E:$X,MATCH($A64,SPPR!$A:$A,0),20),""),"")</f>
        <v/>
      </c>
    </row>
    <row r="65">
      <c r="A65" t="inlineStr">
        <is>
          <t>Lophiidae</t>
        </is>
      </c>
      <c r="B65">
        <f>IFERROR(INDEX(SPPR!$D:$D,MATCH($A65,SPPR!$A:$A,0)),"")</f>
        <v/>
      </c>
      <c r="C65">
        <f>IFERROR(INDEX(Catch!$E:$BV,MATCH($A65,Catch!$A:$A,0),MATCH($B$4,Catch!$E$1:$BV$1,0)),0)</f>
        <v/>
      </c>
      <c r="D65">
        <f>IFERROR(IF(ISNUMBER(INDEX(SPPR!$E:$X,MATCH($A65,SPPR!$A:$A,0),1)),$C65*INDEX(SPPR!$E:$X,MATCH($A65,SPPR!$A:$A,0),1),""),"")</f>
        <v/>
      </c>
      <c r="E65">
        <f>IFERROR(IF(ISNUMBER(INDEX(SPPR!$E:$X,MATCH($A65,SPPR!$A:$A,0),2)),$C65*INDEX(SPPR!$E:$X,MATCH($A65,SPPR!$A:$A,0),2),""),"")</f>
        <v/>
      </c>
      <c r="F65">
        <f>IFERROR(IF(ISNUMBER(INDEX(SPPR!$E:$X,MATCH($A65,SPPR!$A:$A,0),3)),$C65*INDEX(SPPR!$E:$X,MATCH($A65,SPPR!$A:$A,0),3),""),"")</f>
        <v/>
      </c>
      <c r="G65">
        <f>IFERROR(IF(ISNUMBER(INDEX(SPPR!$E:$X,MATCH($A65,SPPR!$A:$A,0),4)),$C65*INDEX(SPPR!$E:$X,MATCH($A65,SPPR!$A:$A,0),4),""),"")</f>
        <v/>
      </c>
      <c r="H65">
        <f>IFERROR(IF(ISNUMBER(INDEX(SPPR!$E:$X,MATCH($A65,SPPR!$A:$A,0),5)),$C65*INDEX(SPPR!$E:$X,MATCH($A65,SPPR!$A:$A,0),5),""),"")</f>
        <v/>
      </c>
      <c r="I65">
        <f>IFERROR(IF(ISNUMBER(INDEX(SPPR!$E:$X,MATCH($A65,SPPR!$A:$A,0),6)),$C65*INDEX(SPPR!$E:$X,MATCH($A65,SPPR!$A:$A,0),6),""),"")</f>
        <v/>
      </c>
      <c r="J65">
        <f>IFERROR(IF(ISNUMBER(INDEX(SPPR!$E:$X,MATCH($A65,SPPR!$A:$A,0),7)),$C65*INDEX(SPPR!$E:$X,MATCH($A65,SPPR!$A:$A,0),7),""),"")</f>
        <v/>
      </c>
      <c r="K65">
        <f>IFERROR(IF(ISNUMBER(INDEX(SPPR!$E:$X,MATCH($A65,SPPR!$A:$A,0),8)),$C65*INDEX(SPPR!$E:$X,MATCH($A65,SPPR!$A:$A,0),8),""),"")</f>
        <v/>
      </c>
      <c r="L65">
        <f>IFERROR(IF(ISNUMBER(INDEX(SPPR!$E:$X,MATCH($A65,SPPR!$A:$A,0),9)),$C65*INDEX(SPPR!$E:$X,MATCH($A65,SPPR!$A:$A,0),9),""),"")</f>
        <v/>
      </c>
      <c r="M65">
        <f>IFERROR(IF(ISNUMBER(INDEX(SPPR!$E:$X,MATCH($A65,SPPR!$A:$A,0),10)),$C65*INDEX(SPPR!$E:$X,MATCH($A65,SPPR!$A:$A,0),10),""),"")</f>
        <v/>
      </c>
      <c r="N65">
        <f>IFERROR(IF(ISNUMBER(INDEX(SPPR!$E:$X,MATCH($A65,SPPR!$A:$A,0),11)),$C65*INDEX(SPPR!$E:$X,MATCH($A65,SPPR!$A:$A,0),11),""),"")</f>
        <v/>
      </c>
      <c r="O65">
        <f>IFERROR(IF(ISNUMBER(INDEX(SPPR!$E:$X,MATCH($A65,SPPR!$A:$A,0),12)),$C65*INDEX(SPPR!$E:$X,MATCH($A65,SPPR!$A:$A,0),12),""),"")</f>
        <v/>
      </c>
      <c r="P65">
        <f>IFERROR(IF(ISNUMBER(INDEX(SPPR!$E:$X,MATCH($A65,SPPR!$A:$A,0),13)),$C65*INDEX(SPPR!$E:$X,MATCH($A65,SPPR!$A:$A,0),13),""),"")</f>
        <v/>
      </c>
      <c r="Q65">
        <f>IFERROR(IF(ISNUMBER(INDEX(SPPR!$E:$X,MATCH($A65,SPPR!$A:$A,0),14)),$C65*INDEX(SPPR!$E:$X,MATCH($A65,SPPR!$A:$A,0),14),""),"")</f>
        <v/>
      </c>
      <c r="R65">
        <f>IFERROR(IF(ISNUMBER(INDEX(SPPR!$E:$X,MATCH($A65,SPPR!$A:$A,0),15)),$C65*INDEX(SPPR!$E:$X,MATCH($A65,SPPR!$A:$A,0),15),""),"")</f>
        <v/>
      </c>
      <c r="S65">
        <f>IFERROR(IF(ISNUMBER(INDEX(SPPR!$E:$X,MATCH($A65,SPPR!$A:$A,0),16)),$C65*INDEX(SPPR!$E:$X,MATCH($A65,SPPR!$A:$A,0),16),""),"")</f>
        <v/>
      </c>
      <c r="T65">
        <f>IFERROR(IF(ISNUMBER(INDEX(SPPR!$E:$X,MATCH($A65,SPPR!$A:$A,0),17)),$C65*INDEX(SPPR!$E:$X,MATCH($A65,SPPR!$A:$A,0),17),""),"")</f>
        <v/>
      </c>
      <c r="U65">
        <f>IFERROR(IF(ISNUMBER(INDEX(SPPR!$E:$X,MATCH($A65,SPPR!$A:$A,0),18)),$C65*INDEX(SPPR!$E:$X,MATCH($A65,SPPR!$A:$A,0),18),""),"")</f>
        <v/>
      </c>
      <c r="V65">
        <f>IFERROR(IF(ISNUMBER(INDEX(SPPR!$E:$X,MATCH($A65,SPPR!$A:$A,0),19)),$C65*INDEX(SPPR!$E:$X,MATCH($A65,SPPR!$A:$A,0),19),""),"")</f>
        <v/>
      </c>
      <c r="W65">
        <f>IFERROR(IF(ISNUMBER(INDEX(SPPR!$E:$X,MATCH($A65,SPPR!$A:$A,0),20)),$C65*INDEX(SPPR!$E:$X,MATCH($A65,SPPR!$A:$A,0),20),""),"")</f>
        <v/>
      </c>
    </row>
    <row r="66">
      <c r="A66" t="inlineStr">
        <is>
          <t>Portunidae</t>
        </is>
      </c>
      <c r="B66">
        <f>IFERROR(INDEX(SPPR!$D:$D,MATCH($A66,SPPR!$A:$A,0)),"")</f>
        <v/>
      </c>
      <c r="C66">
        <f>IFERROR(INDEX(Catch!$E:$BV,MATCH($A66,Catch!$A:$A,0),MATCH($B$4,Catch!$E$1:$BV$1,0)),0)</f>
        <v/>
      </c>
      <c r="D66">
        <f>IFERROR(IF(ISNUMBER(INDEX(SPPR!$E:$X,MATCH($A66,SPPR!$A:$A,0),1)),$C66*INDEX(SPPR!$E:$X,MATCH($A66,SPPR!$A:$A,0),1),""),"")</f>
        <v/>
      </c>
      <c r="E66">
        <f>IFERROR(IF(ISNUMBER(INDEX(SPPR!$E:$X,MATCH($A66,SPPR!$A:$A,0),2)),$C66*INDEX(SPPR!$E:$X,MATCH($A66,SPPR!$A:$A,0),2),""),"")</f>
        <v/>
      </c>
      <c r="F66">
        <f>IFERROR(IF(ISNUMBER(INDEX(SPPR!$E:$X,MATCH($A66,SPPR!$A:$A,0),3)),$C66*INDEX(SPPR!$E:$X,MATCH($A66,SPPR!$A:$A,0),3),""),"")</f>
        <v/>
      </c>
      <c r="G66">
        <f>IFERROR(IF(ISNUMBER(INDEX(SPPR!$E:$X,MATCH($A66,SPPR!$A:$A,0),4)),$C66*INDEX(SPPR!$E:$X,MATCH($A66,SPPR!$A:$A,0),4),""),"")</f>
        <v/>
      </c>
      <c r="H66">
        <f>IFERROR(IF(ISNUMBER(INDEX(SPPR!$E:$X,MATCH($A66,SPPR!$A:$A,0),5)),$C66*INDEX(SPPR!$E:$X,MATCH($A66,SPPR!$A:$A,0),5),""),"")</f>
        <v/>
      </c>
      <c r="I66">
        <f>IFERROR(IF(ISNUMBER(INDEX(SPPR!$E:$X,MATCH($A66,SPPR!$A:$A,0),6)),$C66*INDEX(SPPR!$E:$X,MATCH($A66,SPPR!$A:$A,0),6),""),"")</f>
        <v/>
      </c>
      <c r="J66">
        <f>IFERROR(IF(ISNUMBER(INDEX(SPPR!$E:$X,MATCH($A66,SPPR!$A:$A,0),7)),$C66*INDEX(SPPR!$E:$X,MATCH($A66,SPPR!$A:$A,0),7),""),"")</f>
        <v/>
      </c>
      <c r="K66">
        <f>IFERROR(IF(ISNUMBER(INDEX(SPPR!$E:$X,MATCH($A66,SPPR!$A:$A,0),8)),$C66*INDEX(SPPR!$E:$X,MATCH($A66,SPPR!$A:$A,0),8),""),"")</f>
        <v/>
      </c>
      <c r="L66">
        <f>IFERROR(IF(ISNUMBER(INDEX(SPPR!$E:$X,MATCH($A66,SPPR!$A:$A,0),9)),$C66*INDEX(SPPR!$E:$X,MATCH($A66,SPPR!$A:$A,0),9),""),"")</f>
        <v/>
      </c>
      <c r="M66">
        <f>IFERROR(IF(ISNUMBER(INDEX(SPPR!$E:$X,MATCH($A66,SPPR!$A:$A,0),10)),$C66*INDEX(SPPR!$E:$X,MATCH($A66,SPPR!$A:$A,0),10),""),"")</f>
        <v/>
      </c>
      <c r="N66">
        <f>IFERROR(IF(ISNUMBER(INDEX(SPPR!$E:$X,MATCH($A66,SPPR!$A:$A,0),11)),$C66*INDEX(SPPR!$E:$X,MATCH($A66,SPPR!$A:$A,0),11),""),"")</f>
        <v/>
      </c>
      <c r="O66">
        <f>IFERROR(IF(ISNUMBER(INDEX(SPPR!$E:$X,MATCH($A66,SPPR!$A:$A,0),12)),$C66*INDEX(SPPR!$E:$X,MATCH($A66,SPPR!$A:$A,0),12),""),"")</f>
        <v/>
      </c>
      <c r="P66">
        <f>IFERROR(IF(ISNUMBER(INDEX(SPPR!$E:$X,MATCH($A66,SPPR!$A:$A,0),13)),$C66*INDEX(SPPR!$E:$X,MATCH($A66,SPPR!$A:$A,0),13),""),"")</f>
        <v/>
      </c>
      <c r="Q66">
        <f>IFERROR(IF(ISNUMBER(INDEX(SPPR!$E:$X,MATCH($A66,SPPR!$A:$A,0),14)),$C66*INDEX(SPPR!$E:$X,MATCH($A66,SPPR!$A:$A,0),14),""),"")</f>
        <v/>
      </c>
      <c r="R66">
        <f>IFERROR(IF(ISNUMBER(INDEX(SPPR!$E:$X,MATCH($A66,SPPR!$A:$A,0),15)),$C66*INDEX(SPPR!$E:$X,MATCH($A66,SPPR!$A:$A,0),15),""),"")</f>
        <v/>
      </c>
      <c r="S66">
        <f>IFERROR(IF(ISNUMBER(INDEX(SPPR!$E:$X,MATCH($A66,SPPR!$A:$A,0),16)),$C66*INDEX(SPPR!$E:$X,MATCH($A66,SPPR!$A:$A,0),16),""),"")</f>
        <v/>
      </c>
      <c r="T66">
        <f>IFERROR(IF(ISNUMBER(INDEX(SPPR!$E:$X,MATCH($A66,SPPR!$A:$A,0),17)),$C66*INDEX(SPPR!$E:$X,MATCH($A66,SPPR!$A:$A,0),17),""),"")</f>
        <v/>
      </c>
      <c r="U66">
        <f>IFERROR(IF(ISNUMBER(INDEX(SPPR!$E:$X,MATCH($A66,SPPR!$A:$A,0),18)),$C66*INDEX(SPPR!$E:$X,MATCH($A66,SPPR!$A:$A,0),18),""),"")</f>
        <v/>
      </c>
      <c r="V66">
        <f>IFERROR(IF(ISNUMBER(INDEX(SPPR!$E:$X,MATCH($A66,SPPR!$A:$A,0),19)),$C66*INDEX(SPPR!$E:$X,MATCH($A66,SPPR!$A:$A,0),19),""),"")</f>
        <v/>
      </c>
      <c r="W66">
        <f>IFERROR(IF(ISNUMBER(INDEX(SPPR!$E:$X,MATCH($A66,SPPR!$A:$A,0),20)),$C66*INDEX(SPPR!$E:$X,MATCH($A66,SPPR!$A:$A,0),20),""),"")</f>
        <v/>
      </c>
    </row>
    <row r="67">
      <c r="A67" t="inlineStr">
        <is>
          <t>Callionymus lyra</t>
        </is>
      </c>
      <c r="B67">
        <f>IFERROR(INDEX(SPPR!$D:$D,MATCH($A67,SPPR!$A:$A,0)),"")</f>
        <v/>
      </c>
      <c r="C67">
        <f>IFERROR(INDEX(Catch!$E:$BV,MATCH($A67,Catch!$A:$A,0),MATCH($B$4,Catch!$E$1:$BV$1,0)),0)</f>
        <v/>
      </c>
      <c r="D67">
        <f>IFERROR(IF(ISNUMBER(INDEX(SPPR!$E:$X,MATCH($A67,SPPR!$A:$A,0),1)),$C67*INDEX(SPPR!$E:$X,MATCH($A67,SPPR!$A:$A,0),1),""),"")</f>
        <v/>
      </c>
      <c r="E67">
        <f>IFERROR(IF(ISNUMBER(INDEX(SPPR!$E:$X,MATCH($A67,SPPR!$A:$A,0),2)),$C67*INDEX(SPPR!$E:$X,MATCH($A67,SPPR!$A:$A,0),2),""),"")</f>
        <v/>
      </c>
      <c r="F67">
        <f>IFERROR(IF(ISNUMBER(INDEX(SPPR!$E:$X,MATCH($A67,SPPR!$A:$A,0),3)),$C67*INDEX(SPPR!$E:$X,MATCH($A67,SPPR!$A:$A,0),3),""),"")</f>
        <v/>
      </c>
      <c r="G67">
        <f>IFERROR(IF(ISNUMBER(INDEX(SPPR!$E:$X,MATCH($A67,SPPR!$A:$A,0),4)),$C67*INDEX(SPPR!$E:$X,MATCH($A67,SPPR!$A:$A,0),4),""),"")</f>
        <v/>
      </c>
      <c r="H67">
        <f>IFERROR(IF(ISNUMBER(INDEX(SPPR!$E:$X,MATCH($A67,SPPR!$A:$A,0),5)),$C67*INDEX(SPPR!$E:$X,MATCH($A67,SPPR!$A:$A,0),5),""),"")</f>
        <v/>
      </c>
      <c r="I67">
        <f>IFERROR(IF(ISNUMBER(INDEX(SPPR!$E:$X,MATCH($A67,SPPR!$A:$A,0),6)),$C67*INDEX(SPPR!$E:$X,MATCH($A67,SPPR!$A:$A,0),6),""),"")</f>
        <v/>
      </c>
      <c r="J67">
        <f>IFERROR(IF(ISNUMBER(INDEX(SPPR!$E:$X,MATCH($A67,SPPR!$A:$A,0),7)),$C67*INDEX(SPPR!$E:$X,MATCH($A67,SPPR!$A:$A,0),7),""),"")</f>
        <v/>
      </c>
      <c r="K67">
        <f>IFERROR(IF(ISNUMBER(INDEX(SPPR!$E:$X,MATCH($A67,SPPR!$A:$A,0),8)),$C67*INDEX(SPPR!$E:$X,MATCH($A67,SPPR!$A:$A,0),8),""),"")</f>
        <v/>
      </c>
      <c r="L67">
        <f>IFERROR(IF(ISNUMBER(INDEX(SPPR!$E:$X,MATCH($A67,SPPR!$A:$A,0),9)),$C67*INDEX(SPPR!$E:$X,MATCH($A67,SPPR!$A:$A,0),9),""),"")</f>
        <v/>
      </c>
      <c r="M67">
        <f>IFERROR(IF(ISNUMBER(INDEX(SPPR!$E:$X,MATCH($A67,SPPR!$A:$A,0),10)),$C67*INDEX(SPPR!$E:$X,MATCH($A67,SPPR!$A:$A,0),10),""),"")</f>
        <v/>
      </c>
      <c r="N67">
        <f>IFERROR(IF(ISNUMBER(INDEX(SPPR!$E:$X,MATCH($A67,SPPR!$A:$A,0),11)),$C67*INDEX(SPPR!$E:$X,MATCH($A67,SPPR!$A:$A,0),11),""),"")</f>
        <v/>
      </c>
      <c r="O67">
        <f>IFERROR(IF(ISNUMBER(INDEX(SPPR!$E:$X,MATCH($A67,SPPR!$A:$A,0),12)),$C67*INDEX(SPPR!$E:$X,MATCH($A67,SPPR!$A:$A,0),12),""),"")</f>
        <v/>
      </c>
      <c r="P67">
        <f>IFERROR(IF(ISNUMBER(INDEX(SPPR!$E:$X,MATCH($A67,SPPR!$A:$A,0),13)),$C67*INDEX(SPPR!$E:$X,MATCH($A67,SPPR!$A:$A,0),13),""),"")</f>
        <v/>
      </c>
      <c r="Q67">
        <f>IFERROR(IF(ISNUMBER(INDEX(SPPR!$E:$X,MATCH($A67,SPPR!$A:$A,0),14)),$C67*INDEX(SPPR!$E:$X,MATCH($A67,SPPR!$A:$A,0),14),""),"")</f>
        <v/>
      </c>
      <c r="R67">
        <f>IFERROR(IF(ISNUMBER(INDEX(SPPR!$E:$X,MATCH($A67,SPPR!$A:$A,0),15)),$C67*INDEX(SPPR!$E:$X,MATCH($A67,SPPR!$A:$A,0),15),""),"")</f>
        <v/>
      </c>
      <c r="S67">
        <f>IFERROR(IF(ISNUMBER(INDEX(SPPR!$E:$X,MATCH($A67,SPPR!$A:$A,0),16)),$C67*INDEX(SPPR!$E:$X,MATCH($A67,SPPR!$A:$A,0),16),""),"")</f>
        <v/>
      </c>
      <c r="T67">
        <f>IFERROR(IF(ISNUMBER(INDEX(SPPR!$E:$X,MATCH($A67,SPPR!$A:$A,0),17)),$C67*INDEX(SPPR!$E:$X,MATCH($A67,SPPR!$A:$A,0),17),""),"")</f>
        <v/>
      </c>
      <c r="U67">
        <f>IFERROR(IF(ISNUMBER(INDEX(SPPR!$E:$X,MATCH($A67,SPPR!$A:$A,0),18)),$C67*INDEX(SPPR!$E:$X,MATCH($A67,SPPR!$A:$A,0),18),""),"")</f>
        <v/>
      </c>
      <c r="V67">
        <f>IFERROR(IF(ISNUMBER(INDEX(SPPR!$E:$X,MATCH($A67,SPPR!$A:$A,0),19)),$C67*INDEX(SPPR!$E:$X,MATCH($A67,SPPR!$A:$A,0),19),""),"")</f>
        <v/>
      </c>
      <c r="W67">
        <f>IFERROR(IF(ISNUMBER(INDEX(SPPR!$E:$X,MATCH($A67,SPPR!$A:$A,0),20)),$C67*INDEX(SPPR!$E:$X,MATCH($A67,SPPR!$A:$A,0),20),""),"")</f>
        <v/>
      </c>
    </row>
    <row r="68">
      <c r="A68" t="inlineStr">
        <is>
          <t>Lepidorhombus whiffiagonis</t>
        </is>
      </c>
      <c r="B68">
        <f>IFERROR(INDEX(SPPR!$D:$D,MATCH($A68,SPPR!$A:$A,0)),"")</f>
        <v/>
      </c>
      <c r="C68">
        <f>IFERROR(INDEX(Catch!$E:$BV,MATCH($A68,Catch!$A:$A,0),MATCH($B$4,Catch!$E$1:$BV$1,0)),0)</f>
        <v/>
      </c>
      <c r="D68">
        <f>IFERROR(IF(ISNUMBER(INDEX(SPPR!$E:$X,MATCH($A68,SPPR!$A:$A,0),1)),$C68*INDEX(SPPR!$E:$X,MATCH($A68,SPPR!$A:$A,0),1),""),"")</f>
        <v/>
      </c>
      <c r="E68">
        <f>IFERROR(IF(ISNUMBER(INDEX(SPPR!$E:$X,MATCH($A68,SPPR!$A:$A,0),2)),$C68*INDEX(SPPR!$E:$X,MATCH($A68,SPPR!$A:$A,0),2),""),"")</f>
        <v/>
      </c>
      <c r="F68">
        <f>IFERROR(IF(ISNUMBER(INDEX(SPPR!$E:$X,MATCH($A68,SPPR!$A:$A,0),3)),$C68*INDEX(SPPR!$E:$X,MATCH($A68,SPPR!$A:$A,0),3),""),"")</f>
        <v/>
      </c>
      <c r="G68">
        <f>IFERROR(IF(ISNUMBER(INDEX(SPPR!$E:$X,MATCH($A68,SPPR!$A:$A,0),4)),$C68*INDEX(SPPR!$E:$X,MATCH($A68,SPPR!$A:$A,0),4),""),"")</f>
        <v/>
      </c>
      <c r="H68">
        <f>IFERROR(IF(ISNUMBER(INDEX(SPPR!$E:$X,MATCH($A68,SPPR!$A:$A,0),5)),$C68*INDEX(SPPR!$E:$X,MATCH($A68,SPPR!$A:$A,0),5),""),"")</f>
        <v/>
      </c>
      <c r="I68">
        <f>IFERROR(IF(ISNUMBER(INDEX(SPPR!$E:$X,MATCH($A68,SPPR!$A:$A,0),6)),$C68*INDEX(SPPR!$E:$X,MATCH($A68,SPPR!$A:$A,0),6),""),"")</f>
        <v/>
      </c>
      <c r="J68">
        <f>IFERROR(IF(ISNUMBER(INDEX(SPPR!$E:$X,MATCH($A68,SPPR!$A:$A,0),7)),$C68*INDEX(SPPR!$E:$X,MATCH($A68,SPPR!$A:$A,0),7),""),"")</f>
        <v/>
      </c>
      <c r="K68">
        <f>IFERROR(IF(ISNUMBER(INDEX(SPPR!$E:$X,MATCH($A68,SPPR!$A:$A,0),8)),$C68*INDEX(SPPR!$E:$X,MATCH($A68,SPPR!$A:$A,0),8),""),"")</f>
        <v/>
      </c>
      <c r="L68">
        <f>IFERROR(IF(ISNUMBER(INDEX(SPPR!$E:$X,MATCH($A68,SPPR!$A:$A,0),9)),$C68*INDEX(SPPR!$E:$X,MATCH($A68,SPPR!$A:$A,0),9),""),"")</f>
        <v/>
      </c>
      <c r="M68">
        <f>IFERROR(IF(ISNUMBER(INDEX(SPPR!$E:$X,MATCH($A68,SPPR!$A:$A,0),10)),$C68*INDEX(SPPR!$E:$X,MATCH($A68,SPPR!$A:$A,0),10),""),"")</f>
        <v/>
      </c>
      <c r="N68">
        <f>IFERROR(IF(ISNUMBER(INDEX(SPPR!$E:$X,MATCH($A68,SPPR!$A:$A,0),11)),$C68*INDEX(SPPR!$E:$X,MATCH($A68,SPPR!$A:$A,0),11),""),"")</f>
        <v/>
      </c>
      <c r="O68">
        <f>IFERROR(IF(ISNUMBER(INDEX(SPPR!$E:$X,MATCH($A68,SPPR!$A:$A,0),12)),$C68*INDEX(SPPR!$E:$X,MATCH($A68,SPPR!$A:$A,0),12),""),"")</f>
        <v/>
      </c>
      <c r="P68">
        <f>IFERROR(IF(ISNUMBER(INDEX(SPPR!$E:$X,MATCH($A68,SPPR!$A:$A,0),13)),$C68*INDEX(SPPR!$E:$X,MATCH($A68,SPPR!$A:$A,0),13),""),"")</f>
        <v/>
      </c>
      <c r="Q68">
        <f>IFERROR(IF(ISNUMBER(INDEX(SPPR!$E:$X,MATCH($A68,SPPR!$A:$A,0),14)),$C68*INDEX(SPPR!$E:$X,MATCH($A68,SPPR!$A:$A,0),14),""),"")</f>
        <v/>
      </c>
      <c r="R68">
        <f>IFERROR(IF(ISNUMBER(INDEX(SPPR!$E:$X,MATCH($A68,SPPR!$A:$A,0),15)),$C68*INDEX(SPPR!$E:$X,MATCH($A68,SPPR!$A:$A,0),15),""),"")</f>
        <v/>
      </c>
      <c r="S68">
        <f>IFERROR(IF(ISNUMBER(INDEX(SPPR!$E:$X,MATCH($A68,SPPR!$A:$A,0),16)),$C68*INDEX(SPPR!$E:$X,MATCH($A68,SPPR!$A:$A,0),16),""),"")</f>
        <v/>
      </c>
      <c r="T68">
        <f>IFERROR(IF(ISNUMBER(INDEX(SPPR!$E:$X,MATCH($A68,SPPR!$A:$A,0),17)),$C68*INDEX(SPPR!$E:$X,MATCH($A68,SPPR!$A:$A,0),17),""),"")</f>
        <v/>
      </c>
      <c r="U68">
        <f>IFERROR(IF(ISNUMBER(INDEX(SPPR!$E:$X,MATCH($A68,SPPR!$A:$A,0),18)),$C68*INDEX(SPPR!$E:$X,MATCH($A68,SPPR!$A:$A,0),18),""),"")</f>
        <v/>
      </c>
      <c r="V68">
        <f>IFERROR(IF(ISNUMBER(INDEX(SPPR!$E:$X,MATCH($A68,SPPR!$A:$A,0),19)),$C68*INDEX(SPPR!$E:$X,MATCH($A68,SPPR!$A:$A,0),19),""),"")</f>
        <v/>
      </c>
      <c r="W68">
        <f>IFERROR(IF(ISNUMBER(INDEX(SPPR!$E:$X,MATCH($A68,SPPR!$A:$A,0),20)),$C68*INDEX(SPPR!$E:$X,MATCH($A68,SPPR!$A:$A,0),20),""),"")</f>
        <v/>
      </c>
    </row>
    <row r="69">
      <c r="A69" t="inlineStr">
        <is>
          <t>Marine groundfishes not identified</t>
        </is>
      </c>
      <c r="B69">
        <f>IFERROR(INDEX(SPPR!$D:$D,MATCH($A69,SPPR!$A:$A,0)),"")</f>
        <v/>
      </c>
      <c r="C69">
        <f>IFERROR(INDEX(Catch!$E:$BV,MATCH($A69,Catch!$A:$A,0),MATCH($B$4,Catch!$E$1:$BV$1,0)),0)</f>
        <v/>
      </c>
      <c r="D69">
        <f>IFERROR(IF(ISNUMBER(INDEX(SPPR!$E:$X,MATCH($A69,SPPR!$A:$A,0),1)),$C69*INDEX(SPPR!$E:$X,MATCH($A69,SPPR!$A:$A,0),1),""),"")</f>
        <v/>
      </c>
      <c r="E69">
        <f>IFERROR(IF(ISNUMBER(INDEX(SPPR!$E:$X,MATCH($A69,SPPR!$A:$A,0),2)),$C69*INDEX(SPPR!$E:$X,MATCH($A69,SPPR!$A:$A,0),2),""),"")</f>
        <v/>
      </c>
      <c r="F69">
        <f>IFERROR(IF(ISNUMBER(INDEX(SPPR!$E:$X,MATCH($A69,SPPR!$A:$A,0),3)),$C69*INDEX(SPPR!$E:$X,MATCH($A69,SPPR!$A:$A,0),3),""),"")</f>
        <v/>
      </c>
      <c r="G69">
        <f>IFERROR(IF(ISNUMBER(INDEX(SPPR!$E:$X,MATCH($A69,SPPR!$A:$A,0),4)),$C69*INDEX(SPPR!$E:$X,MATCH($A69,SPPR!$A:$A,0),4),""),"")</f>
        <v/>
      </c>
      <c r="H69">
        <f>IFERROR(IF(ISNUMBER(INDEX(SPPR!$E:$X,MATCH($A69,SPPR!$A:$A,0),5)),$C69*INDEX(SPPR!$E:$X,MATCH($A69,SPPR!$A:$A,0),5),""),"")</f>
        <v/>
      </c>
      <c r="I69">
        <f>IFERROR(IF(ISNUMBER(INDEX(SPPR!$E:$X,MATCH($A69,SPPR!$A:$A,0),6)),$C69*INDEX(SPPR!$E:$X,MATCH($A69,SPPR!$A:$A,0),6),""),"")</f>
        <v/>
      </c>
      <c r="J69">
        <f>IFERROR(IF(ISNUMBER(INDEX(SPPR!$E:$X,MATCH($A69,SPPR!$A:$A,0),7)),$C69*INDEX(SPPR!$E:$X,MATCH($A69,SPPR!$A:$A,0),7),""),"")</f>
        <v/>
      </c>
      <c r="K69">
        <f>IFERROR(IF(ISNUMBER(INDEX(SPPR!$E:$X,MATCH($A69,SPPR!$A:$A,0),8)),$C69*INDEX(SPPR!$E:$X,MATCH($A69,SPPR!$A:$A,0),8),""),"")</f>
        <v/>
      </c>
      <c r="L69">
        <f>IFERROR(IF(ISNUMBER(INDEX(SPPR!$E:$X,MATCH($A69,SPPR!$A:$A,0),9)),$C69*INDEX(SPPR!$E:$X,MATCH($A69,SPPR!$A:$A,0),9),""),"")</f>
        <v/>
      </c>
      <c r="M69">
        <f>IFERROR(IF(ISNUMBER(INDEX(SPPR!$E:$X,MATCH($A69,SPPR!$A:$A,0),10)),$C69*INDEX(SPPR!$E:$X,MATCH($A69,SPPR!$A:$A,0),10),""),"")</f>
        <v/>
      </c>
      <c r="N69">
        <f>IFERROR(IF(ISNUMBER(INDEX(SPPR!$E:$X,MATCH($A69,SPPR!$A:$A,0),11)),$C69*INDEX(SPPR!$E:$X,MATCH($A69,SPPR!$A:$A,0),11),""),"")</f>
        <v/>
      </c>
      <c r="O69">
        <f>IFERROR(IF(ISNUMBER(INDEX(SPPR!$E:$X,MATCH($A69,SPPR!$A:$A,0),12)),$C69*INDEX(SPPR!$E:$X,MATCH($A69,SPPR!$A:$A,0),12),""),"")</f>
        <v/>
      </c>
      <c r="P69">
        <f>IFERROR(IF(ISNUMBER(INDEX(SPPR!$E:$X,MATCH($A69,SPPR!$A:$A,0),13)),$C69*INDEX(SPPR!$E:$X,MATCH($A69,SPPR!$A:$A,0),13),""),"")</f>
        <v/>
      </c>
      <c r="Q69">
        <f>IFERROR(IF(ISNUMBER(INDEX(SPPR!$E:$X,MATCH($A69,SPPR!$A:$A,0),14)),$C69*INDEX(SPPR!$E:$X,MATCH($A69,SPPR!$A:$A,0),14),""),"")</f>
        <v/>
      </c>
      <c r="R69">
        <f>IFERROR(IF(ISNUMBER(INDEX(SPPR!$E:$X,MATCH($A69,SPPR!$A:$A,0),15)),$C69*INDEX(SPPR!$E:$X,MATCH($A69,SPPR!$A:$A,0),15),""),"")</f>
        <v/>
      </c>
      <c r="S69">
        <f>IFERROR(IF(ISNUMBER(INDEX(SPPR!$E:$X,MATCH($A69,SPPR!$A:$A,0),16)),$C69*INDEX(SPPR!$E:$X,MATCH($A69,SPPR!$A:$A,0),16),""),"")</f>
        <v/>
      </c>
      <c r="T69">
        <f>IFERROR(IF(ISNUMBER(INDEX(SPPR!$E:$X,MATCH($A69,SPPR!$A:$A,0),17)),$C69*INDEX(SPPR!$E:$X,MATCH($A69,SPPR!$A:$A,0),17),""),"")</f>
        <v/>
      </c>
      <c r="U69">
        <f>IFERROR(IF(ISNUMBER(INDEX(SPPR!$E:$X,MATCH($A69,SPPR!$A:$A,0),18)),$C69*INDEX(SPPR!$E:$X,MATCH($A69,SPPR!$A:$A,0),18),""),"")</f>
        <v/>
      </c>
      <c r="V69">
        <f>IFERROR(IF(ISNUMBER(INDEX(SPPR!$E:$X,MATCH($A69,SPPR!$A:$A,0),19)),$C69*INDEX(SPPR!$E:$X,MATCH($A69,SPPR!$A:$A,0),19),""),"")</f>
        <v/>
      </c>
      <c r="W69">
        <f>IFERROR(IF(ISNUMBER(INDEX(SPPR!$E:$X,MATCH($A69,SPPR!$A:$A,0),20)),$C69*INDEX(SPPR!$E:$X,MATCH($A69,SPPR!$A:$A,0),20),""),"")</f>
        <v/>
      </c>
    </row>
    <row r="70">
      <c r="A70" t="inlineStr">
        <is>
          <t>Scombridae</t>
        </is>
      </c>
      <c r="B70">
        <f>IFERROR(INDEX(SPPR!$D:$D,MATCH($A70,SPPR!$A:$A,0)),"")</f>
        <v/>
      </c>
      <c r="C70">
        <f>IFERROR(INDEX(Catch!$E:$BV,MATCH($A70,Catch!$A:$A,0),MATCH($B$4,Catch!$E$1:$BV$1,0)),0)</f>
        <v/>
      </c>
      <c r="D70">
        <f>IFERROR(IF(ISNUMBER(INDEX(SPPR!$E:$X,MATCH($A70,SPPR!$A:$A,0),1)),$C70*INDEX(SPPR!$E:$X,MATCH($A70,SPPR!$A:$A,0),1),""),"")</f>
        <v/>
      </c>
      <c r="E70">
        <f>IFERROR(IF(ISNUMBER(INDEX(SPPR!$E:$X,MATCH($A70,SPPR!$A:$A,0),2)),$C70*INDEX(SPPR!$E:$X,MATCH($A70,SPPR!$A:$A,0),2),""),"")</f>
        <v/>
      </c>
      <c r="F70">
        <f>IFERROR(IF(ISNUMBER(INDEX(SPPR!$E:$X,MATCH($A70,SPPR!$A:$A,0),3)),$C70*INDEX(SPPR!$E:$X,MATCH($A70,SPPR!$A:$A,0),3),""),"")</f>
        <v/>
      </c>
      <c r="G70">
        <f>IFERROR(IF(ISNUMBER(INDEX(SPPR!$E:$X,MATCH($A70,SPPR!$A:$A,0),4)),$C70*INDEX(SPPR!$E:$X,MATCH($A70,SPPR!$A:$A,0),4),""),"")</f>
        <v/>
      </c>
      <c r="H70">
        <f>IFERROR(IF(ISNUMBER(INDEX(SPPR!$E:$X,MATCH($A70,SPPR!$A:$A,0),5)),$C70*INDEX(SPPR!$E:$X,MATCH($A70,SPPR!$A:$A,0),5),""),"")</f>
        <v/>
      </c>
      <c r="I70">
        <f>IFERROR(IF(ISNUMBER(INDEX(SPPR!$E:$X,MATCH($A70,SPPR!$A:$A,0),6)),$C70*INDEX(SPPR!$E:$X,MATCH($A70,SPPR!$A:$A,0),6),""),"")</f>
        <v/>
      </c>
      <c r="J70">
        <f>IFERROR(IF(ISNUMBER(INDEX(SPPR!$E:$X,MATCH($A70,SPPR!$A:$A,0),7)),$C70*INDEX(SPPR!$E:$X,MATCH($A70,SPPR!$A:$A,0),7),""),"")</f>
        <v/>
      </c>
      <c r="K70">
        <f>IFERROR(IF(ISNUMBER(INDEX(SPPR!$E:$X,MATCH($A70,SPPR!$A:$A,0),8)),$C70*INDEX(SPPR!$E:$X,MATCH($A70,SPPR!$A:$A,0),8),""),"")</f>
        <v/>
      </c>
      <c r="L70">
        <f>IFERROR(IF(ISNUMBER(INDEX(SPPR!$E:$X,MATCH($A70,SPPR!$A:$A,0),9)),$C70*INDEX(SPPR!$E:$X,MATCH($A70,SPPR!$A:$A,0),9),""),"")</f>
        <v/>
      </c>
      <c r="M70">
        <f>IFERROR(IF(ISNUMBER(INDEX(SPPR!$E:$X,MATCH($A70,SPPR!$A:$A,0),10)),$C70*INDEX(SPPR!$E:$X,MATCH($A70,SPPR!$A:$A,0),10),""),"")</f>
        <v/>
      </c>
      <c r="N70">
        <f>IFERROR(IF(ISNUMBER(INDEX(SPPR!$E:$X,MATCH($A70,SPPR!$A:$A,0),11)),$C70*INDEX(SPPR!$E:$X,MATCH($A70,SPPR!$A:$A,0),11),""),"")</f>
        <v/>
      </c>
      <c r="O70">
        <f>IFERROR(IF(ISNUMBER(INDEX(SPPR!$E:$X,MATCH($A70,SPPR!$A:$A,0),12)),$C70*INDEX(SPPR!$E:$X,MATCH($A70,SPPR!$A:$A,0),12),""),"")</f>
        <v/>
      </c>
      <c r="P70">
        <f>IFERROR(IF(ISNUMBER(INDEX(SPPR!$E:$X,MATCH($A70,SPPR!$A:$A,0),13)),$C70*INDEX(SPPR!$E:$X,MATCH($A70,SPPR!$A:$A,0),13),""),"")</f>
        <v/>
      </c>
      <c r="Q70">
        <f>IFERROR(IF(ISNUMBER(INDEX(SPPR!$E:$X,MATCH($A70,SPPR!$A:$A,0),14)),$C70*INDEX(SPPR!$E:$X,MATCH($A70,SPPR!$A:$A,0),14),""),"")</f>
        <v/>
      </c>
      <c r="R70">
        <f>IFERROR(IF(ISNUMBER(INDEX(SPPR!$E:$X,MATCH($A70,SPPR!$A:$A,0),15)),$C70*INDEX(SPPR!$E:$X,MATCH($A70,SPPR!$A:$A,0),15),""),"")</f>
        <v/>
      </c>
      <c r="S70">
        <f>IFERROR(IF(ISNUMBER(INDEX(SPPR!$E:$X,MATCH($A70,SPPR!$A:$A,0),16)),$C70*INDEX(SPPR!$E:$X,MATCH($A70,SPPR!$A:$A,0),16),""),"")</f>
        <v/>
      </c>
      <c r="T70">
        <f>IFERROR(IF(ISNUMBER(INDEX(SPPR!$E:$X,MATCH($A70,SPPR!$A:$A,0),17)),$C70*INDEX(SPPR!$E:$X,MATCH($A70,SPPR!$A:$A,0),17),""),"")</f>
        <v/>
      </c>
      <c r="U70">
        <f>IFERROR(IF(ISNUMBER(INDEX(SPPR!$E:$X,MATCH($A70,SPPR!$A:$A,0),18)),$C70*INDEX(SPPR!$E:$X,MATCH($A70,SPPR!$A:$A,0),18),""),"")</f>
        <v/>
      </c>
      <c r="V70">
        <f>IFERROR(IF(ISNUMBER(INDEX(SPPR!$E:$X,MATCH($A70,SPPR!$A:$A,0),19)),$C70*INDEX(SPPR!$E:$X,MATCH($A70,SPPR!$A:$A,0),19),""),"")</f>
        <v/>
      </c>
      <c r="W70">
        <f>IFERROR(IF(ISNUMBER(INDEX(SPPR!$E:$X,MATCH($A70,SPPR!$A:$A,0),20)),$C70*INDEX(SPPR!$E:$X,MATCH($A70,SPPR!$A:$A,0),20),""),"")</f>
        <v/>
      </c>
    </row>
    <row r="71">
      <c r="A71" t="inlineStr">
        <is>
          <t>Crangon</t>
        </is>
      </c>
      <c r="B71">
        <f>IFERROR(INDEX(SPPR!$D:$D,MATCH($A71,SPPR!$A:$A,0)),"")</f>
        <v/>
      </c>
      <c r="C71">
        <f>IFERROR(INDEX(Catch!$E:$BV,MATCH($A71,Catch!$A:$A,0),MATCH($B$4,Catch!$E$1:$BV$1,0)),0)</f>
        <v/>
      </c>
      <c r="D71">
        <f>IFERROR(IF(ISNUMBER(INDEX(SPPR!$E:$X,MATCH($A71,SPPR!$A:$A,0),1)),$C71*INDEX(SPPR!$E:$X,MATCH($A71,SPPR!$A:$A,0),1),""),"")</f>
        <v/>
      </c>
      <c r="E71">
        <f>IFERROR(IF(ISNUMBER(INDEX(SPPR!$E:$X,MATCH($A71,SPPR!$A:$A,0),2)),$C71*INDEX(SPPR!$E:$X,MATCH($A71,SPPR!$A:$A,0),2),""),"")</f>
        <v/>
      </c>
      <c r="F71">
        <f>IFERROR(IF(ISNUMBER(INDEX(SPPR!$E:$X,MATCH($A71,SPPR!$A:$A,0),3)),$C71*INDEX(SPPR!$E:$X,MATCH($A71,SPPR!$A:$A,0),3),""),"")</f>
        <v/>
      </c>
      <c r="G71">
        <f>IFERROR(IF(ISNUMBER(INDEX(SPPR!$E:$X,MATCH($A71,SPPR!$A:$A,0),4)),$C71*INDEX(SPPR!$E:$X,MATCH($A71,SPPR!$A:$A,0),4),""),"")</f>
        <v/>
      </c>
      <c r="H71">
        <f>IFERROR(IF(ISNUMBER(INDEX(SPPR!$E:$X,MATCH($A71,SPPR!$A:$A,0),5)),$C71*INDEX(SPPR!$E:$X,MATCH($A71,SPPR!$A:$A,0),5),""),"")</f>
        <v/>
      </c>
      <c r="I71">
        <f>IFERROR(IF(ISNUMBER(INDEX(SPPR!$E:$X,MATCH($A71,SPPR!$A:$A,0),6)),$C71*INDEX(SPPR!$E:$X,MATCH($A71,SPPR!$A:$A,0),6),""),"")</f>
        <v/>
      </c>
      <c r="J71">
        <f>IFERROR(IF(ISNUMBER(INDEX(SPPR!$E:$X,MATCH($A71,SPPR!$A:$A,0),7)),$C71*INDEX(SPPR!$E:$X,MATCH($A71,SPPR!$A:$A,0),7),""),"")</f>
        <v/>
      </c>
      <c r="K71">
        <f>IFERROR(IF(ISNUMBER(INDEX(SPPR!$E:$X,MATCH($A71,SPPR!$A:$A,0),8)),$C71*INDEX(SPPR!$E:$X,MATCH($A71,SPPR!$A:$A,0),8),""),"")</f>
        <v/>
      </c>
      <c r="L71">
        <f>IFERROR(IF(ISNUMBER(INDEX(SPPR!$E:$X,MATCH($A71,SPPR!$A:$A,0),9)),$C71*INDEX(SPPR!$E:$X,MATCH($A71,SPPR!$A:$A,0),9),""),"")</f>
        <v/>
      </c>
      <c r="M71">
        <f>IFERROR(IF(ISNUMBER(INDEX(SPPR!$E:$X,MATCH($A71,SPPR!$A:$A,0),10)),$C71*INDEX(SPPR!$E:$X,MATCH($A71,SPPR!$A:$A,0),10),""),"")</f>
        <v/>
      </c>
      <c r="N71">
        <f>IFERROR(IF(ISNUMBER(INDEX(SPPR!$E:$X,MATCH($A71,SPPR!$A:$A,0),11)),$C71*INDEX(SPPR!$E:$X,MATCH($A71,SPPR!$A:$A,0),11),""),"")</f>
        <v/>
      </c>
      <c r="O71">
        <f>IFERROR(IF(ISNUMBER(INDEX(SPPR!$E:$X,MATCH($A71,SPPR!$A:$A,0),12)),$C71*INDEX(SPPR!$E:$X,MATCH($A71,SPPR!$A:$A,0),12),""),"")</f>
        <v/>
      </c>
      <c r="P71">
        <f>IFERROR(IF(ISNUMBER(INDEX(SPPR!$E:$X,MATCH($A71,SPPR!$A:$A,0),13)),$C71*INDEX(SPPR!$E:$X,MATCH($A71,SPPR!$A:$A,0),13),""),"")</f>
        <v/>
      </c>
      <c r="Q71">
        <f>IFERROR(IF(ISNUMBER(INDEX(SPPR!$E:$X,MATCH($A71,SPPR!$A:$A,0),14)),$C71*INDEX(SPPR!$E:$X,MATCH($A71,SPPR!$A:$A,0),14),""),"")</f>
        <v/>
      </c>
      <c r="R71">
        <f>IFERROR(IF(ISNUMBER(INDEX(SPPR!$E:$X,MATCH($A71,SPPR!$A:$A,0),15)),$C71*INDEX(SPPR!$E:$X,MATCH($A71,SPPR!$A:$A,0),15),""),"")</f>
        <v/>
      </c>
      <c r="S71">
        <f>IFERROR(IF(ISNUMBER(INDEX(SPPR!$E:$X,MATCH($A71,SPPR!$A:$A,0),16)),$C71*INDEX(SPPR!$E:$X,MATCH($A71,SPPR!$A:$A,0),16),""),"")</f>
        <v/>
      </c>
      <c r="T71">
        <f>IFERROR(IF(ISNUMBER(INDEX(SPPR!$E:$X,MATCH($A71,SPPR!$A:$A,0),17)),$C71*INDEX(SPPR!$E:$X,MATCH($A71,SPPR!$A:$A,0),17),""),"")</f>
        <v/>
      </c>
      <c r="U71">
        <f>IFERROR(IF(ISNUMBER(INDEX(SPPR!$E:$X,MATCH($A71,SPPR!$A:$A,0),18)),$C71*INDEX(SPPR!$E:$X,MATCH($A71,SPPR!$A:$A,0),18),""),"")</f>
        <v/>
      </c>
      <c r="V71">
        <f>IFERROR(IF(ISNUMBER(INDEX(SPPR!$E:$X,MATCH($A71,SPPR!$A:$A,0),19)),$C71*INDEX(SPPR!$E:$X,MATCH($A71,SPPR!$A:$A,0),19),""),"")</f>
        <v/>
      </c>
      <c r="W71">
        <f>IFERROR(IF(ISNUMBER(INDEX(SPPR!$E:$X,MATCH($A71,SPPR!$A:$A,0),20)),$C71*INDEX(SPPR!$E:$X,MATCH($A71,SPPR!$A:$A,0),20),""),"")</f>
        <v/>
      </c>
    </row>
    <row r="72">
      <c r="A72" t="inlineStr">
        <is>
          <t>Squaliformes</t>
        </is>
      </c>
      <c r="B72">
        <f>IFERROR(INDEX(SPPR!$D:$D,MATCH($A72,SPPR!$A:$A,0)),"")</f>
        <v/>
      </c>
      <c r="C72">
        <f>IFERROR(INDEX(Catch!$E:$BV,MATCH($A72,Catch!$A:$A,0),MATCH($B$4,Catch!$E$1:$BV$1,0)),0)</f>
        <v/>
      </c>
      <c r="D72">
        <f>IFERROR(IF(ISNUMBER(INDEX(SPPR!$E:$X,MATCH($A72,SPPR!$A:$A,0),1)),$C72*INDEX(SPPR!$E:$X,MATCH($A72,SPPR!$A:$A,0),1),""),"")</f>
        <v/>
      </c>
      <c r="E72">
        <f>IFERROR(IF(ISNUMBER(INDEX(SPPR!$E:$X,MATCH($A72,SPPR!$A:$A,0),2)),$C72*INDEX(SPPR!$E:$X,MATCH($A72,SPPR!$A:$A,0),2),""),"")</f>
        <v/>
      </c>
      <c r="F72">
        <f>IFERROR(IF(ISNUMBER(INDEX(SPPR!$E:$X,MATCH($A72,SPPR!$A:$A,0),3)),$C72*INDEX(SPPR!$E:$X,MATCH($A72,SPPR!$A:$A,0),3),""),"")</f>
        <v/>
      </c>
      <c r="G72">
        <f>IFERROR(IF(ISNUMBER(INDEX(SPPR!$E:$X,MATCH($A72,SPPR!$A:$A,0),4)),$C72*INDEX(SPPR!$E:$X,MATCH($A72,SPPR!$A:$A,0),4),""),"")</f>
        <v/>
      </c>
      <c r="H72">
        <f>IFERROR(IF(ISNUMBER(INDEX(SPPR!$E:$X,MATCH($A72,SPPR!$A:$A,0),5)),$C72*INDEX(SPPR!$E:$X,MATCH($A72,SPPR!$A:$A,0),5),""),"")</f>
        <v/>
      </c>
      <c r="I72">
        <f>IFERROR(IF(ISNUMBER(INDEX(SPPR!$E:$X,MATCH($A72,SPPR!$A:$A,0),6)),$C72*INDEX(SPPR!$E:$X,MATCH($A72,SPPR!$A:$A,0),6),""),"")</f>
        <v/>
      </c>
      <c r="J72">
        <f>IFERROR(IF(ISNUMBER(INDEX(SPPR!$E:$X,MATCH($A72,SPPR!$A:$A,0),7)),$C72*INDEX(SPPR!$E:$X,MATCH($A72,SPPR!$A:$A,0),7),""),"")</f>
        <v/>
      </c>
      <c r="K72">
        <f>IFERROR(IF(ISNUMBER(INDEX(SPPR!$E:$X,MATCH($A72,SPPR!$A:$A,0),8)),$C72*INDEX(SPPR!$E:$X,MATCH($A72,SPPR!$A:$A,0),8),""),"")</f>
        <v/>
      </c>
      <c r="L72">
        <f>IFERROR(IF(ISNUMBER(INDEX(SPPR!$E:$X,MATCH($A72,SPPR!$A:$A,0),9)),$C72*INDEX(SPPR!$E:$X,MATCH($A72,SPPR!$A:$A,0),9),""),"")</f>
        <v/>
      </c>
      <c r="M72">
        <f>IFERROR(IF(ISNUMBER(INDEX(SPPR!$E:$X,MATCH($A72,SPPR!$A:$A,0),10)),$C72*INDEX(SPPR!$E:$X,MATCH($A72,SPPR!$A:$A,0),10),""),"")</f>
        <v/>
      </c>
      <c r="N72">
        <f>IFERROR(IF(ISNUMBER(INDEX(SPPR!$E:$X,MATCH($A72,SPPR!$A:$A,0),11)),$C72*INDEX(SPPR!$E:$X,MATCH($A72,SPPR!$A:$A,0),11),""),"")</f>
        <v/>
      </c>
      <c r="O72">
        <f>IFERROR(IF(ISNUMBER(INDEX(SPPR!$E:$X,MATCH($A72,SPPR!$A:$A,0),12)),$C72*INDEX(SPPR!$E:$X,MATCH($A72,SPPR!$A:$A,0),12),""),"")</f>
        <v/>
      </c>
      <c r="P72">
        <f>IFERROR(IF(ISNUMBER(INDEX(SPPR!$E:$X,MATCH($A72,SPPR!$A:$A,0),13)),$C72*INDEX(SPPR!$E:$X,MATCH($A72,SPPR!$A:$A,0),13),""),"")</f>
        <v/>
      </c>
      <c r="Q72">
        <f>IFERROR(IF(ISNUMBER(INDEX(SPPR!$E:$X,MATCH($A72,SPPR!$A:$A,0),14)),$C72*INDEX(SPPR!$E:$X,MATCH($A72,SPPR!$A:$A,0),14),""),"")</f>
        <v/>
      </c>
      <c r="R72">
        <f>IFERROR(IF(ISNUMBER(INDEX(SPPR!$E:$X,MATCH($A72,SPPR!$A:$A,0),15)),$C72*INDEX(SPPR!$E:$X,MATCH($A72,SPPR!$A:$A,0),15),""),"")</f>
        <v/>
      </c>
      <c r="S72">
        <f>IFERROR(IF(ISNUMBER(INDEX(SPPR!$E:$X,MATCH($A72,SPPR!$A:$A,0),16)),$C72*INDEX(SPPR!$E:$X,MATCH($A72,SPPR!$A:$A,0),16),""),"")</f>
        <v/>
      </c>
      <c r="T72">
        <f>IFERROR(IF(ISNUMBER(INDEX(SPPR!$E:$X,MATCH($A72,SPPR!$A:$A,0),17)),$C72*INDEX(SPPR!$E:$X,MATCH($A72,SPPR!$A:$A,0),17),""),"")</f>
        <v/>
      </c>
      <c r="U72">
        <f>IFERROR(IF(ISNUMBER(INDEX(SPPR!$E:$X,MATCH($A72,SPPR!$A:$A,0),18)),$C72*INDEX(SPPR!$E:$X,MATCH($A72,SPPR!$A:$A,0),18),""),"")</f>
        <v/>
      </c>
      <c r="V72">
        <f>IFERROR(IF(ISNUMBER(INDEX(SPPR!$E:$X,MATCH($A72,SPPR!$A:$A,0),19)),$C72*INDEX(SPPR!$E:$X,MATCH($A72,SPPR!$A:$A,0),19),""),"")</f>
        <v/>
      </c>
      <c r="W72">
        <f>IFERROR(IF(ISNUMBER(INDEX(SPPR!$E:$X,MATCH($A72,SPPR!$A:$A,0),20)),$C72*INDEX(SPPR!$E:$X,MATCH($A72,SPPR!$A:$A,0),20),""),"")</f>
        <v/>
      </c>
    </row>
    <row r="73">
      <c r="A73" t="inlineStr">
        <is>
          <t>Dicentrarchus labrax</t>
        </is>
      </c>
      <c r="B73">
        <f>IFERROR(INDEX(SPPR!$D:$D,MATCH($A73,SPPR!$A:$A,0)),"")</f>
        <v/>
      </c>
      <c r="C73">
        <f>IFERROR(INDEX(Catch!$E:$BV,MATCH($A73,Catch!$A:$A,0),MATCH($B$4,Catch!$E$1:$BV$1,0)),0)</f>
        <v/>
      </c>
      <c r="D73">
        <f>IFERROR(IF(ISNUMBER(INDEX(SPPR!$E:$X,MATCH($A73,SPPR!$A:$A,0),1)),$C73*INDEX(SPPR!$E:$X,MATCH($A73,SPPR!$A:$A,0),1),""),"")</f>
        <v/>
      </c>
      <c r="E73">
        <f>IFERROR(IF(ISNUMBER(INDEX(SPPR!$E:$X,MATCH($A73,SPPR!$A:$A,0),2)),$C73*INDEX(SPPR!$E:$X,MATCH($A73,SPPR!$A:$A,0),2),""),"")</f>
        <v/>
      </c>
      <c r="F73">
        <f>IFERROR(IF(ISNUMBER(INDEX(SPPR!$E:$X,MATCH($A73,SPPR!$A:$A,0),3)),$C73*INDEX(SPPR!$E:$X,MATCH($A73,SPPR!$A:$A,0),3),""),"")</f>
        <v/>
      </c>
      <c r="G73">
        <f>IFERROR(IF(ISNUMBER(INDEX(SPPR!$E:$X,MATCH($A73,SPPR!$A:$A,0),4)),$C73*INDEX(SPPR!$E:$X,MATCH($A73,SPPR!$A:$A,0),4),""),"")</f>
        <v/>
      </c>
      <c r="H73">
        <f>IFERROR(IF(ISNUMBER(INDEX(SPPR!$E:$X,MATCH($A73,SPPR!$A:$A,0),5)),$C73*INDEX(SPPR!$E:$X,MATCH($A73,SPPR!$A:$A,0),5),""),"")</f>
        <v/>
      </c>
      <c r="I73">
        <f>IFERROR(IF(ISNUMBER(INDEX(SPPR!$E:$X,MATCH($A73,SPPR!$A:$A,0),6)),$C73*INDEX(SPPR!$E:$X,MATCH($A73,SPPR!$A:$A,0),6),""),"")</f>
        <v/>
      </c>
      <c r="J73">
        <f>IFERROR(IF(ISNUMBER(INDEX(SPPR!$E:$X,MATCH($A73,SPPR!$A:$A,0),7)),$C73*INDEX(SPPR!$E:$X,MATCH($A73,SPPR!$A:$A,0),7),""),"")</f>
        <v/>
      </c>
      <c r="K73">
        <f>IFERROR(IF(ISNUMBER(INDEX(SPPR!$E:$X,MATCH($A73,SPPR!$A:$A,0),8)),$C73*INDEX(SPPR!$E:$X,MATCH($A73,SPPR!$A:$A,0),8),""),"")</f>
        <v/>
      </c>
      <c r="L73">
        <f>IFERROR(IF(ISNUMBER(INDEX(SPPR!$E:$X,MATCH($A73,SPPR!$A:$A,0),9)),$C73*INDEX(SPPR!$E:$X,MATCH($A73,SPPR!$A:$A,0),9),""),"")</f>
        <v/>
      </c>
      <c r="M73">
        <f>IFERROR(IF(ISNUMBER(INDEX(SPPR!$E:$X,MATCH($A73,SPPR!$A:$A,0),10)),$C73*INDEX(SPPR!$E:$X,MATCH($A73,SPPR!$A:$A,0),10),""),"")</f>
        <v/>
      </c>
      <c r="N73">
        <f>IFERROR(IF(ISNUMBER(INDEX(SPPR!$E:$X,MATCH($A73,SPPR!$A:$A,0),11)),$C73*INDEX(SPPR!$E:$X,MATCH($A73,SPPR!$A:$A,0),11),""),"")</f>
        <v/>
      </c>
      <c r="O73">
        <f>IFERROR(IF(ISNUMBER(INDEX(SPPR!$E:$X,MATCH($A73,SPPR!$A:$A,0),12)),$C73*INDEX(SPPR!$E:$X,MATCH($A73,SPPR!$A:$A,0),12),""),"")</f>
        <v/>
      </c>
      <c r="P73">
        <f>IFERROR(IF(ISNUMBER(INDEX(SPPR!$E:$X,MATCH($A73,SPPR!$A:$A,0),13)),$C73*INDEX(SPPR!$E:$X,MATCH($A73,SPPR!$A:$A,0),13),""),"")</f>
        <v/>
      </c>
      <c r="Q73">
        <f>IFERROR(IF(ISNUMBER(INDEX(SPPR!$E:$X,MATCH($A73,SPPR!$A:$A,0),14)),$C73*INDEX(SPPR!$E:$X,MATCH($A73,SPPR!$A:$A,0),14),""),"")</f>
        <v/>
      </c>
      <c r="R73">
        <f>IFERROR(IF(ISNUMBER(INDEX(SPPR!$E:$X,MATCH($A73,SPPR!$A:$A,0),15)),$C73*INDEX(SPPR!$E:$X,MATCH($A73,SPPR!$A:$A,0),15),""),"")</f>
        <v/>
      </c>
      <c r="S73">
        <f>IFERROR(IF(ISNUMBER(INDEX(SPPR!$E:$X,MATCH($A73,SPPR!$A:$A,0),16)),$C73*INDEX(SPPR!$E:$X,MATCH($A73,SPPR!$A:$A,0),16),""),"")</f>
        <v/>
      </c>
      <c r="T73">
        <f>IFERROR(IF(ISNUMBER(INDEX(SPPR!$E:$X,MATCH($A73,SPPR!$A:$A,0),17)),$C73*INDEX(SPPR!$E:$X,MATCH($A73,SPPR!$A:$A,0),17),""),"")</f>
        <v/>
      </c>
      <c r="U73">
        <f>IFERROR(IF(ISNUMBER(INDEX(SPPR!$E:$X,MATCH($A73,SPPR!$A:$A,0),18)),$C73*INDEX(SPPR!$E:$X,MATCH($A73,SPPR!$A:$A,0),18),""),"")</f>
        <v/>
      </c>
      <c r="V73">
        <f>IFERROR(IF(ISNUMBER(INDEX(SPPR!$E:$X,MATCH($A73,SPPR!$A:$A,0),19)),$C73*INDEX(SPPR!$E:$X,MATCH($A73,SPPR!$A:$A,0),19),""),"")</f>
        <v/>
      </c>
      <c r="W73">
        <f>IFERROR(IF(ISNUMBER(INDEX(SPPR!$E:$X,MATCH($A73,SPPR!$A:$A,0),20)),$C73*INDEX(SPPR!$E:$X,MATCH($A73,SPPR!$A:$A,0),20),""),"")</f>
        <v/>
      </c>
    </row>
    <row r="74">
      <c r="A74" t="inlineStr">
        <is>
          <t>Homarus gammarus</t>
        </is>
      </c>
      <c r="B74">
        <f>IFERROR(INDEX(SPPR!$D:$D,MATCH($A74,SPPR!$A:$A,0)),"")</f>
        <v/>
      </c>
      <c r="C74">
        <f>IFERROR(INDEX(Catch!$E:$BV,MATCH($A74,Catch!$A:$A,0),MATCH($B$4,Catch!$E$1:$BV$1,0)),0)</f>
        <v/>
      </c>
      <c r="D74">
        <f>IFERROR(IF(ISNUMBER(INDEX(SPPR!$E:$X,MATCH($A74,SPPR!$A:$A,0),1)),$C74*INDEX(SPPR!$E:$X,MATCH($A74,SPPR!$A:$A,0),1),""),"")</f>
        <v/>
      </c>
      <c r="E74">
        <f>IFERROR(IF(ISNUMBER(INDEX(SPPR!$E:$X,MATCH($A74,SPPR!$A:$A,0),2)),$C74*INDEX(SPPR!$E:$X,MATCH($A74,SPPR!$A:$A,0),2),""),"")</f>
        <v/>
      </c>
      <c r="F74">
        <f>IFERROR(IF(ISNUMBER(INDEX(SPPR!$E:$X,MATCH($A74,SPPR!$A:$A,0),3)),$C74*INDEX(SPPR!$E:$X,MATCH($A74,SPPR!$A:$A,0),3),""),"")</f>
        <v/>
      </c>
      <c r="G74">
        <f>IFERROR(IF(ISNUMBER(INDEX(SPPR!$E:$X,MATCH($A74,SPPR!$A:$A,0),4)),$C74*INDEX(SPPR!$E:$X,MATCH($A74,SPPR!$A:$A,0),4),""),"")</f>
        <v/>
      </c>
      <c r="H74">
        <f>IFERROR(IF(ISNUMBER(INDEX(SPPR!$E:$X,MATCH($A74,SPPR!$A:$A,0),5)),$C74*INDEX(SPPR!$E:$X,MATCH($A74,SPPR!$A:$A,0),5),""),"")</f>
        <v/>
      </c>
      <c r="I74">
        <f>IFERROR(IF(ISNUMBER(INDEX(SPPR!$E:$X,MATCH($A74,SPPR!$A:$A,0),6)),$C74*INDEX(SPPR!$E:$X,MATCH($A74,SPPR!$A:$A,0),6),""),"")</f>
        <v/>
      </c>
      <c r="J74">
        <f>IFERROR(IF(ISNUMBER(INDEX(SPPR!$E:$X,MATCH($A74,SPPR!$A:$A,0),7)),$C74*INDEX(SPPR!$E:$X,MATCH($A74,SPPR!$A:$A,0),7),""),"")</f>
        <v/>
      </c>
      <c r="K74">
        <f>IFERROR(IF(ISNUMBER(INDEX(SPPR!$E:$X,MATCH($A74,SPPR!$A:$A,0),8)),$C74*INDEX(SPPR!$E:$X,MATCH($A74,SPPR!$A:$A,0),8),""),"")</f>
        <v/>
      </c>
      <c r="L74">
        <f>IFERROR(IF(ISNUMBER(INDEX(SPPR!$E:$X,MATCH($A74,SPPR!$A:$A,0),9)),$C74*INDEX(SPPR!$E:$X,MATCH($A74,SPPR!$A:$A,0),9),""),"")</f>
        <v/>
      </c>
      <c r="M74">
        <f>IFERROR(IF(ISNUMBER(INDEX(SPPR!$E:$X,MATCH($A74,SPPR!$A:$A,0),10)),$C74*INDEX(SPPR!$E:$X,MATCH($A74,SPPR!$A:$A,0),10),""),"")</f>
        <v/>
      </c>
      <c r="N74">
        <f>IFERROR(IF(ISNUMBER(INDEX(SPPR!$E:$X,MATCH($A74,SPPR!$A:$A,0),11)),$C74*INDEX(SPPR!$E:$X,MATCH($A74,SPPR!$A:$A,0),11),""),"")</f>
        <v/>
      </c>
      <c r="O74">
        <f>IFERROR(IF(ISNUMBER(INDEX(SPPR!$E:$X,MATCH($A74,SPPR!$A:$A,0),12)),$C74*INDEX(SPPR!$E:$X,MATCH($A74,SPPR!$A:$A,0),12),""),"")</f>
        <v/>
      </c>
      <c r="P74">
        <f>IFERROR(IF(ISNUMBER(INDEX(SPPR!$E:$X,MATCH($A74,SPPR!$A:$A,0),13)),$C74*INDEX(SPPR!$E:$X,MATCH($A74,SPPR!$A:$A,0),13),""),"")</f>
        <v/>
      </c>
      <c r="Q74">
        <f>IFERROR(IF(ISNUMBER(INDEX(SPPR!$E:$X,MATCH($A74,SPPR!$A:$A,0),14)),$C74*INDEX(SPPR!$E:$X,MATCH($A74,SPPR!$A:$A,0),14),""),"")</f>
        <v/>
      </c>
      <c r="R74">
        <f>IFERROR(IF(ISNUMBER(INDEX(SPPR!$E:$X,MATCH($A74,SPPR!$A:$A,0),15)),$C74*INDEX(SPPR!$E:$X,MATCH($A74,SPPR!$A:$A,0),15),""),"")</f>
        <v/>
      </c>
      <c r="S74">
        <f>IFERROR(IF(ISNUMBER(INDEX(SPPR!$E:$X,MATCH($A74,SPPR!$A:$A,0),16)),$C74*INDEX(SPPR!$E:$X,MATCH($A74,SPPR!$A:$A,0),16),""),"")</f>
        <v/>
      </c>
      <c r="T74">
        <f>IFERROR(IF(ISNUMBER(INDEX(SPPR!$E:$X,MATCH($A74,SPPR!$A:$A,0),17)),$C74*INDEX(SPPR!$E:$X,MATCH($A74,SPPR!$A:$A,0),17),""),"")</f>
        <v/>
      </c>
      <c r="U74">
        <f>IFERROR(IF(ISNUMBER(INDEX(SPPR!$E:$X,MATCH($A74,SPPR!$A:$A,0),18)),$C74*INDEX(SPPR!$E:$X,MATCH($A74,SPPR!$A:$A,0),18),""),"")</f>
        <v/>
      </c>
      <c r="V74">
        <f>IFERROR(IF(ISNUMBER(INDEX(SPPR!$E:$X,MATCH($A74,SPPR!$A:$A,0),19)),$C74*INDEX(SPPR!$E:$X,MATCH($A74,SPPR!$A:$A,0),19),""),"")</f>
        <v/>
      </c>
      <c r="W74">
        <f>IFERROR(IF(ISNUMBER(INDEX(SPPR!$E:$X,MATCH($A74,SPPR!$A:$A,0),20)),$C74*INDEX(SPPR!$E:$X,MATCH($A74,SPPR!$A:$A,0),20),""),"")</f>
        <v/>
      </c>
    </row>
    <row r="75">
      <c r="A75" t="inlineStr">
        <is>
          <t>Pleuronectidae</t>
        </is>
      </c>
      <c r="B75">
        <f>IFERROR(INDEX(SPPR!$D:$D,MATCH($A75,SPPR!$A:$A,0)),"")</f>
        <v/>
      </c>
      <c r="C75">
        <f>IFERROR(INDEX(Catch!$E:$BV,MATCH($A75,Catch!$A:$A,0),MATCH($B$4,Catch!$E$1:$BV$1,0)),0)</f>
        <v/>
      </c>
      <c r="D75">
        <f>IFERROR(IF(ISNUMBER(INDEX(SPPR!$E:$X,MATCH($A75,SPPR!$A:$A,0),1)),$C75*INDEX(SPPR!$E:$X,MATCH($A75,SPPR!$A:$A,0),1),""),"")</f>
        <v/>
      </c>
      <c r="E75">
        <f>IFERROR(IF(ISNUMBER(INDEX(SPPR!$E:$X,MATCH($A75,SPPR!$A:$A,0),2)),$C75*INDEX(SPPR!$E:$X,MATCH($A75,SPPR!$A:$A,0),2),""),"")</f>
        <v/>
      </c>
      <c r="F75">
        <f>IFERROR(IF(ISNUMBER(INDEX(SPPR!$E:$X,MATCH($A75,SPPR!$A:$A,0),3)),$C75*INDEX(SPPR!$E:$X,MATCH($A75,SPPR!$A:$A,0),3),""),"")</f>
        <v/>
      </c>
      <c r="G75">
        <f>IFERROR(IF(ISNUMBER(INDEX(SPPR!$E:$X,MATCH($A75,SPPR!$A:$A,0),4)),$C75*INDEX(SPPR!$E:$X,MATCH($A75,SPPR!$A:$A,0),4),""),"")</f>
        <v/>
      </c>
      <c r="H75">
        <f>IFERROR(IF(ISNUMBER(INDEX(SPPR!$E:$X,MATCH($A75,SPPR!$A:$A,0),5)),$C75*INDEX(SPPR!$E:$X,MATCH($A75,SPPR!$A:$A,0),5),""),"")</f>
        <v/>
      </c>
      <c r="I75">
        <f>IFERROR(IF(ISNUMBER(INDEX(SPPR!$E:$X,MATCH($A75,SPPR!$A:$A,0),6)),$C75*INDEX(SPPR!$E:$X,MATCH($A75,SPPR!$A:$A,0),6),""),"")</f>
        <v/>
      </c>
      <c r="J75">
        <f>IFERROR(IF(ISNUMBER(INDEX(SPPR!$E:$X,MATCH($A75,SPPR!$A:$A,0),7)),$C75*INDEX(SPPR!$E:$X,MATCH($A75,SPPR!$A:$A,0),7),""),"")</f>
        <v/>
      </c>
      <c r="K75">
        <f>IFERROR(IF(ISNUMBER(INDEX(SPPR!$E:$X,MATCH($A75,SPPR!$A:$A,0),8)),$C75*INDEX(SPPR!$E:$X,MATCH($A75,SPPR!$A:$A,0),8),""),"")</f>
        <v/>
      </c>
      <c r="L75">
        <f>IFERROR(IF(ISNUMBER(INDEX(SPPR!$E:$X,MATCH($A75,SPPR!$A:$A,0),9)),$C75*INDEX(SPPR!$E:$X,MATCH($A75,SPPR!$A:$A,0),9),""),"")</f>
        <v/>
      </c>
      <c r="M75">
        <f>IFERROR(IF(ISNUMBER(INDEX(SPPR!$E:$X,MATCH($A75,SPPR!$A:$A,0),10)),$C75*INDEX(SPPR!$E:$X,MATCH($A75,SPPR!$A:$A,0),10),""),"")</f>
        <v/>
      </c>
      <c r="N75">
        <f>IFERROR(IF(ISNUMBER(INDEX(SPPR!$E:$X,MATCH($A75,SPPR!$A:$A,0),11)),$C75*INDEX(SPPR!$E:$X,MATCH($A75,SPPR!$A:$A,0),11),""),"")</f>
        <v/>
      </c>
      <c r="O75">
        <f>IFERROR(IF(ISNUMBER(INDEX(SPPR!$E:$X,MATCH($A75,SPPR!$A:$A,0),12)),$C75*INDEX(SPPR!$E:$X,MATCH($A75,SPPR!$A:$A,0),12),""),"")</f>
        <v/>
      </c>
      <c r="P75">
        <f>IFERROR(IF(ISNUMBER(INDEX(SPPR!$E:$X,MATCH($A75,SPPR!$A:$A,0),13)),$C75*INDEX(SPPR!$E:$X,MATCH($A75,SPPR!$A:$A,0),13),""),"")</f>
        <v/>
      </c>
      <c r="Q75">
        <f>IFERROR(IF(ISNUMBER(INDEX(SPPR!$E:$X,MATCH($A75,SPPR!$A:$A,0),14)),$C75*INDEX(SPPR!$E:$X,MATCH($A75,SPPR!$A:$A,0),14),""),"")</f>
        <v/>
      </c>
      <c r="R75">
        <f>IFERROR(IF(ISNUMBER(INDEX(SPPR!$E:$X,MATCH($A75,SPPR!$A:$A,0),15)),$C75*INDEX(SPPR!$E:$X,MATCH($A75,SPPR!$A:$A,0),15),""),"")</f>
        <v/>
      </c>
      <c r="S75">
        <f>IFERROR(IF(ISNUMBER(INDEX(SPPR!$E:$X,MATCH($A75,SPPR!$A:$A,0),16)),$C75*INDEX(SPPR!$E:$X,MATCH($A75,SPPR!$A:$A,0),16),""),"")</f>
        <v/>
      </c>
      <c r="T75">
        <f>IFERROR(IF(ISNUMBER(INDEX(SPPR!$E:$X,MATCH($A75,SPPR!$A:$A,0),17)),$C75*INDEX(SPPR!$E:$X,MATCH($A75,SPPR!$A:$A,0),17),""),"")</f>
        <v/>
      </c>
      <c r="U75">
        <f>IFERROR(IF(ISNUMBER(INDEX(SPPR!$E:$X,MATCH($A75,SPPR!$A:$A,0),18)),$C75*INDEX(SPPR!$E:$X,MATCH($A75,SPPR!$A:$A,0),18),""),"")</f>
        <v/>
      </c>
      <c r="V75">
        <f>IFERROR(IF(ISNUMBER(INDEX(SPPR!$E:$X,MATCH($A75,SPPR!$A:$A,0),19)),$C75*INDEX(SPPR!$E:$X,MATCH($A75,SPPR!$A:$A,0),19),""),"")</f>
        <v/>
      </c>
      <c r="W75">
        <f>IFERROR(IF(ISNUMBER(INDEX(SPPR!$E:$X,MATCH($A75,SPPR!$A:$A,0),20)),$C75*INDEX(SPPR!$E:$X,MATCH($A75,SPPR!$A:$A,0),20),""),"")</f>
        <v/>
      </c>
    </row>
    <row r="76">
      <c r="A76" t="inlineStr">
        <is>
          <t>Ostrea edulis</t>
        </is>
      </c>
      <c r="B76">
        <f>IFERROR(INDEX(SPPR!$D:$D,MATCH($A76,SPPR!$A:$A,0)),"")</f>
        <v/>
      </c>
      <c r="C76">
        <f>IFERROR(INDEX(Catch!$E:$BV,MATCH($A76,Catch!$A:$A,0),MATCH($B$4,Catch!$E$1:$BV$1,0)),0)</f>
        <v/>
      </c>
      <c r="D76">
        <f>IFERROR(IF(ISNUMBER(INDEX(SPPR!$E:$X,MATCH($A76,SPPR!$A:$A,0),1)),$C76*INDEX(SPPR!$E:$X,MATCH($A76,SPPR!$A:$A,0),1),""),"")</f>
        <v/>
      </c>
      <c r="E76">
        <f>IFERROR(IF(ISNUMBER(INDEX(SPPR!$E:$X,MATCH($A76,SPPR!$A:$A,0),2)),$C76*INDEX(SPPR!$E:$X,MATCH($A76,SPPR!$A:$A,0),2),""),"")</f>
        <v/>
      </c>
      <c r="F76">
        <f>IFERROR(IF(ISNUMBER(INDEX(SPPR!$E:$X,MATCH($A76,SPPR!$A:$A,0),3)),$C76*INDEX(SPPR!$E:$X,MATCH($A76,SPPR!$A:$A,0),3),""),"")</f>
        <v/>
      </c>
      <c r="G76">
        <f>IFERROR(IF(ISNUMBER(INDEX(SPPR!$E:$X,MATCH($A76,SPPR!$A:$A,0),4)),$C76*INDEX(SPPR!$E:$X,MATCH($A76,SPPR!$A:$A,0),4),""),"")</f>
        <v/>
      </c>
      <c r="H76">
        <f>IFERROR(IF(ISNUMBER(INDEX(SPPR!$E:$X,MATCH($A76,SPPR!$A:$A,0),5)),$C76*INDEX(SPPR!$E:$X,MATCH($A76,SPPR!$A:$A,0),5),""),"")</f>
        <v/>
      </c>
      <c r="I76">
        <f>IFERROR(IF(ISNUMBER(INDEX(SPPR!$E:$X,MATCH($A76,SPPR!$A:$A,0),6)),$C76*INDEX(SPPR!$E:$X,MATCH($A76,SPPR!$A:$A,0),6),""),"")</f>
        <v/>
      </c>
      <c r="J76">
        <f>IFERROR(IF(ISNUMBER(INDEX(SPPR!$E:$X,MATCH($A76,SPPR!$A:$A,0),7)),$C76*INDEX(SPPR!$E:$X,MATCH($A76,SPPR!$A:$A,0),7),""),"")</f>
        <v/>
      </c>
      <c r="K76">
        <f>IFERROR(IF(ISNUMBER(INDEX(SPPR!$E:$X,MATCH($A76,SPPR!$A:$A,0),8)),$C76*INDEX(SPPR!$E:$X,MATCH($A76,SPPR!$A:$A,0),8),""),"")</f>
        <v/>
      </c>
      <c r="L76">
        <f>IFERROR(IF(ISNUMBER(INDEX(SPPR!$E:$X,MATCH($A76,SPPR!$A:$A,0),9)),$C76*INDEX(SPPR!$E:$X,MATCH($A76,SPPR!$A:$A,0),9),""),"")</f>
        <v/>
      </c>
      <c r="M76">
        <f>IFERROR(IF(ISNUMBER(INDEX(SPPR!$E:$X,MATCH($A76,SPPR!$A:$A,0),10)),$C76*INDEX(SPPR!$E:$X,MATCH($A76,SPPR!$A:$A,0),10),""),"")</f>
        <v/>
      </c>
      <c r="N76">
        <f>IFERROR(IF(ISNUMBER(INDEX(SPPR!$E:$X,MATCH($A76,SPPR!$A:$A,0),11)),$C76*INDEX(SPPR!$E:$X,MATCH($A76,SPPR!$A:$A,0),11),""),"")</f>
        <v/>
      </c>
      <c r="O76">
        <f>IFERROR(IF(ISNUMBER(INDEX(SPPR!$E:$X,MATCH($A76,SPPR!$A:$A,0),12)),$C76*INDEX(SPPR!$E:$X,MATCH($A76,SPPR!$A:$A,0),12),""),"")</f>
        <v/>
      </c>
      <c r="P76">
        <f>IFERROR(IF(ISNUMBER(INDEX(SPPR!$E:$X,MATCH($A76,SPPR!$A:$A,0),13)),$C76*INDEX(SPPR!$E:$X,MATCH($A76,SPPR!$A:$A,0),13),""),"")</f>
        <v/>
      </c>
      <c r="Q76">
        <f>IFERROR(IF(ISNUMBER(INDEX(SPPR!$E:$X,MATCH($A76,SPPR!$A:$A,0),14)),$C76*INDEX(SPPR!$E:$X,MATCH($A76,SPPR!$A:$A,0),14),""),"")</f>
        <v/>
      </c>
      <c r="R76">
        <f>IFERROR(IF(ISNUMBER(INDEX(SPPR!$E:$X,MATCH($A76,SPPR!$A:$A,0),15)),$C76*INDEX(SPPR!$E:$X,MATCH($A76,SPPR!$A:$A,0),15),""),"")</f>
        <v/>
      </c>
      <c r="S76">
        <f>IFERROR(IF(ISNUMBER(INDEX(SPPR!$E:$X,MATCH($A76,SPPR!$A:$A,0),16)),$C76*INDEX(SPPR!$E:$X,MATCH($A76,SPPR!$A:$A,0),16),""),"")</f>
        <v/>
      </c>
      <c r="T76">
        <f>IFERROR(IF(ISNUMBER(INDEX(SPPR!$E:$X,MATCH($A76,SPPR!$A:$A,0),17)),$C76*INDEX(SPPR!$E:$X,MATCH($A76,SPPR!$A:$A,0),17),""),"")</f>
        <v/>
      </c>
      <c r="U76">
        <f>IFERROR(IF(ISNUMBER(INDEX(SPPR!$E:$X,MATCH($A76,SPPR!$A:$A,0),18)),$C76*INDEX(SPPR!$E:$X,MATCH($A76,SPPR!$A:$A,0),18),""),"")</f>
        <v/>
      </c>
      <c r="V76">
        <f>IFERROR(IF(ISNUMBER(INDEX(SPPR!$E:$X,MATCH($A76,SPPR!$A:$A,0),19)),$C76*INDEX(SPPR!$E:$X,MATCH($A76,SPPR!$A:$A,0),19),""),"")</f>
        <v/>
      </c>
      <c r="W76">
        <f>IFERROR(IF(ISNUMBER(INDEX(SPPR!$E:$X,MATCH($A76,SPPR!$A:$A,0),20)),$C76*INDEX(SPPR!$E:$X,MATCH($A76,SPPR!$A:$A,0),20),""),"")</f>
        <v/>
      </c>
    </row>
    <row r="77">
      <c r="A77" t="inlineStr">
        <is>
          <t>Argentina</t>
        </is>
      </c>
      <c r="B77">
        <f>IFERROR(INDEX(SPPR!$D:$D,MATCH($A77,SPPR!$A:$A,0)),"")</f>
        <v/>
      </c>
      <c r="C77">
        <f>IFERROR(INDEX(Catch!$E:$BV,MATCH($A77,Catch!$A:$A,0),MATCH($B$4,Catch!$E$1:$BV$1,0)),0)</f>
        <v/>
      </c>
      <c r="D77">
        <f>IFERROR(IF(ISNUMBER(INDEX(SPPR!$E:$X,MATCH($A77,SPPR!$A:$A,0),1)),$C77*INDEX(SPPR!$E:$X,MATCH($A77,SPPR!$A:$A,0),1),""),"")</f>
        <v/>
      </c>
      <c r="E77">
        <f>IFERROR(IF(ISNUMBER(INDEX(SPPR!$E:$X,MATCH($A77,SPPR!$A:$A,0),2)),$C77*INDEX(SPPR!$E:$X,MATCH($A77,SPPR!$A:$A,0),2),""),"")</f>
        <v/>
      </c>
      <c r="F77">
        <f>IFERROR(IF(ISNUMBER(INDEX(SPPR!$E:$X,MATCH($A77,SPPR!$A:$A,0),3)),$C77*INDEX(SPPR!$E:$X,MATCH($A77,SPPR!$A:$A,0),3),""),"")</f>
        <v/>
      </c>
      <c r="G77">
        <f>IFERROR(IF(ISNUMBER(INDEX(SPPR!$E:$X,MATCH($A77,SPPR!$A:$A,0),4)),$C77*INDEX(SPPR!$E:$X,MATCH($A77,SPPR!$A:$A,0),4),""),"")</f>
        <v/>
      </c>
      <c r="H77">
        <f>IFERROR(IF(ISNUMBER(INDEX(SPPR!$E:$X,MATCH($A77,SPPR!$A:$A,0),5)),$C77*INDEX(SPPR!$E:$X,MATCH($A77,SPPR!$A:$A,0),5),""),"")</f>
        <v/>
      </c>
      <c r="I77">
        <f>IFERROR(IF(ISNUMBER(INDEX(SPPR!$E:$X,MATCH($A77,SPPR!$A:$A,0),6)),$C77*INDEX(SPPR!$E:$X,MATCH($A77,SPPR!$A:$A,0),6),""),"")</f>
        <v/>
      </c>
      <c r="J77">
        <f>IFERROR(IF(ISNUMBER(INDEX(SPPR!$E:$X,MATCH($A77,SPPR!$A:$A,0),7)),$C77*INDEX(SPPR!$E:$X,MATCH($A77,SPPR!$A:$A,0),7),""),"")</f>
        <v/>
      </c>
      <c r="K77">
        <f>IFERROR(IF(ISNUMBER(INDEX(SPPR!$E:$X,MATCH($A77,SPPR!$A:$A,0),8)),$C77*INDEX(SPPR!$E:$X,MATCH($A77,SPPR!$A:$A,0),8),""),"")</f>
        <v/>
      </c>
      <c r="L77">
        <f>IFERROR(IF(ISNUMBER(INDEX(SPPR!$E:$X,MATCH($A77,SPPR!$A:$A,0),9)),$C77*INDEX(SPPR!$E:$X,MATCH($A77,SPPR!$A:$A,0),9),""),"")</f>
        <v/>
      </c>
      <c r="M77">
        <f>IFERROR(IF(ISNUMBER(INDEX(SPPR!$E:$X,MATCH($A77,SPPR!$A:$A,0),10)),$C77*INDEX(SPPR!$E:$X,MATCH($A77,SPPR!$A:$A,0),10),""),"")</f>
        <v/>
      </c>
      <c r="N77">
        <f>IFERROR(IF(ISNUMBER(INDEX(SPPR!$E:$X,MATCH($A77,SPPR!$A:$A,0),11)),$C77*INDEX(SPPR!$E:$X,MATCH($A77,SPPR!$A:$A,0),11),""),"")</f>
        <v/>
      </c>
      <c r="O77">
        <f>IFERROR(IF(ISNUMBER(INDEX(SPPR!$E:$X,MATCH($A77,SPPR!$A:$A,0),12)),$C77*INDEX(SPPR!$E:$X,MATCH($A77,SPPR!$A:$A,0),12),""),"")</f>
        <v/>
      </c>
      <c r="P77">
        <f>IFERROR(IF(ISNUMBER(INDEX(SPPR!$E:$X,MATCH($A77,SPPR!$A:$A,0),13)),$C77*INDEX(SPPR!$E:$X,MATCH($A77,SPPR!$A:$A,0),13),""),"")</f>
        <v/>
      </c>
      <c r="Q77">
        <f>IFERROR(IF(ISNUMBER(INDEX(SPPR!$E:$X,MATCH($A77,SPPR!$A:$A,0),14)),$C77*INDEX(SPPR!$E:$X,MATCH($A77,SPPR!$A:$A,0),14),""),"")</f>
        <v/>
      </c>
      <c r="R77">
        <f>IFERROR(IF(ISNUMBER(INDEX(SPPR!$E:$X,MATCH($A77,SPPR!$A:$A,0),15)),$C77*INDEX(SPPR!$E:$X,MATCH($A77,SPPR!$A:$A,0),15),""),"")</f>
        <v/>
      </c>
      <c r="S77">
        <f>IFERROR(IF(ISNUMBER(INDEX(SPPR!$E:$X,MATCH($A77,SPPR!$A:$A,0),16)),$C77*INDEX(SPPR!$E:$X,MATCH($A77,SPPR!$A:$A,0),16),""),"")</f>
        <v/>
      </c>
      <c r="T77">
        <f>IFERROR(IF(ISNUMBER(INDEX(SPPR!$E:$X,MATCH($A77,SPPR!$A:$A,0),17)),$C77*INDEX(SPPR!$E:$X,MATCH($A77,SPPR!$A:$A,0),17),""),"")</f>
        <v/>
      </c>
      <c r="U77">
        <f>IFERROR(IF(ISNUMBER(INDEX(SPPR!$E:$X,MATCH($A77,SPPR!$A:$A,0),18)),$C77*INDEX(SPPR!$E:$X,MATCH($A77,SPPR!$A:$A,0),18),""),"")</f>
        <v/>
      </c>
      <c r="V77">
        <f>IFERROR(IF(ISNUMBER(INDEX(SPPR!$E:$X,MATCH($A77,SPPR!$A:$A,0),19)),$C77*INDEX(SPPR!$E:$X,MATCH($A77,SPPR!$A:$A,0),19),""),"")</f>
        <v/>
      </c>
      <c r="W77">
        <f>IFERROR(IF(ISNUMBER(INDEX(SPPR!$E:$X,MATCH($A77,SPPR!$A:$A,0),20)),$C77*INDEX(SPPR!$E:$X,MATCH($A77,SPPR!$A:$A,0),20),""),"")</f>
        <v/>
      </c>
    </row>
    <row r="78">
      <c r="A78" t="inlineStr">
        <is>
          <t>Pleuronectiformes</t>
        </is>
      </c>
      <c r="B78">
        <f>IFERROR(INDEX(SPPR!$D:$D,MATCH($A78,SPPR!$A:$A,0)),"")</f>
        <v/>
      </c>
      <c r="C78">
        <f>IFERROR(INDEX(Catch!$E:$BV,MATCH($A78,Catch!$A:$A,0),MATCH($B$4,Catch!$E$1:$BV$1,0)),0)</f>
        <v/>
      </c>
      <c r="D78">
        <f>IFERROR(IF(ISNUMBER(INDEX(SPPR!$E:$X,MATCH($A78,SPPR!$A:$A,0),1)),$C78*INDEX(SPPR!$E:$X,MATCH($A78,SPPR!$A:$A,0),1),""),"")</f>
        <v/>
      </c>
      <c r="E78">
        <f>IFERROR(IF(ISNUMBER(INDEX(SPPR!$E:$X,MATCH($A78,SPPR!$A:$A,0),2)),$C78*INDEX(SPPR!$E:$X,MATCH($A78,SPPR!$A:$A,0),2),""),"")</f>
        <v/>
      </c>
      <c r="F78">
        <f>IFERROR(IF(ISNUMBER(INDEX(SPPR!$E:$X,MATCH($A78,SPPR!$A:$A,0),3)),$C78*INDEX(SPPR!$E:$X,MATCH($A78,SPPR!$A:$A,0),3),""),"")</f>
        <v/>
      </c>
      <c r="G78">
        <f>IFERROR(IF(ISNUMBER(INDEX(SPPR!$E:$X,MATCH($A78,SPPR!$A:$A,0),4)),$C78*INDEX(SPPR!$E:$X,MATCH($A78,SPPR!$A:$A,0),4),""),"")</f>
        <v/>
      </c>
      <c r="H78">
        <f>IFERROR(IF(ISNUMBER(INDEX(SPPR!$E:$X,MATCH($A78,SPPR!$A:$A,0),5)),$C78*INDEX(SPPR!$E:$X,MATCH($A78,SPPR!$A:$A,0),5),""),"")</f>
        <v/>
      </c>
      <c r="I78">
        <f>IFERROR(IF(ISNUMBER(INDEX(SPPR!$E:$X,MATCH($A78,SPPR!$A:$A,0),6)),$C78*INDEX(SPPR!$E:$X,MATCH($A78,SPPR!$A:$A,0),6),""),"")</f>
        <v/>
      </c>
      <c r="J78">
        <f>IFERROR(IF(ISNUMBER(INDEX(SPPR!$E:$X,MATCH($A78,SPPR!$A:$A,0),7)),$C78*INDEX(SPPR!$E:$X,MATCH($A78,SPPR!$A:$A,0),7),""),"")</f>
        <v/>
      </c>
      <c r="K78">
        <f>IFERROR(IF(ISNUMBER(INDEX(SPPR!$E:$X,MATCH($A78,SPPR!$A:$A,0),8)),$C78*INDEX(SPPR!$E:$X,MATCH($A78,SPPR!$A:$A,0),8),""),"")</f>
        <v/>
      </c>
      <c r="L78">
        <f>IFERROR(IF(ISNUMBER(INDEX(SPPR!$E:$X,MATCH($A78,SPPR!$A:$A,0),9)),$C78*INDEX(SPPR!$E:$X,MATCH($A78,SPPR!$A:$A,0),9),""),"")</f>
        <v/>
      </c>
      <c r="M78">
        <f>IFERROR(IF(ISNUMBER(INDEX(SPPR!$E:$X,MATCH($A78,SPPR!$A:$A,0),10)),$C78*INDEX(SPPR!$E:$X,MATCH($A78,SPPR!$A:$A,0),10),""),"")</f>
        <v/>
      </c>
      <c r="N78">
        <f>IFERROR(IF(ISNUMBER(INDEX(SPPR!$E:$X,MATCH($A78,SPPR!$A:$A,0),11)),$C78*INDEX(SPPR!$E:$X,MATCH($A78,SPPR!$A:$A,0),11),""),"")</f>
        <v/>
      </c>
      <c r="O78">
        <f>IFERROR(IF(ISNUMBER(INDEX(SPPR!$E:$X,MATCH($A78,SPPR!$A:$A,0),12)),$C78*INDEX(SPPR!$E:$X,MATCH($A78,SPPR!$A:$A,0),12),""),"")</f>
        <v/>
      </c>
      <c r="P78">
        <f>IFERROR(IF(ISNUMBER(INDEX(SPPR!$E:$X,MATCH($A78,SPPR!$A:$A,0),13)),$C78*INDEX(SPPR!$E:$X,MATCH($A78,SPPR!$A:$A,0),13),""),"")</f>
        <v/>
      </c>
      <c r="Q78">
        <f>IFERROR(IF(ISNUMBER(INDEX(SPPR!$E:$X,MATCH($A78,SPPR!$A:$A,0),14)),$C78*INDEX(SPPR!$E:$X,MATCH($A78,SPPR!$A:$A,0),14),""),"")</f>
        <v/>
      </c>
      <c r="R78">
        <f>IFERROR(IF(ISNUMBER(INDEX(SPPR!$E:$X,MATCH($A78,SPPR!$A:$A,0),15)),$C78*INDEX(SPPR!$E:$X,MATCH($A78,SPPR!$A:$A,0),15),""),"")</f>
        <v/>
      </c>
      <c r="S78">
        <f>IFERROR(IF(ISNUMBER(INDEX(SPPR!$E:$X,MATCH($A78,SPPR!$A:$A,0),16)),$C78*INDEX(SPPR!$E:$X,MATCH($A78,SPPR!$A:$A,0),16),""),"")</f>
        <v/>
      </c>
      <c r="T78">
        <f>IFERROR(IF(ISNUMBER(INDEX(SPPR!$E:$X,MATCH($A78,SPPR!$A:$A,0),17)),$C78*INDEX(SPPR!$E:$X,MATCH($A78,SPPR!$A:$A,0),17),""),"")</f>
        <v/>
      </c>
      <c r="U78">
        <f>IFERROR(IF(ISNUMBER(INDEX(SPPR!$E:$X,MATCH($A78,SPPR!$A:$A,0),18)),$C78*INDEX(SPPR!$E:$X,MATCH($A78,SPPR!$A:$A,0),18),""),"")</f>
        <v/>
      </c>
      <c r="V78">
        <f>IFERROR(IF(ISNUMBER(INDEX(SPPR!$E:$X,MATCH($A78,SPPR!$A:$A,0),19)),$C78*INDEX(SPPR!$E:$X,MATCH($A78,SPPR!$A:$A,0),19),""),"")</f>
        <v/>
      </c>
      <c r="W78">
        <f>IFERROR(IF(ISNUMBER(INDEX(SPPR!$E:$X,MATCH($A78,SPPR!$A:$A,0),20)),$C78*INDEX(SPPR!$E:$X,MATCH($A78,SPPR!$A:$A,0),20),""),"")</f>
        <v/>
      </c>
    </row>
    <row r="79">
      <c r="A79" t="inlineStr">
        <is>
          <t>Anarhichas lupus</t>
        </is>
      </c>
      <c r="B79">
        <f>IFERROR(INDEX(SPPR!$D:$D,MATCH($A79,SPPR!$A:$A,0)),"")</f>
        <v/>
      </c>
      <c r="C79">
        <f>IFERROR(INDEX(Catch!$E:$BV,MATCH($A79,Catch!$A:$A,0),MATCH($B$4,Catch!$E$1:$BV$1,0)),0)</f>
        <v/>
      </c>
      <c r="D79">
        <f>IFERROR(IF(ISNUMBER(INDEX(SPPR!$E:$X,MATCH($A79,SPPR!$A:$A,0),1)),$C79*INDEX(SPPR!$E:$X,MATCH($A79,SPPR!$A:$A,0),1),""),"")</f>
        <v/>
      </c>
      <c r="E79">
        <f>IFERROR(IF(ISNUMBER(INDEX(SPPR!$E:$X,MATCH($A79,SPPR!$A:$A,0),2)),$C79*INDEX(SPPR!$E:$X,MATCH($A79,SPPR!$A:$A,0),2),""),"")</f>
        <v/>
      </c>
      <c r="F79">
        <f>IFERROR(IF(ISNUMBER(INDEX(SPPR!$E:$X,MATCH($A79,SPPR!$A:$A,0),3)),$C79*INDEX(SPPR!$E:$X,MATCH($A79,SPPR!$A:$A,0),3),""),"")</f>
        <v/>
      </c>
      <c r="G79">
        <f>IFERROR(IF(ISNUMBER(INDEX(SPPR!$E:$X,MATCH($A79,SPPR!$A:$A,0),4)),$C79*INDEX(SPPR!$E:$X,MATCH($A79,SPPR!$A:$A,0),4),""),"")</f>
        <v/>
      </c>
      <c r="H79">
        <f>IFERROR(IF(ISNUMBER(INDEX(SPPR!$E:$X,MATCH($A79,SPPR!$A:$A,0),5)),$C79*INDEX(SPPR!$E:$X,MATCH($A79,SPPR!$A:$A,0),5),""),"")</f>
        <v/>
      </c>
      <c r="I79">
        <f>IFERROR(IF(ISNUMBER(INDEX(SPPR!$E:$X,MATCH($A79,SPPR!$A:$A,0),6)),$C79*INDEX(SPPR!$E:$X,MATCH($A79,SPPR!$A:$A,0),6),""),"")</f>
        <v/>
      </c>
      <c r="J79">
        <f>IFERROR(IF(ISNUMBER(INDEX(SPPR!$E:$X,MATCH($A79,SPPR!$A:$A,0),7)),$C79*INDEX(SPPR!$E:$X,MATCH($A79,SPPR!$A:$A,0),7),""),"")</f>
        <v/>
      </c>
      <c r="K79">
        <f>IFERROR(IF(ISNUMBER(INDEX(SPPR!$E:$X,MATCH($A79,SPPR!$A:$A,0),8)),$C79*INDEX(SPPR!$E:$X,MATCH($A79,SPPR!$A:$A,0),8),""),"")</f>
        <v/>
      </c>
      <c r="L79">
        <f>IFERROR(IF(ISNUMBER(INDEX(SPPR!$E:$X,MATCH($A79,SPPR!$A:$A,0),9)),$C79*INDEX(SPPR!$E:$X,MATCH($A79,SPPR!$A:$A,0),9),""),"")</f>
        <v/>
      </c>
      <c r="M79">
        <f>IFERROR(IF(ISNUMBER(INDEX(SPPR!$E:$X,MATCH($A79,SPPR!$A:$A,0),10)),$C79*INDEX(SPPR!$E:$X,MATCH($A79,SPPR!$A:$A,0),10),""),"")</f>
        <v/>
      </c>
      <c r="N79">
        <f>IFERROR(IF(ISNUMBER(INDEX(SPPR!$E:$X,MATCH($A79,SPPR!$A:$A,0),11)),$C79*INDEX(SPPR!$E:$X,MATCH($A79,SPPR!$A:$A,0),11),""),"")</f>
        <v/>
      </c>
      <c r="O79">
        <f>IFERROR(IF(ISNUMBER(INDEX(SPPR!$E:$X,MATCH($A79,SPPR!$A:$A,0),12)),$C79*INDEX(SPPR!$E:$X,MATCH($A79,SPPR!$A:$A,0),12),""),"")</f>
        <v/>
      </c>
      <c r="P79">
        <f>IFERROR(IF(ISNUMBER(INDEX(SPPR!$E:$X,MATCH($A79,SPPR!$A:$A,0),13)),$C79*INDEX(SPPR!$E:$X,MATCH($A79,SPPR!$A:$A,0),13),""),"")</f>
        <v/>
      </c>
      <c r="Q79">
        <f>IFERROR(IF(ISNUMBER(INDEX(SPPR!$E:$X,MATCH($A79,SPPR!$A:$A,0),14)),$C79*INDEX(SPPR!$E:$X,MATCH($A79,SPPR!$A:$A,0),14),""),"")</f>
        <v/>
      </c>
      <c r="R79">
        <f>IFERROR(IF(ISNUMBER(INDEX(SPPR!$E:$X,MATCH($A79,SPPR!$A:$A,0),15)),$C79*INDEX(SPPR!$E:$X,MATCH($A79,SPPR!$A:$A,0),15),""),"")</f>
        <v/>
      </c>
      <c r="S79">
        <f>IFERROR(IF(ISNUMBER(INDEX(SPPR!$E:$X,MATCH($A79,SPPR!$A:$A,0),16)),$C79*INDEX(SPPR!$E:$X,MATCH($A79,SPPR!$A:$A,0),16),""),"")</f>
        <v/>
      </c>
      <c r="T79">
        <f>IFERROR(IF(ISNUMBER(INDEX(SPPR!$E:$X,MATCH($A79,SPPR!$A:$A,0),17)),$C79*INDEX(SPPR!$E:$X,MATCH($A79,SPPR!$A:$A,0),17),""),"")</f>
        <v/>
      </c>
      <c r="U79">
        <f>IFERROR(IF(ISNUMBER(INDEX(SPPR!$E:$X,MATCH($A79,SPPR!$A:$A,0),18)),$C79*INDEX(SPPR!$E:$X,MATCH($A79,SPPR!$A:$A,0),18),""),"")</f>
        <v/>
      </c>
      <c r="V79">
        <f>IFERROR(IF(ISNUMBER(INDEX(SPPR!$E:$X,MATCH($A79,SPPR!$A:$A,0),19)),$C79*INDEX(SPPR!$E:$X,MATCH($A79,SPPR!$A:$A,0),19),""),"")</f>
        <v/>
      </c>
      <c r="W79">
        <f>IFERROR(IF(ISNUMBER(INDEX(SPPR!$E:$X,MATCH($A79,SPPR!$A:$A,0),20)),$C79*INDEX(SPPR!$E:$X,MATCH($A79,SPPR!$A:$A,0),20),""),"")</f>
        <v/>
      </c>
    </row>
    <row r="80">
      <c r="A80" t="inlineStr">
        <is>
          <t>Merlucciidae</t>
        </is>
      </c>
      <c r="B80">
        <f>IFERROR(INDEX(SPPR!$D:$D,MATCH($A80,SPPR!$A:$A,0)),"")</f>
        <v/>
      </c>
      <c r="C80">
        <f>IFERROR(INDEX(Catch!$E:$BV,MATCH($A80,Catch!$A:$A,0),MATCH($B$4,Catch!$E$1:$BV$1,0)),0)</f>
        <v/>
      </c>
      <c r="D80">
        <f>IFERROR(IF(ISNUMBER(INDEX(SPPR!$E:$X,MATCH($A80,SPPR!$A:$A,0),1)),$C80*INDEX(SPPR!$E:$X,MATCH($A80,SPPR!$A:$A,0),1),""),"")</f>
        <v/>
      </c>
      <c r="E80">
        <f>IFERROR(IF(ISNUMBER(INDEX(SPPR!$E:$X,MATCH($A80,SPPR!$A:$A,0),2)),$C80*INDEX(SPPR!$E:$X,MATCH($A80,SPPR!$A:$A,0),2),""),"")</f>
        <v/>
      </c>
      <c r="F80">
        <f>IFERROR(IF(ISNUMBER(INDEX(SPPR!$E:$X,MATCH($A80,SPPR!$A:$A,0),3)),$C80*INDEX(SPPR!$E:$X,MATCH($A80,SPPR!$A:$A,0),3),""),"")</f>
        <v/>
      </c>
      <c r="G80">
        <f>IFERROR(IF(ISNUMBER(INDEX(SPPR!$E:$X,MATCH($A80,SPPR!$A:$A,0),4)),$C80*INDEX(SPPR!$E:$X,MATCH($A80,SPPR!$A:$A,0),4),""),"")</f>
        <v/>
      </c>
      <c r="H80">
        <f>IFERROR(IF(ISNUMBER(INDEX(SPPR!$E:$X,MATCH($A80,SPPR!$A:$A,0),5)),$C80*INDEX(SPPR!$E:$X,MATCH($A80,SPPR!$A:$A,0),5),""),"")</f>
        <v/>
      </c>
      <c r="I80">
        <f>IFERROR(IF(ISNUMBER(INDEX(SPPR!$E:$X,MATCH($A80,SPPR!$A:$A,0),6)),$C80*INDEX(SPPR!$E:$X,MATCH($A80,SPPR!$A:$A,0),6),""),"")</f>
        <v/>
      </c>
      <c r="J80">
        <f>IFERROR(IF(ISNUMBER(INDEX(SPPR!$E:$X,MATCH($A80,SPPR!$A:$A,0),7)),$C80*INDEX(SPPR!$E:$X,MATCH($A80,SPPR!$A:$A,0),7),""),"")</f>
        <v/>
      </c>
      <c r="K80">
        <f>IFERROR(IF(ISNUMBER(INDEX(SPPR!$E:$X,MATCH($A80,SPPR!$A:$A,0),8)),$C80*INDEX(SPPR!$E:$X,MATCH($A80,SPPR!$A:$A,0),8),""),"")</f>
        <v/>
      </c>
      <c r="L80">
        <f>IFERROR(IF(ISNUMBER(INDEX(SPPR!$E:$X,MATCH($A80,SPPR!$A:$A,0),9)),$C80*INDEX(SPPR!$E:$X,MATCH($A80,SPPR!$A:$A,0),9),""),"")</f>
        <v/>
      </c>
      <c r="M80">
        <f>IFERROR(IF(ISNUMBER(INDEX(SPPR!$E:$X,MATCH($A80,SPPR!$A:$A,0),10)),$C80*INDEX(SPPR!$E:$X,MATCH($A80,SPPR!$A:$A,0),10),""),"")</f>
        <v/>
      </c>
      <c r="N80">
        <f>IFERROR(IF(ISNUMBER(INDEX(SPPR!$E:$X,MATCH($A80,SPPR!$A:$A,0),11)),$C80*INDEX(SPPR!$E:$X,MATCH($A80,SPPR!$A:$A,0),11),""),"")</f>
        <v/>
      </c>
      <c r="O80">
        <f>IFERROR(IF(ISNUMBER(INDEX(SPPR!$E:$X,MATCH($A80,SPPR!$A:$A,0),12)),$C80*INDEX(SPPR!$E:$X,MATCH($A80,SPPR!$A:$A,0),12),""),"")</f>
        <v/>
      </c>
      <c r="P80">
        <f>IFERROR(IF(ISNUMBER(INDEX(SPPR!$E:$X,MATCH($A80,SPPR!$A:$A,0),13)),$C80*INDEX(SPPR!$E:$X,MATCH($A80,SPPR!$A:$A,0),13),""),"")</f>
        <v/>
      </c>
      <c r="Q80">
        <f>IFERROR(IF(ISNUMBER(INDEX(SPPR!$E:$X,MATCH($A80,SPPR!$A:$A,0),14)),$C80*INDEX(SPPR!$E:$X,MATCH($A80,SPPR!$A:$A,0),14),""),"")</f>
        <v/>
      </c>
      <c r="R80">
        <f>IFERROR(IF(ISNUMBER(INDEX(SPPR!$E:$X,MATCH($A80,SPPR!$A:$A,0),15)),$C80*INDEX(SPPR!$E:$X,MATCH($A80,SPPR!$A:$A,0),15),""),"")</f>
        <v/>
      </c>
      <c r="S80">
        <f>IFERROR(IF(ISNUMBER(INDEX(SPPR!$E:$X,MATCH($A80,SPPR!$A:$A,0),16)),$C80*INDEX(SPPR!$E:$X,MATCH($A80,SPPR!$A:$A,0),16),""),"")</f>
        <v/>
      </c>
      <c r="T80">
        <f>IFERROR(IF(ISNUMBER(INDEX(SPPR!$E:$X,MATCH($A80,SPPR!$A:$A,0),17)),$C80*INDEX(SPPR!$E:$X,MATCH($A80,SPPR!$A:$A,0),17),""),"")</f>
        <v/>
      </c>
      <c r="U80">
        <f>IFERROR(IF(ISNUMBER(INDEX(SPPR!$E:$X,MATCH($A80,SPPR!$A:$A,0),18)),$C80*INDEX(SPPR!$E:$X,MATCH($A80,SPPR!$A:$A,0),18),""),"")</f>
        <v/>
      </c>
      <c r="V80">
        <f>IFERROR(IF(ISNUMBER(INDEX(SPPR!$E:$X,MATCH($A80,SPPR!$A:$A,0),19)),$C80*INDEX(SPPR!$E:$X,MATCH($A80,SPPR!$A:$A,0),19),""),"")</f>
        <v/>
      </c>
      <c r="W80">
        <f>IFERROR(IF(ISNUMBER(INDEX(SPPR!$E:$X,MATCH($A80,SPPR!$A:$A,0),20)),$C80*INDEX(SPPR!$E:$X,MATCH($A80,SPPR!$A:$A,0),20),""),"")</f>
        <v/>
      </c>
    </row>
    <row r="81">
      <c r="A81" t="inlineStr">
        <is>
          <t>Clupeidae</t>
        </is>
      </c>
      <c r="B81">
        <f>IFERROR(INDEX(SPPR!$D:$D,MATCH($A81,SPPR!$A:$A,0)),"")</f>
        <v/>
      </c>
      <c r="C81">
        <f>IFERROR(INDEX(Catch!$E:$BV,MATCH($A81,Catch!$A:$A,0),MATCH($B$4,Catch!$E$1:$BV$1,0)),0)</f>
        <v/>
      </c>
      <c r="D81">
        <f>IFERROR(IF(ISNUMBER(INDEX(SPPR!$E:$X,MATCH($A81,SPPR!$A:$A,0),1)),$C81*INDEX(SPPR!$E:$X,MATCH($A81,SPPR!$A:$A,0),1),""),"")</f>
        <v/>
      </c>
      <c r="E81">
        <f>IFERROR(IF(ISNUMBER(INDEX(SPPR!$E:$X,MATCH($A81,SPPR!$A:$A,0),2)),$C81*INDEX(SPPR!$E:$X,MATCH($A81,SPPR!$A:$A,0),2),""),"")</f>
        <v/>
      </c>
      <c r="F81">
        <f>IFERROR(IF(ISNUMBER(INDEX(SPPR!$E:$X,MATCH($A81,SPPR!$A:$A,0),3)),$C81*INDEX(SPPR!$E:$X,MATCH($A81,SPPR!$A:$A,0),3),""),"")</f>
        <v/>
      </c>
      <c r="G81">
        <f>IFERROR(IF(ISNUMBER(INDEX(SPPR!$E:$X,MATCH($A81,SPPR!$A:$A,0),4)),$C81*INDEX(SPPR!$E:$X,MATCH($A81,SPPR!$A:$A,0),4),""),"")</f>
        <v/>
      </c>
      <c r="H81">
        <f>IFERROR(IF(ISNUMBER(INDEX(SPPR!$E:$X,MATCH($A81,SPPR!$A:$A,0),5)),$C81*INDEX(SPPR!$E:$X,MATCH($A81,SPPR!$A:$A,0),5),""),"")</f>
        <v/>
      </c>
      <c r="I81">
        <f>IFERROR(IF(ISNUMBER(INDEX(SPPR!$E:$X,MATCH($A81,SPPR!$A:$A,0),6)),$C81*INDEX(SPPR!$E:$X,MATCH($A81,SPPR!$A:$A,0),6),""),"")</f>
        <v/>
      </c>
      <c r="J81">
        <f>IFERROR(IF(ISNUMBER(INDEX(SPPR!$E:$X,MATCH($A81,SPPR!$A:$A,0),7)),$C81*INDEX(SPPR!$E:$X,MATCH($A81,SPPR!$A:$A,0),7),""),"")</f>
        <v/>
      </c>
      <c r="K81">
        <f>IFERROR(IF(ISNUMBER(INDEX(SPPR!$E:$X,MATCH($A81,SPPR!$A:$A,0),8)),$C81*INDEX(SPPR!$E:$X,MATCH($A81,SPPR!$A:$A,0),8),""),"")</f>
        <v/>
      </c>
      <c r="L81">
        <f>IFERROR(IF(ISNUMBER(INDEX(SPPR!$E:$X,MATCH($A81,SPPR!$A:$A,0),9)),$C81*INDEX(SPPR!$E:$X,MATCH($A81,SPPR!$A:$A,0),9),""),"")</f>
        <v/>
      </c>
      <c r="M81">
        <f>IFERROR(IF(ISNUMBER(INDEX(SPPR!$E:$X,MATCH($A81,SPPR!$A:$A,0),10)),$C81*INDEX(SPPR!$E:$X,MATCH($A81,SPPR!$A:$A,0),10),""),"")</f>
        <v/>
      </c>
      <c r="N81">
        <f>IFERROR(IF(ISNUMBER(INDEX(SPPR!$E:$X,MATCH($A81,SPPR!$A:$A,0),11)),$C81*INDEX(SPPR!$E:$X,MATCH($A81,SPPR!$A:$A,0),11),""),"")</f>
        <v/>
      </c>
      <c r="O81">
        <f>IFERROR(IF(ISNUMBER(INDEX(SPPR!$E:$X,MATCH($A81,SPPR!$A:$A,0),12)),$C81*INDEX(SPPR!$E:$X,MATCH($A81,SPPR!$A:$A,0),12),""),"")</f>
        <v/>
      </c>
      <c r="P81">
        <f>IFERROR(IF(ISNUMBER(INDEX(SPPR!$E:$X,MATCH($A81,SPPR!$A:$A,0),13)),$C81*INDEX(SPPR!$E:$X,MATCH($A81,SPPR!$A:$A,0),13),""),"")</f>
        <v/>
      </c>
      <c r="Q81">
        <f>IFERROR(IF(ISNUMBER(INDEX(SPPR!$E:$X,MATCH($A81,SPPR!$A:$A,0),14)),$C81*INDEX(SPPR!$E:$X,MATCH($A81,SPPR!$A:$A,0),14),""),"")</f>
        <v/>
      </c>
      <c r="R81">
        <f>IFERROR(IF(ISNUMBER(INDEX(SPPR!$E:$X,MATCH($A81,SPPR!$A:$A,0),15)),$C81*INDEX(SPPR!$E:$X,MATCH($A81,SPPR!$A:$A,0),15),""),"")</f>
        <v/>
      </c>
      <c r="S81">
        <f>IFERROR(IF(ISNUMBER(INDEX(SPPR!$E:$X,MATCH($A81,SPPR!$A:$A,0),16)),$C81*INDEX(SPPR!$E:$X,MATCH($A81,SPPR!$A:$A,0),16),""),"")</f>
        <v/>
      </c>
      <c r="T81">
        <f>IFERROR(IF(ISNUMBER(INDEX(SPPR!$E:$X,MATCH($A81,SPPR!$A:$A,0),17)),$C81*INDEX(SPPR!$E:$X,MATCH($A81,SPPR!$A:$A,0),17),""),"")</f>
        <v/>
      </c>
      <c r="U81">
        <f>IFERROR(IF(ISNUMBER(INDEX(SPPR!$E:$X,MATCH($A81,SPPR!$A:$A,0),18)),$C81*INDEX(SPPR!$E:$X,MATCH($A81,SPPR!$A:$A,0),18),""),"")</f>
        <v/>
      </c>
      <c r="V81">
        <f>IFERROR(IF(ISNUMBER(INDEX(SPPR!$E:$X,MATCH($A81,SPPR!$A:$A,0),19)),$C81*INDEX(SPPR!$E:$X,MATCH($A81,SPPR!$A:$A,0),19),""),"")</f>
        <v/>
      </c>
      <c r="W81">
        <f>IFERROR(IF(ISNUMBER(INDEX(SPPR!$E:$X,MATCH($A81,SPPR!$A:$A,0),20)),$C81*INDEX(SPPR!$E:$X,MATCH($A81,SPPR!$A:$A,0),20),""),"")</f>
        <v/>
      </c>
    </row>
    <row r="82">
      <c r="A82" t="inlineStr">
        <is>
          <t>Molva</t>
        </is>
      </c>
      <c r="B82">
        <f>IFERROR(INDEX(SPPR!$D:$D,MATCH($A82,SPPR!$A:$A,0)),"")</f>
        <v/>
      </c>
      <c r="C82">
        <f>IFERROR(INDEX(Catch!$E:$BV,MATCH($A82,Catch!$A:$A,0),MATCH($B$4,Catch!$E$1:$BV$1,0)),0)</f>
        <v/>
      </c>
      <c r="D82">
        <f>IFERROR(IF(ISNUMBER(INDEX(SPPR!$E:$X,MATCH($A82,SPPR!$A:$A,0),1)),$C82*INDEX(SPPR!$E:$X,MATCH($A82,SPPR!$A:$A,0),1),""),"")</f>
        <v/>
      </c>
      <c r="E82">
        <f>IFERROR(IF(ISNUMBER(INDEX(SPPR!$E:$X,MATCH($A82,SPPR!$A:$A,0),2)),$C82*INDEX(SPPR!$E:$X,MATCH($A82,SPPR!$A:$A,0),2),""),"")</f>
        <v/>
      </c>
      <c r="F82">
        <f>IFERROR(IF(ISNUMBER(INDEX(SPPR!$E:$X,MATCH($A82,SPPR!$A:$A,0),3)),$C82*INDEX(SPPR!$E:$X,MATCH($A82,SPPR!$A:$A,0),3),""),"")</f>
        <v/>
      </c>
      <c r="G82">
        <f>IFERROR(IF(ISNUMBER(INDEX(SPPR!$E:$X,MATCH($A82,SPPR!$A:$A,0),4)),$C82*INDEX(SPPR!$E:$X,MATCH($A82,SPPR!$A:$A,0),4),""),"")</f>
        <v/>
      </c>
      <c r="H82">
        <f>IFERROR(IF(ISNUMBER(INDEX(SPPR!$E:$X,MATCH($A82,SPPR!$A:$A,0),5)),$C82*INDEX(SPPR!$E:$X,MATCH($A82,SPPR!$A:$A,0),5),""),"")</f>
        <v/>
      </c>
      <c r="I82">
        <f>IFERROR(IF(ISNUMBER(INDEX(SPPR!$E:$X,MATCH($A82,SPPR!$A:$A,0),6)),$C82*INDEX(SPPR!$E:$X,MATCH($A82,SPPR!$A:$A,0),6),""),"")</f>
        <v/>
      </c>
      <c r="J82">
        <f>IFERROR(IF(ISNUMBER(INDEX(SPPR!$E:$X,MATCH($A82,SPPR!$A:$A,0),7)),$C82*INDEX(SPPR!$E:$X,MATCH($A82,SPPR!$A:$A,0),7),""),"")</f>
        <v/>
      </c>
      <c r="K82">
        <f>IFERROR(IF(ISNUMBER(INDEX(SPPR!$E:$X,MATCH($A82,SPPR!$A:$A,0),8)),$C82*INDEX(SPPR!$E:$X,MATCH($A82,SPPR!$A:$A,0),8),""),"")</f>
        <v/>
      </c>
      <c r="L82">
        <f>IFERROR(IF(ISNUMBER(INDEX(SPPR!$E:$X,MATCH($A82,SPPR!$A:$A,0),9)),$C82*INDEX(SPPR!$E:$X,MATCH($A82,SPPR!$A:$A,0),9),""),"")</f>
        <v/>
      </c>
      <c r="M82">
        <f>IFERROR(IF(ISNUMBER(INDEX(SPPR!$E:$X,MATCH($A82,SPPR!$A:$A,0),10)),$C82*INDEX(SPPR!$E:$X,MATCH($A82,SPPR!$A:$A,0),10),""),"")</f>
        <v/>
      </c>
      <c r="N82">
        <f>IFERROR(IF(ISNUMBER(INDEX(SPPR!$E:$X,MATCH($A82,SPPR!$A:$A,0),11)),$C82*INDEX(SPPR!$E:$X,MATCH($A82,SPPR!$A:$A,0),11),""),"")</f>
        <v/>
      </c>
      <c r="O82">
        <f>IFERROR(IF(ISNUMBER(INDEX(SPPR!$E:$X,MATCH($A82,SPPR!$A:$A,0),12)),$C82*INDEX(SPPR!$E:$X,MATCH($A82,SPPR!$A:$A,0),12),""),"")</f>
        <v/>
      </c>
      <c r="P82">
        <f>IFERROR(IF(ISNUMBER(INDEX(SPPR!$E:$X,MATCH($A82,SPPR!$A:$A,0),13)),$C82*INDEX(SPPR!$E:$X,MATCH($A82,SPPR!$A:$A,0),13),""),"")</f>
        <v/>
      </c>
      <c r="Q82">
        <f>IFERROR(IF(ISNUMBER(INDEX(SPPR!$E:$X,MATCH($A82,SPPR!$A:$A,0),14)),$C82*INDEX(SPPR!$E:$X,MATCH($A82,SPPR!$A:$A,0),14),""),"")</f>
        <v/>
      </c>
      <c r="R82">
        <f>IFERROR(IF(ISNUMBER(INDEX(SPPR!$E:$X,MATCH($A82,SPPR!$A:$A,0),15)),$C82*INDEX(SPPR!$E:$X,MATCH($A82,SPPR!$A:$A,0),15),""),"")</f>
        <v/>
      </c>
      <c r="S82">
        <f>IFERROR(IF(ISNUMBER(INDEX(SPPR!$E:$X,MATCH($A82,SPPR!$A:$A,0),16)),$C82*INDEX(SPPR!$E:$X,MATCH($A82,SPPR!$A:$A,0),16),""),"")</f>
        <v/>
      </c>
      <c r="T82">
        <f>IFERROR(IF(ISNUMBER(INDEX(SPPR!$E:$X,MATCH($A82,SPPR!$A:$A,0),17)),$C82*INDEX(SPPR!$E:$X,MATCH($A82,SPPR!$A:$A,0),17),""),"")</f>
        <v/>
      </c>
      <c r="U82">
        <f>IFERROR(IF(ISNUMBER(INDEX(SPPR!$E:$X,MATCH($A82,SPPR!$A:$A,0),18)),$C82*INDEX(SPPR!$E:$X,MATCH($A82,SPPR!$A:$A,0),18),""),"")</f>
        <v/>
      </c>
      <c r="V82">
        <f>IFERROR(IF(ISNUMBER(INDEX(SPPR!$E:$X,MATCH($A82,SPPR!$A:$A,0),19)),$C82*INDEX(SPPR!$E:$X,MATCH($A82,SPPR!$A:$A,0),19),""),"")</f>
        <v/>
      </c>
      <c r="W82">
        <f>IFERROR(IF(ISNUMBER(INDEX(SPPR!$E:$X,MATCH($A82,SPPR!$A:$A,0),20)),$C82*INDEX(SPPR!$E:$X,MATCH($A82,SPPR!$A:$A,0),20),""),"")</f>
        <v/>
      </c>
    </row>
    <row r="83">
      <c r="A83" t="inlineStr">
        <is>
          <t>Cetorhinus maximus</t>
        </is>
      </c>
      <c r="B83">
        <f>IFERROR(INDEX(SPPR!$D:$D,MATCH($A83,SPPR!$A:$A,0)),"")</f>
        <v/>
      </c>
      <c r="C83">
        <f>IFERROR(INDEX(Catch!$E:$BV,MATCH($A83,Catch!$A:$A,0),MATCH($B$4,Catch!$E$1:$BV$1,0)),0)</f>
        <v/>
      </c>
      <c r="D83">
        <f>IFERROR(IF(ISNUMBER(INDEX(SPPR!$E:$X,MATCH($A83,SPPR!$A:$A,0),1)),$C83*INDEX(SPPR!$E:$X,MATCH($A83,SPPR!$A:$A,0),1),""),"")</f>
        <v/>
      </c>
      <c r="E83">
        <f>IFERROR(IF(ISNUMBER(INDEX(SPPR!$E:$X,MATCH($A83,SPPR!$A:$A,0),2)),$C83*INDEX(SPPR!$E:$X,MATCH($A83,SPPR!$A:$A,0),2),""),"")</f>
        <v/>
      </c>
      <c r="F83">
        <f>IFERROR(IF(ISNUMBER(INDEX(SPPR!$E:$X,MATCH($A83,SPPR!$A:$A,0),3)),$C83*INDEX(SPPR!$E:$X,MATCH($A83,SPPR!$A:$A,0),3),""),"")</f>
        <v/>
      </c>
      <c r="G83">
        <f>IFERROR(IF(ISNUMBER(INDEX(SPPR!$E:$X,MATCH($A83,SPPR!$A:$A,0),4)),$C83*INDEX(SPPR!$E:$X,MATCH($A83,SPPR!$A:$A,0),4),""),"")</f>
        <v/>
      </c>
      <c r="H83">
        <f>IFERROR(IF(ISNUMBER(INDEX(SPPR!$E:$X,MATCH($A83,SPPR!$A:$A,0),5)),$C83*INDEX(SPPR!$E:$X,MATCH($A83,SPPR!$A:$A,0),5),""),"")</f>
        <v/>
      </c>
      <c r="I83">
        <f>IFERROR(IF(ISNUMBER(INDEX(SPPR!$E:$X,MATCH($A83,SPPR!$A:$A,0),6)),$C83*INDEX(SPPR!$E:$X,MATCH($A83,SPPR!$A:$A,0),6),""),"")</f>
        <v/>
      </c>
      <c r="J83">
        <f>IFERROR(IF(ISNUMBER(INDEX(SPPR!$E:$X,MATCH($A83,SPPR!$A:$A,0),7)),$C83*INDEX(SPPR!$E:$X,MATCH($A83,SPPR!$A:$A,0),7),""),"")</f>
        <v/>
      </c>
      <c r="K83">
        <f>IFERROR(IF(ISNUMBER(INDEX(SPPR!$E:$X,MATCH($A83,SPPR!$A:$A,0),8)),$C83*INDEX(SPPR!$E:$X,MATCH($A83,SPPR!$A:$A,0),8),""),"")</f>
        <v/>
      </c>
      <c r="L83">
        <f>IFERROR(IF(ISNUMBER(INDEX(SPPR!$E:$X,MATCH($A83,SPPR!$A:$A,0),9)),$C83*INDEX(SPPR!$E:$X,MATCH($A83,SPPR!$A:$A,0),9),""),"")</f>
        <v/>
      </c>
      <c r="M83">
        <f>IFERROR(IF(ISNUMBER(INDEX(SPPR!$E:$X,MATCH($A83,SPPR!$A:$A,0),10)),$C83*INDEX(SPPR!$E:$X,MATCH($A83,SPPR!$A:$A,0),10),""),"")</f>
        <v/>
      </c>
      <c r="N83">
        <f>IFERROR(IF(ISNUMBER(INDEX(SPPR!$E:$X,MATCH($A83,SPPR!$A:$A,0),11)),$C83*INDEX(SPPR!$E:$X,MATCH($A83,SPPR!$A:$A,0),11),""),"")</f>
        <v/>
      </c>
      <c r="O83">
        <f>IFERROR(IF(ISNUMBER(INDEX(SPPR!$E:$X,MATCH($A83,SPPR!$A:$A,0),12)),$C83*INDEX(SPPR!$E:$X,MATCH($A83,SPPR!$A:$A,0),12),""),"")</f>
        <v/>
      </c>
      <c r="P83">
        <f>IFERROR(IF(ISNUMBER(INDEX(SPPR!$E:$X,MATCH($A83,SPPR!$A:$A,0),13)),$C83*INDEX(SPPR!$E:$X,MATCH($A83,SPPR!$A:$A,0),13),""),"")</f>
        <v/>
      </c>
      <c r="Q83">
        <f>IFERROR(IF(ISNUMBER(INDEX(SPPR!$E:$X,MATCH($A83,SPPR!$A:$A,0),14)),$C83*INDEX(SPPR!$E:$X,MATCH($A83,SPPR!$A:$A,0),14),""),"")</f>
        <v/>
      </c>
      <c r="R83">
        <f>IFERROR(IF(ISNUMBER(INDEX(SPPR!$E:$X,MATCH($A83,SPPR!$A:$A,0),15)),$C83*INDEX(SPPR!$E:$X,MATCH($A83,SPPR!$A:$A,0),15),""),"")</f>
        <v/>
      </c>
      <c r="S83">
        <f>IFERROR(IF(ISNUMBER(INDEX(SPPR!$E:$X,MATCH($A83,SPPR!$A:$A,0),16)),$C83*INDEX(SPPR!$E:$X,MATCH($A83,SPPR!$A:$A,0),16),""),"")</f>
        <v/>
      </c>
      <c r="T83">
        <f>IFERROR(IF(ISNUMBER(INDEX(SPPR!$E:$X,MATCH($A83,SPPR!$A:$A,0),17)),$C83*INDEX(SPPR!$E:$X,MATCH($A83,SPPR!$A:$A,0),17),""),"")</f>
        <v/>
      </c>
      <c r="U83">
        <f>IFERROR(IF(ISNUMBER(INDEX(SPPR!$E:$X,MATCH($A83,SPPR!$A:$A,0),18)),$C83*INDEX(SPPR!$E:$X,MATCH($A83,SPPR!$A:$A,0),18),""),"")</f>
        <v/>
      </c>
      <c r="V83">
        <f>IFERROR(IF(ISNUMBER(INDEX(SPPR!$E:$X,MATCH($A83,SPPR!$A:$A,0),19)),$C83*INDEX(SPPR!$E:$X,MATCH($A83,SPPR!$A:$A,0),19),""),"")</f>
        <v/>
      </c>
      <c r="W83">
        <f>IFERROR(IF(ISNUMBER(INDEX(SPPR!$E:$X,MATCH($A83,SPPR!$A:$A,0),20)),$C83*INDEX(SPPR!$E:$X,MATCH($A83,SPPR!$A:$A,0),20),""),"")</f>
        <v/>
      </c>
    </row>
    <row r="84">
      <c r="A84" t="inlineStr">
        <is>
          <t>Trachinus draco</t>
        </is>
      </c>
      <c r="B84">
        <f>IFERROR(INDEX(SPPR!$D:$D,MATCH($A84,SPPR!$A:$A,0)),"")</f>
        <v/>
      </c>
      <c r="C84">
        <f>IFERROR(INDEX(Catch!$E:$BV,MATCH($A84,Catch!$A:$A,0),MATCH($B$4,Catch!$E$1:$BV$1,0)),0)</f>
        <v/>
      </c>
      <c r="D84">
        <f>IFERROR(IF(ISNUMBER(INDEX(SPPR!$E:$X,MATCH($A84,SPPR!$A:$A,0),1)),$C84*INDEX(SPPR!$E:$X,MATCH($A84,SPPR!$A:$A,0),1),""),"")</f>
        <v/>
      </c>
      <c r="E84">
        <f>IFERROR(IF(ISNUMBER(INDEX(SPPR!$E:$X,MATCH($A84,SPPR!$A:$A,0),2)),$C84*INDEX(SPPR!$E:$X,MATCH($A84,SPPR!$A:$A,0),2),""),"")</f>
        <v/>
      </c>
      <c r="F84">
        <f>IFERROR(IF(ISNUMBER(INDEX(SPPR!$E:$X,MATCH($A84,SPPR!$A:$A,0),3)),$C84*INDEX(SPPR!$E:$X,MATCH($A84,SPPR!$A:$A,0),3),""),"")</f>
        <v/>
      </c>
      <c r="G84">
        <f>IFERROR(IF(ISNUMBER(INDEX(SPPR!$E:$X,MATCH($A84,SPPR!$A:$A,0),4)),$C84*INDEX(SPPR!$E:$X,MATCH($A84,SPPR!$A:$A,0),4),""),"")</f>
        <v/>
      </c>
      <c r="H84">
        <f>IFERROR(IF(ISNUMBER(INDEX(SPPR!$E:$X,MATCH($A84,SPPR!$A:$A,0),5)),$C84*INDEX(SPPR!$E:$X,MATCH($A84,SPPR!$A:$A,0),5),""),"")</f>
        <v/>
      </c>
      <c r="I84">
        <f>IFERROR(IF(ISNUMBER(INDEX(SPPR!$E:$X,MATCH($A84,SPPR!$A:$A,0),6)),$C84*INDEX(SPPR!$E:$X,MATCH($A84,SPPR!$A:$A,0),6),""),"")</f>
        <v/>
      </c>
      <c r="J84">
        <f>IFERROR(IF(ISNUMBER(INDEX(SPPR!$E:$X,MATCH($A84,SPPR!$A:$A,0),7)),$C84*INDEX(SPPR!$E:$X,MATCH($A84,SPPR!$A:$A,0),7),""),"")</f>
        <v/>
      </c>
      <c r="K84">
        <f>IFERROR(IF(ISNUMBER(INDEX(SPPR!$E:$X,MATCH($A84,SPPR!$A:$A,0),8)),$C84*INDEX(SPPR!$E:$X,MATCH($A84,SPPR!$A:$A,0),8),""),"")</f>
        <v/>
      </c>
      <c r="L84">
        <f>IFERROR(IF(ISNUMBER(INDEX(SPPR!$E:$X,MATCH($A84,SPPR!$A:$A,0),9)),$C84*INDEX(SPPR!$E:$X,MATCH($A84,SPPR!$A:$A,0),9),""),"")</f>
        <v/>
      </c>
      <c r="M84">
        <f>IFERROR(IF(ISNUMBER(INDEX(SPPR!$E:$X,MATCH($A84,SPPR!$A:$A,0),10)),$C84*INDEX(SPPR!$E:$X,MATCH($A84,SPPR!$A:$A,0),10),""),"")</f>
        <v/>
      </c>
      <c r="N84">
        <f>IFERROR(IF(ISNUMBER(INDEX(SPPR!$E:$X,MATCH($A84,SPPR!$A:$A,0),11)),$C84*INDEX(SPPR!$E:$X,MATCH($A84,SPPR!$A:$A,0),11),""),"")</f>
        <v/>
      </c>
      <c r="O84">
        <f>IFERROR(IF(ISNUMBER(INDEX(SPPR!$E:$X,MATCH($A84,SPPR!$A:$A,0),12)),$C84*INDEX(SPPR!$E:$X,MATCH($A84,SPPR!$A:$A,0),12),""),"")</f>
        <v/>
      </c>
      <c r="P84">
        <f>IFERROR(IF(ISNUMBER(INDEX(SPPR!$E:$X,MATCH($A84,SPPR!$A:$A,0),13)),$C84*INDEX(SPPR!$E:$X,MATCH($A84,SPPR!$A:$A,0),13),""),"")</f>
        <v/>
      </c>
      <c r="Q84">
        <f>IFERROR(IF(ISNUMBER(INDEX(SPPR!$E:$X,MATCH($A84,SPPR!$A:$A,0),14)),$C84*INDEX(SPPR!$E:$X,MATCH($A84,SPPR!$A:$A,0),14),""),"")</f>
        <v/>
      </c>
      <c r="R84">
        <f>IFERROR(IF(ISNUMBER(INDEX(SPPR!$E:$X,MATCH($A84,SPPR!$A:$A,0),15)),$C84*INDEX(SPPR!$E:$X,MATCH($A84,SPPR!$A:$A,0),15),""),"")</f>
        <v/>
      </c>
      <c r="S84">
        <f>IFERROR(IF(ISNUMBER(INDEX(SPPR!$E:$X,MATCH($A84,SPPR!$A:$A,0),16)),$C84*INDEX(SPPR!$E:$X,MATCH($A84,SPPR!$A:$A,0),16),""),"")</f>
        <v/>
      </c>
      <c r="T84">
        <f>IFERROR(IF(ISNUMBER(INDEX(SPPR!$E:$X,MATCH($A84,SPPR!$A:$A,0),17)),$C84*INDEX(SPPR!$E:$X,MATCH($A84,SPPR!$A:$A,0),17),""),"")</f>
        <v/>
      </c>
      <c r="U84">
        <f>IFERROR(IF(ISNUMBER(INDEX(SPPR!$E:$X,MATCH($A84,SPPR!$A:$A,0),18)),$C84*INDEX(SPPR!$E:$X,MATCH($A84,SPPR!$A:$A,0),18),""),"")</f>
        <v/>
      </c>
      <c r="V84">
        <f>IFERROR(IF(ISNUMBER(INDEX(SPPR!$E:$X,MATCH($A84,SPPR!$A:$A,0),19)),$C84*INDEX(SPPR!$E:$X,MATCH($A84,SPPR!$A:$A,0),19),""),"")</f>
        <v/>
      </c>
      <c r="W84">
        <f>IFERROR(IF(ISNUMBER(INDEX(SPPR!$E:$X,MATCH($A84,SPPR!$A:$A,0),20)),$C84*INDEX(SPPR!$E:$X,MATCH($A84,SPPR!$A:$A,0),20),""),"")</f>
        <v/>
      </c>
    </row>
    <row r="85">
      <c r="A85" t="inlineStr">
        <is>
          <t>Belone belone</t>
        </is>
      </c>
      <c r="B85">
        <f>IFERROR(INDEX(SPPR!$D:$D,MATCH($A85,SPPR!$A:$A,0)),"")</f>
        <v/>
      </c>
      <c r="C85">
        <f>IFERROR(INDEX(Catch!$E:$BV,MATCH($A85,Catch!$A:$A,0),MATCH($B$4,Catch!$E$1:$BV$1,0)),0)</f>
        <v/>
      </c>
      <c r="D85">
        <f>IFERROR(IF(ISNUMBER(INDEX(SPPR!$E:$X,MATCH($A85,SPPR!$A:$A,0),1)),$C85*INDEX(SPPR!$E:$X,MATCH($A85,SPPR!$A:$A,0),1),""),"")</f>
        <v/>
      </c>
      <c r="E85">
        <f>IFERROR(IF(ISNUMBER(INDEX(SPPR!$E:$X,MATCH($A85,SPPR!$A:$A,0),2)),$C85*INDEX(SPPR!$E:$X,MATCH($A85,SPPR!$A:$A,0),2),""),"")</f>
        <v/>
      </c>
      <c r="F85">
        <f>IFERROR(IF(ISNUMBER(INDEX(SPPR!$E:$X,MATCH($A85,SPPR!$A:$A,0),3)),$C85*INDEX(SPPR!$E:$X,MATCH($A85,SPPR!$A:$A,0),3),""),"")</f>
        <v/>
      </c>
      <c r="G85">
        <f>IFERROR(IF(ISNUMBER(INDEX(SPPR!$E:$X,MATCH($A85,SPPR!$A:$A,0),4)),$C85*INDEX(SPPR!$E:$X,MATCH($A85,SPPR!$A:$A,0),4),""),"")</f>
        <v/>
      </c>
      <c r="H85">
        <f>IFERROR(IF(ISNUMBER(INDEX(SPPR!$E:$X,MATCH($A85,SPPR!$A:$A,0),5)),$C85*INDEX(SPPR!$E:$X,MATCH($A85,SPPR!$A:$A,0),5),""),"")</f>
        <v/>
      </c>
      <c r="I85">
        <f>IFERROR(IF(ISNUMBER(INDEX(SPPR!$E:$X,MATCH($A85,SPPR!$A:$A,0),6)),$C85*INDEX(SPPR!$E:$X,MATCH($A85,SPPR!$A:$A,0),6),""),"")</f>
        <v/>
      </c>
      <c r="J85">
        <f>IFERROR(IF(ISNUMBER(INDEX(SPPR!$E:$X,MATCH($A85,SPPR!$A:$A,0),7)),$C85*INDEX(SPPR!$E:$X,MATCH($A85,SPPR!$A:$A,0),7),""),"")</f>
        <v/>
      </c>
      <c r="K85">
        <f>IFERROR(IF(ISNUMBER(INDEX(SPPR!$E:$X,MATCH($A85,SPPR!$A:$A,0),8)),$C85*INDEX(SPPR!$E:$X,MATCH($A85,SPPR!$A:$A,0),8),""),"")</f>
        <v/>
      </c>
      <c r="L85">
        <f>IFERROR(IF(ISNUMBER(INDEX(SPPR!$E:$X,MATCH($A85,SPPR!$A:$A,0),9)),$C85*INDEX(SPPR!$E:$X,MATCH($A85,SPPR!$A:$A,0),9),""),"")</f>
        <v/>
      </c>
      <c r="M85">
        <f>IFERROR(IF(ISNUMBER(INDEX(SPPR!$E:$X,MATCH($A85,SPPR!$A:$A,0),10)),$C85*INDEX(SPPR!$E:$X,MATCH($A85,SPPR!$A:$A,0),10),""),"")</f>
        <v/>
      </c>
      <c r="N85">
        <f>IFERROR(IF(ISNUMBER(INDEX(SPPR!$E:$X,MATCH($A85,SPPR!$A:$A,0),11)),$C85*INDEX(SPPR!$E:$X,MATCH($A85,SPPR!$A:$A,0),11),""),"")</f>
        <v/>
      </c>
      <c r="O85">
        <f>IFERROR(IF(ISNUMBER(INDEX(SPPR!$E:$X,MATCH($A85,SPPR!$A:$A,0),12)),$C85*INDEX(SPPR!$E:$X,MATCH($A85,SPPR!$A:$A,0),12),""),"")</f>
        <v/>
      </c>
      <c r="P85">
        <f>IFERROR(IF(ISNUMBER(INDEX(SPPR!$E:$X,MATCH($A85,SPPR!$A:$A,0),13)),$C85*INDEX(SPPR!$E:$X,MATCH($A85,SPPR!$A:$A,0),13),""),"")</f>
        <v/>
      </c>
      <c r="Q85">
        <f>IFERROR(IF(ISNUMBER(INDEX(SPPR!$E:$X,MATCH($A85,SPPR!$A:$A,0),14)),$C85*INDEX(SPPR!$E:$X,MATCH($A85,SPPR!$A:$A,0),14),""),"")</f>
        <v/>
      </c>
      <c r="R85">
        <f>IFERROR(IF(ISNUMBER(INDEX(SPPR!$E:$X,MATCH($A85,SPPR!$A:$A,0),15)),$C85*INDEX(SPPR!$E:$X,MATCH($A85,SPPR!$A:$A,0),15),""),"")</f>
        <v/>
      </c>
      <c r="S85">
        <f>IFERROR(IF(ISNUMBER(INDEX(SPPR!$E:$X,MATCH($A85,SPPR!$A:$A,0),16)),$C85*INDEX(SPPR!$E:$X,MATCH($A85,SPPR!$A:$A,0),16),""),"")</f>
        <v/>
      </c>
      <c r="T85">
        <f>IFERROR(IF(ISNUMBER(INDEX(SPPR!$E:$X,MATCH($A85,SPPR!$A:$A,0),17)),$C85*INDEX(SPPR!$E:$X,MATCH($A85,SPPR!$A:$A,0),17),""),"")</f>
        <v/>
      </c>
      <c r="U85">
        <f>IFERROR(IF(ISNUMBER(INDEX(SPPR!$E:$X,MATCH($A85,SPPR!$A:$A,0),18)),$C85*INDEX(SPPR!$E:$X,MATCH($A85,SPPR!$A:$A,0),18),""),"")</f>
        <v/>
      </c>
      <c r="V85">
        <f>IFERROR(IF(ISNUMBER(INDEX(SPPR!$E:$X,MATCH($A85,SPPR!$A:$A,0),19)),$C85*INDEX(SPPR!$E:$X,MATCH($A85,SPPR!$A:$A,0),19),""),"")</f>
        <v/>
      </c>
      <c r="W85">
        <f>IFERROR(IF(ISNUMBER(INDEX(SPPR!$E:$X,MATCH($A85,SPPR!$A:$A,0),20)),$C85*INDEX(SPPR!$E:$X,MATCH($A85,SPPR!$A:$A,0),20),""),"")</f>
        <v/>
      </c>
    </row>
    <row r="86">
      <c r="A86" t="inlineStr">
        <is>
          <t>Lamna nasus</t>
        </is>
      </c>
      <c r="B86">
        <f>IFERROR(INDEX(SPPR!$D:$D,MATCH($A86,SPPR!$A:$A,0)),"")</f>
        <v/>
      </c>
      <c r="C86">
        <f>IFERROR(INDEX(Catch!$E:$BV,MATCH($A86,Catch!$A:$A,0),MATCH($B$4,Catch!$E$1:$BV$1,0)),0)</f>
        <v/>
      </c>
      <c r="D86">
        <f>IFERROR(IF(ISNUMBER(INDEX(SPPR!$E:$X,MATCH($A86,SPPR!$A:$A,0),1)),$C86*INDEX(SPPR!$E:$X,MATCH($A86,SPPR!$A:$A,0),1),""),"")</f>
        <v/>
      </c>
      <c r="E86">
        <f>IFERROR(IF(ISNUMBER(INDEX(SPPR!$E:$X,MATCH($A86,SPPR!$A:$A,0),2)),$C86*INDEX(SPPR!$E:$X,MATCH($A86,SPPR!$A:$A,0),2),""),"")</f>
        <v/>
      </c>
      <c r="F86">
        <f>IFERROR(IF(ISNUMBER(INDEX(SPPR!$E:$X,MATCH($A86,SPPR!$A:$A,0),3)),$C86*INDEX(SPPR!$E:$X,MATCH($A86,SPPR!$A:$A,0),3),""),"")</f>
        <v/>
      </c>
      <c r="G86">
        <f>IFERROR(IF(ISNUMBER(INDEX(SPPR!$E:$X,MATCH($A86,SPPR!$A:$A,0),4)),$C86*INDEX(SPPR!$E:$X,MATCH($A86,SPPR!$A:$A,0),4),""),"")</f>
        <v/>
      </c>
      <c r="H86">
        <f>IFERROR(IF(ISNUMBER(INDEX(SPPR!$E:$X,MATCH($A86,SPPR!$A:$A,0),5)),$C86*INDEX(SPPR!$E:$X,MATCH($A86,SPPR!$A:$A,0),5),""),"")</f>
        <v/>
      </c>
      <c r="I86">
        <f>IFERROR(IF(ISNUMBER(INDEX(SPPR!$E:$X,MATCH($A86,SPPR!$A:$A,0),6)),$C86*INDEX(SPPR!$E:$X,MATCH($A86,SPPR!$A:$A,0),6),""),"")</f>
        <v/>
      </c>
      <c r="J86">
        <f>IFERROR(IF(ISNUMBER(INDEX(SPPR!$E:$X,MATCH($A86,SPPR!$A:$A,0),7)),$C86*INDEX(SPPR!$E:$X,MATCH($A86,SPPR!$A:$A,0),7),""),"")</f>
        <v/>
      </c>
      <c r="K86">
        <f>IFERROR(IF(ISNUMBER(INDEX(SPPR!$E:$X,MATCH($A86,SPPR!$A:$A,0),8)),$C86*INDEX(SPPR!$E:$X,MATCH($A86,SPPR!$A:$A,0),8),""),"")</f>
        <v/>
      </c>
      <c r="L86">
        <f>IFERROR(IF(ISNUMBER(INDEX(SPPR!$E:$X,MATCH($A86,SPPR!$A:$A,0),9)),$C86*INDEX(SPPR!$E:$X,MATCH($A86,SPPR!$A:$A,0),9),""),"")</f>
        <v/>
      </c>
      <c r="M86">
        <f>IFERROR(IF(ISNUMBER(INDEX(SPPR!$E:$X,MATCH($A86,SPPR!$A:$A,0),10)),$C86*INDEX(SPPR!$E:$X,MATCH($A86,SPPR!$A:$A,0),10),""),"")</f>
        <v/>
      </c>
      <c r="N86">
        <f>IFERROR(IF(ISNUMBER(INDEX(SPPR!$E:$X,MATCH($A86,SPPR!$A:$A,0),11)),$C86*INDEX(SPPR!$E:$X,MATCH($A86,SPPR!$A:$A,0),11),""),"")</f>
        <v/>
      </c>
      <c r="O86">
        <f>IFERROR(IF(ISNUMBER(INDEX(SPPR!$E:$X,MATCH($A86,SPPR!$A:$A,0),12)),$C86*INDEX(SPPR!$E:$X,MATCH($A86,SPPR!$A:$A,0),12),""),"")</f>
        <v/>
      </c>
      <c r="P86">
        <f>IFERROR(IF(ISNUMBER(INDEX(SPPR!$E:$X,MATCH($A86,SPPR!$A:$A,0),13)),$C86*INDEX(SPPR!$E:$X,MATCH($A86,SPPR!$A:$A,0),13),""),"")</f>
        <v/>
      </c>
      <c r="Q86">
        <f>IFERROR(IF(ISNUMBER(INDEX(SPPR!$E:$X,MATCH($A86,SPPR!$A:$A,0),14)),$C86*INDEX(SPPR!$E:$X,MATCH($A86,SPPR!$A:$A,0),14),""),"")</f>
        <v/>
      </c>
      <c r="R86">
        <f>IFERROR(IF(ISNUMBER(INDEX(SPPR!$E:$X,MATCH($A86,SPPR!$A:$A,0),15)),$C86*INDEX(SPPR!$E:$X,MATCH($A86,SPPR!$A:$A,0),15),""),"")</f>
        <v/>
      </c>
      <c r="S86">
        <f>IFERROR(IF(ISNUMBER(INDEX(SPPR!$E:$X,MATCH($A86,SPPR!$A:$A,0),16)),$C86*INDEX(SPPR!$E:$X,MATCH($A86,SPPR!$A:$A,0),16),""),"")</f>
        <v/>
      </c>
      <c r="T86">
        <f>IFERROR(IF(ISNUMBER(INDEX(SPPR!$E:$X,MATCH($A86,SPPR!$A:$A,0),17)),$C86*INDEX(SPPR!$E:$X,MATCH($A86,SPPR!$A:$A,0),17),""),"")</f>
        <v/>
      </c>
      <c r="U86">
        <f>IFERROR(IF(ISNUMBER(INDEX(SPPR!$E:$X,MATCH($A86,SPPR!$A:$A,0),18)),$C86*INDEX(SPPR!$E:$X,MATCH($A86,SPPR!$A:$A,0),18),""),"")</f>
        <v/>
      </c>
      <c r="V86">
        <f>IFERROR(IF(ISNUMBER(INDEX(SPPR!$E:$X,MATCH($A86,SPPR!$A:$A,0),19)),$C86*INDEX(SPPR!$E:$X,MATCH($A86,SPPR!$A:$A,0),19),""),"")</f>
        <v/>
      </c>
      <c r="W86">
        <f>IFERROR(IF(ISNUMBER(INDEX(SPPR!$E:$X,MATCH($A86,SPPR!$A:$A,0),20)),$C86*INDEX(SPPR!$E:$X,MATCH($A86,SPPR!$A:$A,0),20),""),"")</f>
        <v/>
      </c>
    </row>
    <row r="87">
      <c r="A87" t="inlineStr">
        <is>
          <t>Crangonidae</t>
        </is>
      </c>
      <c r="B87">
        <f>IFERROR(INDEX(SPPR!$D:$D,MATCH($A87,SPPR!$A:$A,0)),"")</f>
        <v/>
      </c>
      <c r="C87">
        <f>IFERROR(INDEX(Catch!$E:$BV,MATCH($A87,Catch!$A:$A,0),MATCH($B$4,Catch!$E$1:$BV$1,0)),0)</f>
        <v/>
      </c>
      <c r="D87">
        <f>IFERROR(IF(ISNUMBER(INDEX(SPPR!$E:$X,MATCH($A87,SPPR!$A:$A,0),1)),$C87*INDEX(SPPR!$E:$X,MATCH($A87,SPPR!$A:$A,0),1),""),"")</f>
        <v/>
      </c>
      <c r="E87">
        <f>IFERROR(IF(ISNUMBER(INDEX(SPPR!$E:$X,MATCH($A87,SPPR!$A:$A,0),2)),$C87*INDEX(SPPR!$E:$X,MATCH($A87,SPPR!$A:$A,0),2),""),"")</f>
        <v/>
      </c>
      <c r="F87">
        <f>IFERROR(IF(ISNUMBER(INDEX(SPPR!$E:$X,MATCH($A87,SPPR!$A:$A,0),3)),$C87*INDEX(SPPR!$E:$X,MATCH($A87,SPPR!$A:$A,0),3),""),"")</f>
        <v/>
      </c>
      <c r="G87">
        <f>IFERROR(IF(ISNUMBER(INDEX(SPPR!$E:$X,MATCH($A87,SPPR!$A:$A,0),4)),$C87*INDEX(SPPR!$E:$X,MATCH($A87,SPPR!$A:$A,0),4),""),"")</f>
        <v/>
      </c>
      <c r="H87">
        <f>IFERROR(IF(ISNUMBER(INDEX(SPPR!$E:$X,MATCH($A87,SPPR!$A:$A,0),5)),$C87*INDEX(SPPR!$E:$X,MATCH($A87,SPPR!$A:$A,0),5),""),"")</f>
        <v/>
      </c>
      <c r="I87">
        <f>IFERROR(IF(ISNUMBER(INDEX(SPPR!$E:$X,MATCH($A87,SPPR!$A:$A,0),6)),$C87*INDEX(SPPR!$E:$X,MATCH($A87,SPPR!$A:$A,0),6),""),"")</f>
        <v/>
      </c>
      <c r="J87">
        <f>IFERROR(IF(ISNUMBER(INDEX(SPPR!$E:$X,MATCH($A87,SPPR!$A:$A,0),7)),$C87*INDEX(SPPR!$E:$X,MATCH($A87,SPPR!$A:$A,0),7),""),"")</f>
        <v/>
      </c>
      <c r="K87">
        <f>IFERROR(IF(ISNUMBER(INDEX(SPPR!$E:$X,MATCH($A87,SPPR!$A:$A,0),8)),$C87*INDEX(SPPR!$E:$X,MATCH($A87,SPPR!$A:$A,0),8),""),"")</f>
        <v/>
      </c>
      <c r="L87">
        <f>IFERROR(IF(ISNUMBER(INDEX(SPPR!$E:$X,MATCH($A87,SPPR!$A:$A,0),9)),$C87*INDEX(SPPR!$E:$X,MATCH($A87,SPPR!$A:$A,0),9),""),"")</f>
        <v/>
      </c>
      <c r="M87">
        <f>IFERROR(IF(ISNUMBER(INDEX(SPPR!$E:$X,MATCH($A87,SPPR!$A:$A,0),10)),$C87*INDEX(SPPR!$E:$X,MATCH($A87,SPPR!$A:$A,0),10),""),"")</f>
        <v/>
      </c>
      <c r="N87">
        <f>IFERROR(IF(ISNUMBER(INDEX(SPPR!$E:$X,MATCH($A87,SPPR!$A:$A,0),11)),$C87*INDEX(SPPR!$E:$X,MATCH($A87,SPPR!$A:$A,0),11),""),"")</f>
        <v/>
      </c>
      <c r="O87">
        <f>IFERROR(IF(ISNUMBER(INDEX(SPPR!$E:$X,MATCH($A87,SPPR!$A:$A,0),12)),$C87*INDEX(SPPR!$E:$X,MATCH($A87,SPPR!$A:$A,0),12),""),"")</f>
        <v/>
      </c>
      <c r="P87">
        <f>IFERROR(IF(ISNUMBER(INDEX(SPPR!$E:$X,MATCH($A87,SPPR!$A:$A,0),13)),$C87*INDEX(SPPR!$E:$X,MATCH($A87,SPPR!$A:$A,0),13),""),"")</f>
        <v/>
      </c>
      <c r="Q87">
        <f>IFERROR(IF(ISNUMBER(INDEX(SPPR!$E:$X,MATCH($A87,SPPR!$A:$A,0),14)),$C87*INDEX(SPPR!$E:$X,MATCH($A87,SPPR!$A:$A,0),14),""),"")</f>
        <v/>
      </c>
      <c r="R87">
        <f>IFERROR(IF(ISNUMBER(INDEX(SPPR!$E:$X,MATCH($A87,SPPR!$A:$A,0),15)),$C87*INDEX(SPPR!$E:$X,MATCH($A87,SPPR!$A:$A,0),15),""),"")</f>
        <v/>
      </c>
      <c r="S87">
        <f>IFERROR(IF(ISNUMBER(INDEX(SPPR!$E:$X,MATCH($A87,SPPR!$A:$A,0),16)),$C87*INDEX(SPPR!$E:$X,MATCH($A87,SPPR!$A:$A,0),16),""),"")</f>
        <v/>
      </c>
      <c r="T87">
        <f>IFERROR(IF(ISNUMBER(INDEX(SPPR!$E:$X,MATCH($A87,SPPR!$A:$A,0),17)),$C87*INDEX(SPPR!$E:$X,MATCH($A87,SPPR!$A:$A,0),17),""),"")</f>
        <v/>
      </c>
      <c r="U87">
        <f>IFERROR(IF(ISNUMBER(INDEX(SPPR!$E:$X,MATCH($A87,SPPR!$A:$A,0),18)),$C87*INDEX(SPPR!$E:$X,MATCH($A87,SPPR!$A:$A,0),18),""),"")</f>
        <v/>
      </c>
      <c r="V87">
        <f>IFERROR(IF(ISNUMBER(INDEX(SPPR!$E:$X,MATCH($A87,SPPR!$A:$A,0),19)),$C87*INDEX(SPPR!$E:$X,MATCH($A87,SPPR!$A:$A,0),19),""),"")</f>
        <v/>
      </c>
      <c r="W87">
        <f>IFERROR(IF(ISNUMBER(INDEX(SPPR!$E:$X,MATCH($A87,SPPR!$A:$A,0),20)),$C87*INDEX(SPPR!$E:$X,MATCH($A87,SPPR!$A:$A,0),20),""),"")</f>
        <v/>
      </c>
    </row>
    <row r="88">
      <c r="A88" t="inlineStr">
        <is>
          <t>Soleidae</t>
        </is>
      </c>
      <c r="B88">
        <f>IFERROR(INDEX(SPPR!$D:$D,MATCH($A88,SPPR!$A:$A,0)),"")</f>
        <v/>
      </c>
      <c r="C88">
        <f>IFERROR(INDEX(Catch!$E:$BV,MATCH($A88,Catch!$A:$A,0),MATCH($B$4,Catch!$E$1:$BV$1,0)),0)</f>
        <v/>
      </c>
      <c r="D88">
        <f>IFERROR(IF(ISNUMBER(INDEX(SPPR!$E:$X,MATCH($A88,SPPR!$A:$A,0),1)),$C88*INDEX(SPPR!$E:$X,MATCH($A88,SPPR!$A:$A,0),1),""),"")</f>
        <v/>
      </c>
      <c r="E88">
        <f>IFERROR(IF(ISNUMBER(INDEX(SPPR!$E:$X,MATCH($A88,SPPR!$A:$A,0),2)),$C88*INDEX(SPPR!$E:$X,MATCH($A88,SPPR!$A:$A,0),2),""),"")</f>
        <v/>
      </c>
      <c r="F88">
        <f>IFERROR(IF(ISNUMBER(INDEX(SPPR!$E:$X,MATCH($A88,SPPR!$A:$A,0),3)),$C88*INDEX(SPPR!$E:$X,MATCH($A88,SPPR!$A:$A,0),3),""),"")</f>
        <v/>
      </c>
      <c r="G88">
        <f>IFERROR(IF(ISNUMBER(INDEX(SPPR!$E:$X,MATCH($A88,SPPR!$A:$A,0),4)),$C88*INDEX(SPPR!$E:$X,MATCH($A88,SPPR!$A:$A,0),4),""),"")</f>
        <v/>
      </c>
      <c r="H88">
        <f>IFERROR(IF(ISNUMBER(INDEX(SPPR!$E:$X,MATCH($A88,SPPR!$A:$A,0),5)),$C88*INDEX(SPPR!$E:$X,MATCH($A88,SPPR!$A:$A,0),5),""),"")</f>
        <v/>
      </c>
      <c r="I88">
        <f>IFERROR(IF(ISNUMBER(INDEX(SPPR!$E:$X,MATCH($A88,SPPR!$A:$A,0),6)),$C88*INDEX(SPPR!$E:$X,MATCH($A88,SPPR!$A:$A,0),6),""),"")</f>
        <v/>
      </c>
      <c r="J88">
        <f>IFERROR(IF(ISNUMBER(INDEX(SPPR!$E:$X,MATCH($A88,SPPR!$A:$A,0),7)),$C88*INDEX(SPPR!$E:$X,MATCH($A88,SPPR!$A:$A,0),7),""),"")</f>
        <v/>
      </c>
      <c r="K88">
        <f>IFERROR(IF(ISNUMBER(INDEX(SPPR!$E:$X,MATCH($A88,SPPR!$A:$A,0),8)),$C88*INDEX(SPPR!$E:$X,MATCH($A88,SPPR!$A:$A,0),8),""),"")</f>
        <v/>
      </c>
      <c r="L88">
        <f>IFERROR(IF(ISNUMBER(INDEX(SPPR!$E:$X,MATCH($A88,SPPR!$A:$A,0),9)),$C88*INDEX(SPPR!$E:$X,MATCH($A88,SPPR!$A:$A,0),9),""),"")</f>
        <v/>
      </c>
      <c r="M88">
        <f>IFERROR(IF(ISNUMBER(INDEX(SPPR!$E:$X,MATCH($A88,SPPR!$A:$A,0),10)),$C88*INDEX(SPPR!$E:$X,MATCH($A88,SPPR!$A:$A,0),10),""),"")</f>
        <v/>
      </c>
      <c r="N88">
        <f>IFERROR(IF(ISNUMBER(INDEX(SPPR!$E:$X,MATCH($A88,SPPR!$A:$A,0),11)),$C88*INDEX(SPPR!$E:$X,MATCH($A88,SPPR!$A:$A,0),11),""),"")</f>
        <v/>
      </c>
      <c r="O88">
        <f>IFERROR(IF(ISNUMBER(INDEX(SPPR!$E:$X,MATCH($A88,SPPR!$A:$A,0),12)),$C88*INDEX(SPPR!$E:$X,MATCH($A88,SPPR!$A:$A,0),12),""),"")</f>
        <v/>
      </c>
      <c r="P88">
        <f>IFERROR(IF(ISNUMBER(INDEX(SPPR!$E:$X,MATCH($A88,SPPR!$A:$A,0),13)),$C88*INDEX(SPPR!$E:$X,MATCH($A88,SPPR!$A:$A,0),13),""),"")</f>
        <v/>
      </c>
      <c r="Q88">
        <f>IFERROR(IF(ISNUMBER(INDEX(SPPR!$E:$X,MATCH($A88,SPPR!$A:$A,0),14)),$C88*INDEX(SPPR!$E:$X,MATCH($A88,SPPR!$A:$A,0),14),""),"")</f>
        <v/>
      </c>
      <c r="R88">
        <f>IFERROR(IF(ISNUMBER(INDEX(SPPR!$E:$X,MATCH($A88,SPPR!$A:$A,0),15)),$C88*INDEX(SPPR!$E:$X,MATCH($A88,SPPR!$A:$A,0),15),""),"")</f>
        <v/>
      </c>
      <c r="S88">
        <f>IFERROR(IF(ISNUMBER(INDEX(SPPR!$E:$X,MATCH($A88,SPPR!$A:$A,0),16)),$C88*INDEX(SPPR!$E:$X,MATCH($A88,SPPR!$A:$A,0),16),""),"")</f>
        <v/>
      </c>
      <c r="T88">
        <f>IFERROR(IF(ISNUMBER(INDEX(SPPR!$E:$X,MATCH($A88,SPPR!$A:$A,0),17)),$C88*INDEX(SPPR!$E:$X,MATCH($A88,SPPR!$A:$A,0),17),""),"")</f>
        <v/>
      </c>
      <c r="U88">
        <f>IFERROR(IF(ISNUMBER(INDEX(SPPR!$E:$X,MATCH($A88,SPPR!$A:$A,0),18)),$C88*INDEX(SPPR!$E:$X,MATCH($A88,SPPR!$A:$A,0),18),""),"")</f>
        <v/>
      </c>
      <c r="V88">
        <f>IFERROR(IF(ISNUMBER(INDEX(SPPR!$E:$X,MATCH($A88,SPPR!$A:$A,0),19)),$C88*INDEX(SPPR!$E:$X,MATCH($A88,SPPR!$A:$A,0),19),""),"")</f>
        <v/>
      </c>
      <c r="W88">
        <f>IFERROR(IF(ISNUMBER(INDEX(SPPR!$E:$X,MATCH($A88,SPPR!$A:$A,0),20)),$C88*INDEX(SPPR!$E:$X,MATCH($A88,SPPR!$A:$A,0),20),""),"")</f>
        <v/>
      </c>
    </row>
    <row r="89">
      <c r="A89" t="inlineStr">
        <is>
          <t>Sebastidae</t>
        </is>
      </c>
      <c r="B89">
        <f>IFERROR(INDEX(SPPR!$D:$D,MATCH($A89,SPPR!$A:$A,0)),"")</f>
        <v/>
      </c>
      <c r="C89">
        <f>IFERROR(INDEX(Catch!$E:$BV,MATCH($A89,Catch!$A:$A,0),MATCH($B$4,Catch!$E$1:$BV$1,0)),0)</f>
        <v/>
      </c>
      <c r="D89">
        <f>IFERROR(IF(ISNUMBER(INDEX(SPPR!$E:$X,MATCH($A89,SPPR!$A:$A,0),1)),$C89*INDEX(SPPR!$E:$X,MATCH($A89,SPPR!$A:$A,0),1),""),"")</f>
        <v/>
      </c>
      <c r="E89">
        <f>IFERROR(IF(ISNUMBER(INDEX(SPPR!$E:$X,MATCH($A89,SPPR!$A:$A,0),2)),$C89*INDEX(SPPR!$E:$X,MATCH($A89,SPPR!$A:$A,0),2),""),"")</f>
        <v/>
      </c>
      <c r="F89">
        <f>IFERROR(IF(ISNUMBER(INDEX(SPPR!$E:$X,MATCH($A89,SPPR!$A:$A,0),3)),$C89*INDEX(SPPR!$E:$X,MATCH($A89,SPPR!$A:$A,0),3),""),"")</f>
        <v/>
      </c>
      <c r="G89">
        <f>IFERROR(IF(ISNUMBER(INDEX(SPPR!$E:$X,MATCH($A89,SPPR!$A:$A,0),4)),$C89*INDEX(SPPR!$E:$X,MATCH($A89,SPPR!$A:$A,0),4),""),"")</f>
        <v/>
      </c>
      <c r="H89">
        <f>IFERROR(IF(ISNUMBER(INDEX(SPPR!$E:$X,MATCH($A89,SPPR!$A:$A,0),5)),$C89*INDEX(SPPR!$E:$X,MATCH($A89,SPPR!$A:$A,0),5),""),"")</f>
        <v/>
      </c>
      <c r="I89">
        <f>IFERROR(IF(ISNUMBER(INDEX(SPPR!$E:$X,MATCH($A89,SPPR!$A:$A,0),6)),$C89*INDEX(SPPR!$E:$X,MATCH($A89,SPPR!$A:$A,0),6),""),"")</f>
        <v/>
      </c>
      <c r="J89">
        <f>IFERROR(IF(ISNUMBER(INDEX(SPPR!$E:$X,MATCH($A89,SPPR!$A:$A,0),7)),$C89*INDEX(SPPR!$E:$X,MATCH($A89,SPPR!$A:$A,0),7),""),"")</f>
        <v/>
      </c>
      <c r="K89">
        <f>IFERROR(IF(ISNUMBER(INDEX(SPPR!$E:$X,MATCH($A89,SPPR!$A:$A,0),8)),$C89*INDEX(SPPR!$E:$X,MATCH($A89,SPPR!$A:$A,0),8),""),"")</f>
        <v/>
      </c>
      <c r="L89">
        <f>IFERROR(IF(ISNUMBER(INDEX(SPPR!$E:$X,MATCH($A89,SPPR!$A:$A,0),9)),$C89*INDEX(SPPR!$E:$X,MATCH($A89,SPPR!$A:$A,0),9),""),"")</f>
        <v/>
      </c>
      <c r="M89">
        <f>IFERROR(IF(ISNUMBER(INDEX(SPPR!$E:$X,MATCH($A89,SPPR!$A:$A,0),10)),$C89*INDEX(SPPR!$E:$X,MATCH($A89,SPPR!$A:$A,0),10),""),"")</f>
        <v/>
      </c>
      <c r="N89">
        <f>IFERROR(IF(ISNUMBER(INDEX(SPPR!$E:$X,MATCH($A89,SPPR!$A:$A,0),11)),$C89*INDEX(SPPR!$E:$X,MATCH($A89,SPPR!$A:$A,0),11),""),"")</f>
        <v/>
      </c>
      <c r="O89">
        <f>IFERROR(IF(ISNUMBER(INDEX(SPPR!$E:$X,MATCH($A89,SPPR!$A:$A,0),12)),$C89*INDEX(SPPR!$E:$X,MATCH($A89,SPPR!$A:$A,0),12),""),"")</f>
        <v/>
      </c>
      <c r="P89">
        <f>IFERROR(IF(ISNUMBER(INDEX(SPPR!$E:$X,MATCH($A89,SPPR!$A:$A,0),13)),$C89*INDEX(SPPR!$E:$X,MATCH($A89,SPPR!$A:$A,0),13),""),"")</f>
        <v/>
      </c>
      <c r="Q89">
        <f>IFERROR(IF(ISNUMBER(INDEX(SPPR!$E:$X,MATCH($A89,SPPR!$A:$A,0),14)),$C89*INDEX(SPPR!$E:$X,MATCH($A89,SPPR!$A:$A,0),14),""),"")</f>
        <v/>
      </c>
      <c r="R89">
        <f>IFERROR(IF(ISNUMBER(INDEX(SPPR!$E:$X,MATCH($A89,SPPR!$A:$A,0),15)),$C89*INDEX(SPPR!$E:$X,MATCH($A89,SPPR!$A:$A,0),15),""),"")</f>
        <v/>
      </c>
      <c r="S89">
        <f>IFERROR(IF(ISNUMBER(INDEX(SPPR!$E:$X,MATCH($A89,SPPR!$A:$A,0),16)),$C89*INDEX(SPPR!$E:$X,MATCH($A89,SPPR!$A:$A,0),16),""),"")</f>
        <v/>
      </c>
      <c r="T89">
        <f>IFERROR(IF(ISNUMBER(INDEX(SPPR!$E:$X,MATCH($A89,SPPR!$A:$A,0),17)),$C89*INDEX(SPPR!$E:$X,MATCH($A89,SPPR!$A:$A,0),17),""),"")</f>
        <v/>
      </c>
      <c r="U89">
        <f>IFERROR(IF(ISNUMBER(INDEX(SPPR!$E:$X,MATCH($A89,SPPR!$A:$A,0),18)),$C89*INDEX(SPPR!$E:$X,MATCH($A89,SPPR!$A:$A,0),18),""),"")</f>
        <v/>
      </c>
      <c r="V89">
        <f>IFERROR(IF(ISNUMBER(INDEX(SPPR!$E:$X,MATCH($A89,SPPR!$A:$A,0),19)),$C89*INDEX(SPPR!$E:$X,MATCH($A89,SPPR!$A:$A,0),19),""),"")</f>
        <v/>
      </c>
      <c r="W89">
        <f>IFERROR(IF(ISNUMBER(INDEX(SPPR!$E:$X,MATCH($A89,SPPR!$A:$A,0),20)),$C89*INDEX(SPPR!$E:$X,MATCH($A89,SPPR!$A:$A,0),20),""),"")</f>
        <v/>
      </c>
    </row>
    <row r="90">
      <c r="A90" t="inlineStr">
        <is>
          <t>Loliginidae</t>
        </is>
      </c>
      <c r="B90">
        <f>IFERROR(INDEX(SPPR!$D:$D,MATCH($A90,SPPR!$A:$A,0)),"")</f>
        <v/>
      </c>
      <c r="C90">
        <f>IFERROR(INDEX(Catch!$E:$BV,MATCH($A90,Catch!$A:$A,0),MATCH($B$4,Catch!$E$1:$BV$1,0)),0)</f>
        <v/>
      </c>
      <c r="D90">
        <f>IFERROR(IF(ISNUMBER(INDEX(SPPR!$E:$X,MATCH($A90,SPPR!$A:$A,0),1)),$C90*INDEX(SPPR!$E:$X,MATCH($A90,SPPR!$A:$A,0),1),""),"")</f>
        <v/>
      </c>
      <c r="E90">
        <f>IFERROR(IF(ISNUMBER(INDEX(SPPR!$E:$X,MATCH($A90,SPPR!$A:$A,0),2)),$C90*INDEX(SPPR!$E:$X,MATCH($A90,SPPR!$A:$A,0),2),""),"")</f>
        <v/>
      </c>
      <c r="F90">
        <f>IFERROR(IF(ISNUMBER(INDEX(SPPR!$E:$X,MATCH($A90,SPPR!$A:$A,0),3)),$C90*INDEX(SPPR!$E:$X,MATCH($A90,SPPR!$A:$A,0),3),""),"")</f>
        <v/>
      </c>
      <c r="G90">
        <f>IFERROR(IF(ISNUMBER(INDEX(SPPR!$E:$X,MATCH($A90,SPPR!$A:$A,0),4)),$C90*INDEX(SPPR!$E:$X,MATCH($A90,SPPR!$A:$A,0),4),""),"")</f>
        <v/>
      </c>
      <c r="H90">
        <f>IFERROR(IF(ISNUMBER(INDEX(SPPR!$E:$X,MATCH($A90,SPPR!$A:$A,0),5)),$C90*INDEX(SPPR!$E:$X,MATCH($A90,SPPR!$A:$A,0),5),""),"")</f>
        <v/>
      </c>
      <c r="I90">
        <f>IFERROR(IF(ISNUMBER(INDEX(SPPR!$E:$X,MATCH($A90,SPPR!$A:$A,0),6)),$C90*INDEX(SPPR!$E:$X,MATCH($A90,SPPR!$A:$A,0),6),""),"")</f>
        <v/>
      </c>
      <c r="J90">
        <f>IFERROR(IF(ISNUMBER(INDEX(SPPR!$E:$X,MATCH($A90,SPPR!$A:$A,0),7)),$C90*INDEX(SPPR!$E:$X,MATCH($A90,SPPR!$A:$A,0),7),""),"")</f>
        <v/>
      </c>
      <c r="K90">
        <f>IFERROR(IF(ISNUMBER(INDEX(SPPR!$E:$X,MATCH($A90,SPPR!$A:$A,0),8)),$C90*INDEX(SPPR!$E:$X,MATCH($A90,SPPR!$A:$A,0),8),""),"")</f>
        <v/>
      </c>
      <c r="L90">
        <f>IFERROR(IF(ISNUMBER(INDEX(SPPR!$E:$X,MATCH($A90,SPPR!$A:$A,0),9)),$C90*INDEX(SPPR!$E:$X,MATCH($A90,SPPR!$A:$A,0),9),""),"")</f>
        <v/>
      </c>
      <c r="M90">
        <f>IFERROR(IF(ISNUMBER(INDEX(SPPR!$E:$X,MATCH($A90,SPPR!$A:$A,0),10)),$C90*INDEX(SPPR!$E:$X,MATCH($A90,SPPR!$A:$A,0),10),""),"")</f>
        <v/>
      </c>
      <c r="N90">
        <f>IFERROR(IF(ISNUMBER(INDEX(SPPR!$E:$X,MATCH($A90,SPPR!$A:$A,0),11)),$C90*INDEX(SPPR!$E:$X,MATCH($A90,SPPR!$A:$A,0),11),""),"")</f>
        <v/>
      </c>
      <c r="O90">
        <f>IFERROR(IF(ISNUMBER(INDEX(SPPR!$E:$X,MATCH($A90,SPPR!$A:$A,0),12)),$C90*INDEX(SPPR!$E:$X,MATCH($A90,SPPR!$A:$A,0),12),""),"")</f>
        <v/>
      </c>
      <c r="P90">
        <f>IFERROR(IF(ISNUMBER(INDEX(SPPR!$E:$X,MATCH($A90,SPPR!$A:$A,0),13)),$C90*INDEX(SPPR!$E:$X,MATCH($A90,SPPR!$A:$A,0),13),""),"")</f>
        <v/>
      </c>
      <c r="Q90">
        <f>IFERROR(IF(ISNUMBER(INDEX(SPPR!$E:$X,MATCH($A90,SPPR!$A:$A,0),14)),$C90*INDEX(SPPR!$E:$X,MATCH($A90,SPPR!$A:$A,0),14),""),"")</f>
        <v/>
      </c>
      <c r="R90">
        <f>IFERROR(IF(ISNUMBER(INDEX(SPPR!$E:$X,MATCH($A90,SPPR!$A:$A,0),15)),$C90*INDEX(SPPR!$E:$X,MATCH($A90,SPPR!$A:$A,0),15),""),"")</f>
        <v/>
      </c>
      <c r="S90">
        <f>IFERROR(IF(ISNUMBER(INDEX(SPPR!$E:$X,MATCH($A90,SPPR!$A:$A,0),16)),$C90*INDEX(SPPR!$E:$X,MATCH($A90,SPPR!$A:$A,0),16),""),"")</f>
        <v/>
      </c>
      <c r="T90">
        <f>IFERROR(IF(ISNUMBER(INDEX(SPPR!$E:$X,MATCH($A90,SPPR!$A:$A,0),17)),$C90*INDEX(SPPR!$E:$X,MATCH($A90,SPPR!$A:$A,0),17),""),"")</f>
        <v/>
      </c>
      <c r="U90">
        <f>IFERROR(IF(ISNUMBER(INDEX(SPPR!$E:$X,MATCH($A90,SPPR!$A:$A,0),18)),$C90*INDEX(SPPR!$E:$X,MATCH($A90,SPPR!$A:$A,0),18),""),"")</f>
        <v/>
      </c>
      <c r="V90">
        <f>IFERROR(IF(ISNUMBER(INDEX(SPPR!$E:$X,MATCH($A90,SPPR!$A:$A,0),19)),$C90*INDEX(SPPR!$E:$X,MATCH($A90,SPPR!$A:$A,0),19),""),"")</f>
        <v/>
      </c>
      <c r="W90">
        <f>IFERROR(IF(ISNUMBER(INDEX(SPPR!$E:$X,MATCH($A90,SPPR!$A:$A,0),20)),$C90*INDEX(SPPR!$E:$X,MATCH($A90,SPPR!$A:$A,0),20),""),"")</f>
        <v/>
      </c>
    </row>
    <row r="91">
      <c r="A91" t="inlineStr">
        <is>
          <t>Carangidae</t>
        </is>
      </c>
      <c r="B91">
        <f>IFERROR(INDEX(SPPR!$D:$D,MATCH($A91,SPPR!$A:$A,0)),"")</f>
        <v/>
      </c>
      <c r="C91">
        <f>IFERROR(INDEX(Catch!$E:$BV,MATCH($A91,Catch!$A:$A,0),MATCH($B$4,Catch!$E$1:$BV$1,0)),0)</f>
        <v/>
      </c>
      <c r="D91">
        <f>IFERROR(IF(ISNUMBER(INDEX(SPPR!$E:$X,MATCH($A91,SPPR!$A:$A,0),1)),$C91*INDEX(SPPR!$E:$X,MATCH($A91,SPPR!$A:$A,0),1),""),"")</f>
        <v/>
      </c>
      <c r="E91">
        <f>IFERROR(IF(ISNUMBER(INDEX(SPPR!$E:$X,MATCH($A91,SPPR!$A:$A,0),2)),$C91*INDEX(SPPR!$E:$X,MATCH($A91,SPPR!$A:$A,0),2),""),"")</f>
        <v/>
      </c>
      <c r="F91">
        <f>IFERROR(IF(ISNUMBER(INDEX(SPPR!$E:$X,MATCH($A91,SPPR!$A:$A,0),3)),$C91*INDEX(SPPR!$E:$X,MATCH($A91,SPPR!$A:$A,0),3),""),"")</f>
        <v/>
      </c>
      <c r="G91">
        <f>IFERROR(IF(ISNUMBER(INDEX(SPPR!$E:$X,MATCH($A91,SPPR!$A:$A,0),4)),$C91*INDEX(SPPR!$E:$X,MATCH($A91,SPPR!$A:$A,0),4),""),"")</f>
        <v/>
      </c>
      <c r="H91">
        <f>IFERROR(IF(ISNUMBER(INDEX(SPPR!$E:$X,MATCH($A91,SPPR!$A:$A,0),5)),$C91*INDEX(SPPR!$E:$X,MATCH($A91,SPPR!$A:$A,0),5),""),"")</f>
        <v/>
      </c>
      <c r="I91">
        <f>IFERROR(IF(ISNUMBER(INDEX(SPPR!$E:$X,MATCH($A91,SPPR!$A:$A,0),6)),$C91*INDEX(SPPR!$E:$X,MATCH($A91,SPPR!$A:$A,0),6),""),"")</f>
        <v/>
      </c>
      <c r="J91">
        <f>IFERROR(IF(ISNUMBER(INDEX(SPPR!$E:$X,MATCH($A91,SPPR!$A:$A,0),7)),$C91*INDEX(SPPR!$E:$X,MATCH($A91,SPPR!$A:$A,0),7),""),"")</f>
        <v/>
      </c>
      <c r="K91">
        <f>IFERROR(IF(ISNUMBER(INDEX(SPPR!$E:$X,MATCH($A91,SPPR!$A:$A,0),8)),$C91*INDEX(SPPR!$E:$X,MATCH($A91,SPPR!$A:$A,0),8),""),"")</f>
        <v/>
      </c>
      <c r="L91">
        <f>IFERROR(IF(ISNUMBER(INDEX(SPPR!$E:$X,MATCH($A91,SPPR!$A:$A,0),9)),$C91*INDEX(SPPR!$E:$X,MATCH($A91,SPPR!$A:$A,0),9),""),"")</f>
        <v/>
      </c>
      <c r="M91">
        <f>IFERROR(IF(ISNUMBER(INDEX(SPPR!$E:$X,MATCH($A91,SPPR!$A:$A,0),10)),$C91*INDEX(SPPR!$E:$X,MATCH($A91,SPPR!$A:$A,0),10),""),"")</f>
        <v/>
      </c>
      <c r="N91">
        <f>IFERROR(IF(ISNUMBER(INDEX(SPPR!$E:$X,MATCH($A91,SPPR!$A:$A,0),11)),$C91*INDEX(SPPR!$E:$X,MATCH($A91,SPPR!$A:$A,0),11),""),"")</f>
        <v/>
      </c>
      <c r="O91">
        <f>IFERROR(IF(ISNUMBER(INDEX(SPPR!$E:$X,MATCH($A91,SPPR!$A:$A,0),12)),$C91*INDEX(SPPR!$E:$X,MATCH($A91,SPPR!$A:$A,0),12),""),"")</f>
        <v/>
      </c>
      <c r="P91">
        <f>IFERROR(IF(ISNUMBER(INDEX(SPPR!$E:$X,MATCH($A91,SPPR!$A:$A,0),13)),$C91*INDEX(SPPR!$E:$X,MATCH($A91,SPPR!$A:$A,0),13),""),"")</f>
        <v/>
      </c>
      <c r="Q91">
        <f>IFERROR(IF(ISNUMBER(INDEX(SPPR!$E:$X,MATCH($A91,SPPR!$A:$A,0),14)),$C91*INDEX(SPPR!$E:$X,MATCH($A91,SPPR!$A:$A,0),14),""),"")</f>
        <v/>
      </c>
      <c r="R91">
        <f>IFERROR(IF(ISNUMBER(INDEX(SPPR!$E:$X,MATCH($A91,SPPR!$A:$A,0),15)),$C91*INDEX(SPPR!$E:$X,MATCH($A91,SPPR!$A:$A,0),15),""),"")</f>
        <v/>
      </c>
      <c r="S91">
        <f>IFERROR(IF(ISNUMBER(INDEX(SPPR!$E:$X,MATCH($A91,SPPR!$A:$A,0),16)),$C91*INDEX(SPPR!$E:$X,MATCH($A91,SPPR!$A:$A,0),16),""),"")</f>
        <v/>
      </c>
      <c r="T91">
        <f>IFERROR(IF(ISNUMBER(INDEX(SPPR!$E:$X,MATCH($A91,SPPR!$A:$A,0),17)),$C91*INDEX(SPPR!$E:$X,MATCH($A91,SPPR!$A:$A,0),17),""),"")</f>
        <v/>
      </c>
      <c r="U91">
        <f>IFERROR(IF(ISNUMBER(INDEX(SPPR!$E:$X,MATCH($A91,SPPR!$A:$A,0),18)),$C91*INDEX(SPPR!$E:$X,MATCH($A91,SPPR!$A:$A,0),18),""),"")</f>
        <v/>
      </c>
      <c r="V91">
        <f>IFERROR(IF(ISNUMBER(INDEX(SPPR!$E:$X,MATCH($A91,SPPR!$A:$A,0),19)),$C91*INDEX(SPPR!$E:$X,MATCH($A91,SPPR!$A:$A,0),19),""),"")</f>
        <v/>
      </c>
      <c r="W91">
        <f>IFERROR(IF(ISNUMBER(INDEX(SPPR!$E:$X,MATCH($A91,SPPR!$A:$A,0),20)),$C91*INDEX(SPPR!$E:$X,MATCH($A91,SPPR!$A:$A,0),20),""),"")</f>
        <v/>
      </c>
    </row>
    <row r="92">
      <c r="A92" t="inlineStr">
        <is>
          <t>Lophius</t>
        </is>
      </c>
      <c r="B92">
        <f>IFERROR(INDEX(SPPR!$D:$D,MATCH($A92,SPPR!$A:$A,0)),"")</f>
        <v/>
      </c>
      <c r="C92">
        <f>IFERROR(INDEX(Catch!$E:$BV,MATCH($A92,Catch!$A:$A,0),MATCH($B$4,Catch!$E$1:$BV$1,0)),0)</f>
        <v/>
      </c>
      <c r="D92">
        <f>IFERROR(IF(ISNUMBER(INDEX(SPPR!$E:$X,MATCH($A92,SPPR!$A:$A,0),1)),$C92*INDEX(SPPR!$E:$X,MATCH($A92,SPPR!$A:$A,0),1),""),"")</f>
        <v/>
      </c>
      <c r="E92">
        <f>IFERROR(IF(ISNUMBER(INDEX(SPPR!$E:$X,MATCH($A92,SPPR!$A:$A,0),2)),$C92*INDEX(SPPR!$E:$X,MATCH($A92,SPPR!$A:$A,0),2),""),"")</f>
        <v/>
      </c>
      <c r="F92">
        <f>IFERROR(IF(ISNUMBER(INDEX(SPPR!$E:$X,MATCH($A92,SPPR!$A:$A,0),3)),$C92*INDEX(SPPR!$E:$X,MATCH($A92,SPPR!$A:$A,0),3),""),"")</f>
        <v/>
      </c>
      <c r="G92">
        <f>IFERROR(IF(ISNUMBER(INDEX(SPPR!$E:$X,MATCH($A92,SPPR!$A:$A,0),4)),$C92*INDEX(SPPR!$E:$X,MATCH($A92,SPPR!$A:$A,0),4),""),"")</f>
        <v/>
      </c>
      <c r="H92">
        <f>IFERROR(IF(ISNUMBER(INDEX(SPPR!$E:$X,MATCH($A92,SPPR!$A:$A,0),5)),$C92*INDEX(SPPR!$E:$X,MATCH($A92,SPPR!$A:$A,0),5),""),"")</f>
        <v/>
      </c>
      <c r="I92">
        <f>IFERROR(IF(ISNUMBER(INDEX(SPPR!$E:$X,MATCH($A92,SPPR!$A:$A,0),6)),$C92*INDEX(SPPR!$E:$X,MATCH($A92,SPPR!$A:$A,0),6),""),"")</f>
        <v/>
      </c>
      <c r="J92">
        <f>IFERROR(IF(ISNUMBER(INDEX(SPPR!$E:$X,MATCH($A92,SPPR!$A:$A,0),7)),$C92*INDEX(SPPR!$E:$X,MATCH($A92,SPPR!$A:$A,0),7),""),"")</f>
        <v/>
      </c>
      <c r="K92">
        <f>IFERROR(IF(ISNUMBER(INDEX(SPPR!$E:$X,MATCH($A92,SPPR!$A:$A,0),8)),$C92*INDEX(SPPR!$E:$X,MATCH($A92,SPPR!$A:$A,0),8),""),"")</f>
        <v/>
      </c>
      <c r="L92">
        <f>IFERROR(IF(ISNUMBER(INDEX(SPPR!$E:$X,MATCH($A92,SPPR!$A:$A,0),9)),$C92*INDEX(SPPR!$E:$X,MATCH($A92,SPPR!$A:$A,0),9),""),"")</f>
        <v/>
      </c>
      <c r="M92">
        <f>IFERROR(IF(ISNUMBER(INDEX(SPPR!$E:$X,MATCH($A92,SPPR!$A:$A,0),10)),$C92*INDEX(SPPR!$E:$X,MATCH($A92,SPPR!$A:$A,0),10),""),"")</f>
        <v/>
      </c>
      <c r="N92">
        <f>IFERROR(IF(ISNUMBER(INDEX(SPPR!$E:$X,MATCH($A92,SPPR!$A:$A,0),11)),$C92*INDEX(SPPR!$E:$X,MATCH($A92,SPPR!$A:$A,0),11),""),"")</f>
        <v/>
      </c>
      <c r="O92">
        <f>IFERROR(IF(ISNUMBER(INDEX(SPPR!$E:$X,MATCH($A92,SPPR!$A:$A,0),12)),$C92*INDEX(SPPR!$E:$X,MATCH($A92,SPPR!$A:$A,0),12),""),"")</f>
        <v/>
      </c>
      <c r="P92">
        <f>IFERROR(IF(ISNUMBER(INDEX(SPPR!$E:$X,MATCH($A92,SPPR!$A:$A,0),13)),$C92*INDEX(SPPR!$E:$X,MATCH($A92,SPPR!$A:$A,0),13),""),"")</f>
        <v/>
      </c>
      <c r="Q92">
        <f>IFERROR(IF(ISNUMBER(INDEX(SPPR!$E:$X,MATCH($A92,SPPR!$A:$A,0),14)),$C92*INDEX(SPPR!$E:$X,MATCH($A92,SPPR!$A:$A,0),14),""),"")</f>
        <v/>
      </c>
      <c r="R92">
        <f>IFERROR(IF(ISNUMBER(INDEX(SPPR!$E:$X,MATCH($A92,SPPR!$A:$A,0),15)),$C92*INDEX(SPPR!$E:$X,MATCH($A92,SPPR!$A:$A,0),15),""),"")</f>
        <v/>
      </c>
      <c r="S92">
        <f>IFERROR(IF(ISNUMBER(INDEX(SPPR!$E:$X,MATCH($A92,SPPR!$A:$A,0),16)),$C92*INDEX(SPPR!$E:$X,MATCH($A92,SPPR!$A:$A,0),16),""),"")</f>
        <v/>
      </c>
      <c r="T92">
        <f>IFERROR(IF(ISNUMBER(INDEX(SPPR!$E:$X,MATCH($A92,SPPR!$A:$A,0),17)),$C92*INDEX(SPPR!$E:$X,MATCH($A92,SPPR!$A:$A,0),17),""),"")</f>
        <v/>
      </c>
      <c r="U92">
        <f>IFERROR(IF(ISNUMBER(INDEX(SPPR!$E:$X,MATCH($A92,SPPR!$A:$A,0),18)),$C92*INDEX(SPPR!$E:$X,MATCH($A92,SPPR!$A:$A,0),18),""),"")</f>
        <v/>
      </c>
      <c r="V92">
        <f>IFERROR(IF(ISNUMBER(INDEX(SPPR!$E:$X,MATCH($A92,SPPR!$A:$A,0),19)),$C92*INDEX(SPPR!$E:$X,MATCH($A92,SPPR!$A:$A,0),19),""),"")</f>
        <v/>
      </c>
      <c r="W92">
        <f>IFERROR(IF(ISNUMBER(INDEX(SPPR!$E:$X,MATCH($A92,SPPR!$A:$A,0),20)),$C92*INDEX(SPPR!$E:$X,MATCH($A92,SPPR!$A:$A,0),20),""),"")</f>
        <v/>
      </c>
    </row>
    <row r="93">
      <c r="A93" t="inlineStr">
        <is>
          <t>Brachyura</t>
        </is>
      </c>
      <c r="B93">
        <f>IFERROR(INDEX(SPPR!$D:$D,MATCH($A93,SPPR!$A:$A,0)),"")</f>
        <v/>
      </c>
      <c r="C93">
        <f>IFERROR(INDEX(Catch!$E:$BV,MATCH($A93,Catch!$A:$A,0),MATCH($B$4,Catch!$E$1:$BV$1,0)),0)</f>
        <v/>
      </c>
      <c r="D93">
        <f>IFERROR(IF(ISNUMBER(INDEX(SPPR!$E:$X,MATCH($A93,SPPR!$A:$A,0),1)),$C93*INDEX(SPPR!$E:$X,MATCH($A93,SPPR!$A:$A,0),1),""),"")</f>
        <v/>
      </c>
      <c r="E93">
        <f>IFERROR(IF(ISNUMBER(INDEX(SPPR!$E:$X,MATCH($A93,SPPR!$A:$A,0),2)),$C93*INDEX(SPPR!$E:$X,MATCH($A93,SPPR!$A:$A,0),2),""),"")</f>
        <v/>
      </c>
      <c r="F93">
        <f>IFERROR(IF(ISNUMBER(INDEX(SPPR!$E:$X,MATCH($A93,SPPR!$A:$A,0),3)),$C93*INDEX(SPPR!$E:$X,MATCH($A93,SPPR!$A:$A,0),3),""),"")</f>
        <v/>
      </c>
      <c r="G93">
        <f>IFERROR(IF(ISNUMBER(INDEX(SPPR!$E:$X,MATCH($A93,SPPR!$A:$A,0),4)),$C93*INDEX(SPPR!$E:$X,MATCH($A93,SPPR!$A:$A,0),4),""),"")</f>
        <v/>
      </c>
      <c r="H93">
        <f>IFERROR(IF(ISNUMBER(INDEX(SPPR!$E:$X,MATCH($A93,SPPR!$A:$A,0),5)),$C93*INDEX(SPPR!$E:$X,MATCH($A93,SPPR!$A:$A,0),5),""),"")</f>
        <v/>
      </c>
      <c r="I93">
        <f>IFERROR(IF(ISNUMBER(INDEX(SPPR!$E:$X,MATCH($A93,SPPR!$A:$A,0),6)),$C93*INDEX(SPPR!$E:$X,MATCH($A93,SPPR!$A:$A,0),6),""),"")</f>
        <v/>
      </c>
      <c r="J93">
        <f>IFERROR(IF(ISNUMBER(INDEX(SPPR!$E:$X,MATCH($A93,SPPR!$A:$A,0),7)),$C93*INDEX(SPPR!$E:$X,MATCH($A93,SPPR!$A:$A,0),7),""),"")</f>
        <v/>
      </c>
      <c r="K93">
        <f>IFERROR(IF(ISNUMBER(INDEX(SPPR!$E:$X,MATCH($A93,SPPR!$A:$A,0),8)),$C93*INDEX(SPPR!$E:$X,MATCH($A93,SPPR!$A:$A,0),8),""),"")</f>
        <v/>
      </c>
      <c r="L93">
        <f>IFERROR(IF(ISNUMBER(INDEX(SPPR!$E:$X,MATCH($A93,SPPR!$A:$A,0),9)),$C93*INDEX(SPPR!$E:$X,MATCH($A93,SPPR!$A:$A,0),9),""),"")</f>
        <v/>
      </c>
      <c r="M93">
        <f>IFERROR(IF(ISNUMBER(INDEX(SPPR!$E:$X,MATCH($A93,SPPR!$A:$A,0),10)),$C93*INDEX(SPPR!$E:$X,MATCH($A93,SPPR!$A:$A,0),10),""),"")</f>
        <v/>
      </c>
      <c r="N93">
        <f>IFERROR(IF(ISNUMBER(INDEX(SPPR!$E:$X,MATCH($A93,SPPR!$A:$A,0),11)),$C93*INDEX(SPPR!$E:$X,MATCH($A93,SPPR!$A:$A,0),11),""),"")</f>
        <v/>
      </c>
      <c r="O93">
        <f>IFERROR(IF(ISNUMBER(INDEX(SPPR!$E:$X,MATCH($A93,SPPR!$A:$A,0),12)),$C93*INDEX(SPPR!$E:$X,MATCH($A93,SPPR!$A:$A,0),12),""),"")</f>
        <v/>
      </c>
      <c r="P93">
        <f>IFERROR(IF(ISNUMBER(INDEX(SPPR!$E:$X,MATCH($A93,SPPR!$A:$A,0),13)),$C93*INDEX(SPPR!$E:$X,MATCH($A93,SPPR!$A:$A,0),13),""),"")</f>
        <v/>
      </c>
      <c r="Q93">
        <f>IFERROR(IF(ISNUMBER(INDEX(SPPR!$E:$X,MATCH($A93,SPPR!$A:$A,0),14)),$C93*INDEX(SPPR!$E:$X,MATCH($A93,SPPR!$A:$A,0),14),""),"")</f>
        <v/>
      </c>
      <c r="R93">
        <f>IFERROR(IF(ISNUMBER(INDEX(SPPR!$E:$X,MATCH($A93,SPPR!$A:$A,0),15)),$C93*INDEX(SPPR!$E:$X,MATCH($A93,SPPR!$A:$A,0),15),""),"")</f>
        <v/>
      </c>
      <c r="S93">
        <f>IFERROR(IF(ISNUMBER(INDEX(SPPR!$E:$X,MATCH($A93,SPPR!$A:$A,0),16)),$C93*INDEX(SPPR!$E:$X,MATCH($A93,SPPR!$A:$A,0),16),""),"")</f>
        <v/>
      </c>
      <c r="T93">
        <f>IFERROR(IF(ISNUMBER(INDEX(SPPR!$E:$X,MATCH($A93,SPPR!$A:$A,0),17)),$C93*INDEX(SPPR!$E:$X,MATCH($A93,SPPR!$A:$A,0),17),""),"")</f>
        <v/>
      </c>
      <c r="U93">
        <f>IFERROR(IF(ISNUMBER(INDEX(SPPR!$E:$X,MATCH($A93,SPPR!$A:$A,0),18)),$C93*INDEX(SPPR!$E:$X,MATCH($A93,SPPR!$A:$A,0),18),""),"")</f>
        <v/>
      </c>
      <c r="V93">
        <f>IFERROR(IF(ISNUMBER(INDEX(SPPR!$E:$X,MATCH($A93,SPPR!$A:$A,0),19)),$C93*INDEX(SPPR!$E:$X,MATCH($A93,SPPR!$A:$A,0),19),""),"")</f>
        <v/>
      </c>
      <c r="W93">
        <f>IFERROR(IF(ISNUMBER(INDEX(SPPR!$E:$X,MATCH($A93,SPPR!$A:$A,0),20)),$C93*INDEX(SPPR!$E:$X,MATCH($A93,SPPR!$A:$A,0),20),""),"")</f>
        <v/>
      </c>
    </row>
    <row r="94">
      <c r="A94" t="inlineStr">
        <is>
          <t>Hippoglossoides platessoides</t>
        </is>
      </c>
      <c r="B94">
        <f>IFERROR(INDEX(SPPR!$D:$D,MATCH($A94,SPPR!$A:$A,0)),"")</f>
        <v/>
      </c>
      <c r="C94">
        <f>IFERROR(INDEX(Catch!$E:$BV,MATCH($A94,Catch!$A:$A,0),MATCH($B$4,Catch!$E$1:$BV$1,0)),0)</f>
        <v/>
      </c>
      <c r="D94">
        <f>IFERROR(IF(ISNUMBER(INDEX(SPPR!$E:$X,MATCH($A94,SPPR!$A:$A,0),1)),$C94*INDEX(SPPR!$E:$X,MATCH($A94,SPPR!$A:$A,0),1),""),"")</f>
        <v/>
      </c>
      <c r="E94">
        <f>IFERROR(IF(ISNUMBER(INDEX(SPPR!$E:$X,MATCH($A94,SPPR!$A:$A,0),2)),$C94*INDEX(SPPR!$E:$X,MATCH($A94,SPPR!$A:$A,0),2),""),"")</f>
        <v/>
      </c>
      <c r="F94">
        <f>IFERROR(IF(ISNUMBER(INDEX(SPPR!$E:$X,MATCH($A94,SPPR!$A:$A,0),3)),$C94*INDEX(SPPR!$E:$X,MATCH($A94,SPPR!$A:$A,0),3),""),"")</f>
        <v/>
      </c>
      <c r="G94">
        <f>IFERROR(IF(ISNUMBER(INDEX(SPPR!$E:$X,MATCH($A94,SPPR!$A:$A,0),4)),$C94*INDEX(SPPR!$E:$X,MATCH($A94,SPPR!$A:$A,0),4),""),"")</f>
        <v/>
      </c>
      <c r="H94">
        <f>IFERROR(IF(ISNUMBER(INDEX(SPPR!$E:$X,MATCH($A94,SPPR!$A:$A,0),5)),$C94*INDEX(SPPR!$E:$X,MATCH($A94,SPPR!$A:$A,0),5),""),"")</f>
        <v/>
      </c>
      <c r="I94">
        <f>IFERROR(IF(ISNUMBER(INDEX(SPPR!$E:$X,MATCH($A94,SPPR!$A:$A,0),6)),$C94*INDEX(SPPR!$E:$X,MATCH($A94,SPPR!$A:$A,0),6),""),"")</f>
        <v/>
      </c>
      <c r="J94">
        <f>IFERROR(IF(ISNUMBER(INDEX(SPPR!$E:$X,MATCH($A94,SPPR!$A:$A,0),7)),$C94*INDEX(SPPR!$E:$X,MATCH($A94,SPPR!$A:$A,0),7),""),"")</f>
        <v/>
      </c>
      <c r="K94">
        <f>IFERROR(IF(ISNUMBER(INDEX(SPPR!$E:$X,MATCH($A94,SPPR!$A:$A,0),8)),$C94*INDEX(SPPR!$E:$X,MATCH($A94,SPPR!$A:$A,0),8),""),"")</f>
        <v/>
      </c>
      <c r="L94">
        <f>IFERROR(IF(ISNUMBER(INDEX(SPPR!$E:$X,MATCH($A94,SPPR!$A:$A,0),9)),$C94*INDEX(SPPR!$E:$X,MATCH($A94,SPPR!$A:$A,0),9),""),"")</f>
        <v/>
      </c>
      <c r="M94">
        <f>IFERROR(IF(ISNUMBER(INDEX(SPPR!$E:$X,MATCH($A94,SPPR!$A:$A,0),10)),$C94*INDEX(SPPR!$E:$X,MATCH($A94,SPPR!$A:$A,0),10),""),"")</f>
        <v/>
      </c>
      <c r="N94">
        <f>IFERROR(IF(ISNUMBER(INDEX(SPPR!$E:$X,MATCH($A94,SPPR!$A:$A,0),11)),$C94*INDEX(SPPR!$E:$X,MATCH($A94,SPPR!$A:$A,0),11),""),"")</f>
        <v/>
      </c>
      <c r="O94">
        <f>IFERROR(IF(ISNUMBER(INDEX(SPPR!$E:$X,MATCH($A94,SPPR!$A:$A,0),12)),$C94*INDEX(SPPR!$E:$X,MATCH($A94,SPPR!$A:$A,0),12),""),"")</f>
        <v/>
      </c>
      <c r="P94">
        <f>IFERROR(IF(ISNUMBER(INDEX(SPPR!$E:$X,MATCH($A94,SPPR!$A:$A,0),13)),$C94*INDEX(SPPR!$E:$X,MATCH($A94,SPPR!$A:$A,0),13),""),"")</f>
        <v/>
      </c>
      <c r="Q94">
        <f>IFERROR(IF(ISNUMBER(INDEX(SPPR!$E:$X,MATCH($A94,SPPR!$A:$A,0),14)),$C94*INDEX(SPPR!$E:$X,MATCH($A94,SPPR!$A:$A,0),14),""),"")</f>
        <v/>
      </c>
      <c r="R94">
        <f>IFERROR(IF(ISNUMBER(INDEX(SPPR!$E:$X,MATCH($A94,SPPR!$A:$A,0),15)),$C94*INDEX(SPPR!$E:$X,MATCH($A94,SPPR!$A:$A,0),15),""),"")</f>
        <v/>
      </c>
      <c r="S94">
        <f>IFERROR(IF(ISNUMBER(INDEX(SPPR!$E:$X,MATCH($A94,SPPR!$A:$A,0),16)),$C94*INDEX(SPPR!$E:$X,MATCH($A94,SPPR!$A:$A,0),16),""),"")</f>
        <v/>
      </c>
      <c r="T94">
        <f>IFERROR(IF(ISNUMBER(INDEX(SPPR!$E:$X,MATCH($A94,SPPR!$A:$A,0),17)),$C94*INDEX(SPPR!$E:$X,MATCH($A94,SPPR!$A:$A,0),17),""),"")</f>
        <v/>
      </c>
      <c r="U94">
        <f>IFERROR(IF(ISNUMBER(INDEX(SPPR!$E:$X,MATCH($A94,SPPR!$A:$A,0),18)),$C94*INDEX(SPPR!$E:$X,MATCH($A94,SPPR!$A:$A,0),18),""),"")</f>
        <v/>
      </c>
      <c r="V94">
        <f>IFERROR(IF(ISNUMBER(INDEX(SPPR!$E:$X,MATCH($A94,SPPR!$A:$A,0),19)),$C94*INDEX(SPPR!$E:$X,MATCH($A94,SPPR!$A:$A,0),19),""),"")</f>
        <v/>
      </c>
      <c r="W94">
        <f>IFERROR(IF(ISNUMBER(INDEX(SPPR!$E:$X,MATCH($A94,SPPR!$A:$A,0),20)),$C94*INDEX(SPPR!$E:$X,MATCH($A94,SPPR!$A:$A,0),20),""),"")</f>
        <v/>
      </c>
    </row>
    <row r="95">
      <c r="A95" t="inlineStr">
        <is>
          <t>Ensis siliqua</t>
        </is>
      </c>
      <c r="B95">
        <f>IFERROR(INDEX(SPPR!$D:$D,MATCH($A95,SPPR!$A:$A,0)),"")</f>
        <v/>
      </c>
      <c r="C95">
        <f>IFERROR(INDEX(Catch!$E:$BV,MATCH($A95,Catch!$A:$A,0),MATCH($B$4,Catch!$E$1:$BV$1,0)),0)</f>
        <v/>
      </c>
      <c r="D95">
        <f>IFERROR(IF(ISNUMBER(INDEX(SPPR!$E:$X,MATCH($A95,SPPR!$A:$A,0),1)),$C95*INDEX(SPPR!$E:$X,MATCH($A95,SPPR!$A:$A,0),1),""),"")</f>
        <v/>
      </c>
      <c r="E95">
        <f>IFERROR(IF(ISNUMBER(INDEX(SPPR!$E:$X,MATCH($A95,SPPR!$A:$A,0),2)),$C95*INDEX(SPPR!$E:$X,MATCH($A95,SPPR!$A:$A,0),2),""),"")</f>
        <v/>
      </c>
      <c r="F95">
        <f>IFERROR(IF(ISNUMBER(INDEX(SPPR!$E:$X,MATCH($A95,SPPR!$A:$A,0),3)),$C95*INDEX(SPPR!$E:$X,MATCH($A95,SPPR!$A:$A,0),3),""),"")</f>
        <v/>
      </c>
      <c r="G95">
        <f>IFERROR(IF(ISNUMBER(INDEX(SPPR!$E:$X,MATCH($A95,SPPR!$A:$A,0),4)),$C95*INDEX(SPPR!$E:$X,MATCH($A95,SPPR!$A:$A,0),4),""),"")</f>
        <v/>
      </c>
      <c r="H95">
        <f>IFERROR(IF(ISNUMBER(INDEX(SPPR!$E:$X,MATCH($A95,SPPR!$A:$A,0),5)),$C95*INDEX(SPPR!$E:$X,MATCH($A95,SPPR!$A:$A,0),5),""),"")</f>
        <v/>
      </c>
      <c r="I95">
        <f>IFERROR(IF(ISNUMBER(INDEX(SPPR!$E:$X,MATCH($A95,SPPR!$A:$A,0),6)),$C95*INDEX(SPPR!$E:$X,MATCH($A95,SPPR!$A:$A,0),6),""),"")</f>
        <v/>
      </c>
      <c r="J95">
        <f>IFERROR(IF(ISNUMBER(INDEX(SPPR!$E:$X,MATCH($A95,SPPR!$A:$A,0),7)),$C95*INDEX(SPPR!$E:$X,MATCH($A95,SPPR!$A:$A,0),7),""),"")</f>
        <v/>
      </c>
      <c r="K95">
        <f>IFERROR(IF(ISNUMBER(INDEX(SPPR!$E:$X,MATCH($A95,SPPR!$A:$A,0),8)),$C95*INDEX(SPPR!$E:$X,MATCH($A95,SPPR!$A:$A,0),8),""),"")</f>
        <v/>
      </c>
      <c r="L95">
        <f>IFERROR(IF(ISNUMBER(INDEX(SPPR!$E:$X,MATCH($A95,SPPR!$A:$A,0),9)),$C95*INDEX(SPPR!$E:$X,MATCH($A95,SPPR!$A:$A,0),9),""),"")</f>
        <v/>
      </c>
      <c r="M95">
        <f>IFERROR(IF(ISNUMBER(INDEX(SPPR!$E:$X,MATCH($A95,SPPR!$A:$A,0),10)),$C95*INDEX(SPPR!$E:$X,MATCH($A95,SPPR!$A:$A,0),10),""),"")</f>
        <v/>
      </c>
      <c r="N95">
        <f>IFERROR(IF(ISNUMBER(INDEX(SPPR!$E:$X,MATCH($A95,SPPR!$A:$A,0),11)),$C95*INDEX(SPPR!$E:$X,MATCH($A95,SPPR!$A:$A,0),11),""),"")</f>
        <v/>
      </c>
      <c r="O95">
        <f>IFERROR(IF(ISNUMBER(INDEX(SPPR!$E:$X,MATCH($A95,SPPR!$A:$A,0),12)),$C95*INDEX(SPPR!$E:$X,MATCH($A95,SPPR!$A:$A,0),12),""),"")</f>
        <v/>
      </c>
      <c r="P95">
        <f>IFERROR(IF(ISNUMBER(INDEX(SPPR!$E:$X,MATCH($A95,SPPR!$A:$A,0),13)),$C95*INDEX(SPPR!$E:$X,MATCH($A95,SPPR!$A:$A,0),13),""),"")</f>
        <v/>
      </c>
      <c r="Q95">
        <f>IFERROR(IF(ISNUMBER(INDEX(SPPR!$E:$X,MATCH($A95,SPPR!$A:$A,0),14)),$C95*INDEX(SPPR!$E:$X,MATCH($A95,SPPR!$A:$A,0),14),""),"")</f>
        <v/>
      </c>
      <c r="R95">
        <f>IFERROR(IF(ISNUMBER(INDEX(SPPR!$E:$X,MATCH($A95,SPPR!$A:$A,0),15)),$C95*INDEX(SPPR!$E:$X,MATCH($A95,SPPR!$A:$A,0),15),""),"")</f>
        <v/>
      </c>
      <c r="S95">
        <f>IFERROR(IF(ISNUMBER(INDEX(SPPR!$E:$X,MATCH($A95,SPPR!$A:$A,0),16)),$C95*INDEX(SPPR!$E:$X,MATCH($A95,SPPR!$A:$A,0),16),""),"")</f>
        <v/>
      </c>
      <c r="T95">
        <f>IFERROR(IF(ISNUMBER(INDEX(SPPR!$E:$X,MATCH($A95,SPPR!$A:$A,0),17)),$C95*INDEX(SPPR!$E:$X,MATCH($A95,SPPR!$A:$A,0),17),""),"")</f>
        <v/>
      </c>
      <c r="U95">
        <f>IFERROR(IF(ISNUMBER(INDEX(SPPR!$E:$X,MATCH($A95,SPPR!$A:$A,0),18)),$C95*INDEX(SPPR!$E:$X,MATCH($A95,SPPR!$A:$A,0),18),""),"")</f>
        <v/>
      </c>
      <c r="V95">
        <f>IFERROR(IF(ISNUMBER(INDEX(SPPR!$E:$X,MATCH($A95,SPPR!$A:$A,0),19)),$C95*INDEX(SPPR!$E:$X,MATCH($A95,SPPR!$A:$A,0),19),""),"")</f>
        <v/>
      </c>
      <c r="W95">
        <f>IFERROR(IF(ISNUMBER(INDEX(SPPR!$E:$X,MATCH($A95,SPPR!$A:$A,0),20)),$C95*INDEX(SPPR!$E:$X,MATCH($A95,SPPR!$A:$A,0),20),""),"")</f>
        <v/>
      </c>
    </row>
    <row r="96">
      <c r="A96" t="inlineStr">
        <is>
          <t>Scophthalmidae</t>
        </is>
      </c>
      <c r="B96">
        <f>IFERROR(INDEX(SPPR!$D:$D,MATCH($A96,SPPR!$A:$A,0)),"")</f>
        <v/>
      </c>
      <c r="C96">
        <f>IFERROR(INDEX(Catch!$E:$BV,MATCH($A96,Catch!$A:$A,0),MATCH($B$4,Catch!$E$1:$BV$1,0)),0)</f>
        <v/>
      </c>
      <c r="D96">
        <f>IFERROR(IF(ISNUMBER(INDEX(SPPR!$E:$X,MATCH($A96,SPPR!$A:$A,0),1)),$C96*INDEX(SPPR!$E:$X,MATCH($A96,SPPR!$A:$A,0),1),""),"")</f>
        <v/>
      </c>
      <c r="E96">
        <f>IFERROR(IF(ISNUMBER(INDEX(SPPR!$E:$X,MATCH($A96,SPPR!$A:$A,0),2)),$C96*INDEX(SPPR!$E:$X,MATCH($A96,SPPR!$A:$A,0),2),""),"")</f>
        <v/>
      </c>
      <c r="F96">
        <f>IFERROR(IF(ISNUMBER(INDEX(SPPR!$E:$X,MATCH($A96,SPPR!$A:$A,0),3)),$C96*INDEX(SPPR!$E:$X,MATCH($A96,SPPR!$A:$A,0),3),""),"")</f>
        <v/>
      </c>
      <c r="G96">
        <f>IFERROR(IF(ISNUMBER(INDEX(SPPR!$E:$X,MATCH($A96,SPPR!$A:$A,0),4)),$C96*INDEX(SPPR!$E:$X,MATCH($A96,SPPR!$A:$A,0),4),""),"")</f>
        <v/>
      </c>
      <c r="H96">
        <f>IFERROR(IF(ISNUMBER(INDEX(SPPR!$E:$X,MATCH($A96,SPPR!$A:$A,0),5)),$C96*INDEX(SPPR!$E:$X,MATCH($A96,SPPR!$A:$A,0),5),""),"")</f>
        <v/>
      </c>
      <c r="I96">
        <f>IFERROR(IF(ISNUMBER(INDEX(SPPR!$E:$X,MATCH($A96,SPPR!$A:$A,0),6)),$C96*INDEX(SPPR!$E:$X,MATCH($A96,SPPR!$A:$A,0),6),""),"")</f>
        <v/>
      </c>
      <c r="J96">
        <f>IFERROR(IF(ISNUMBER(INDEX(SPPR!$E:$X,MATCH($A96,SPPR!$A:$A,0),7)),$C96*INDEX(SPPR!$E:$X,MATCH($A96,SPPR!$A:$A,0),7),""),"")</f>
        <v/>
      </c>
      <c r="K96">
        <f>IFERROR(IF(ISNUMBER(INDEX(SPPR!$E:$X,MATCH($A96,SPPR!$A:$A,0),8)),$C96*INDEX(SPPR!$E:$X,MATCH($A96,SPPR!$A:$A,0),8),""),"")</f>
        <v/>
      </c>
      <c r="L96">
        <f>IFERROR(IF(ISNUMBER(INDEX(SPPR!$E:$X,MATCH($A96,SPPR!$A:$A,0),9)),$C96*INDEX(SPPR!$E:$X,MATCH($A96,SPPR!$A:$A,0),9),""),"")</f>
        <v/>
      </c>
      <c r="M96">
        <f>IFERROR(IF(ISNUMBER(INDEX(SPPR!$E:$X,MATCH($A96,SPPR!$A:$A,0),10)),$C96*INDEX(SPPR!$E:$X,MATCH($A96,SPPR!$A:$A,0),10),""),"")</f>
        <v/>
      </c>
      <c r="N96">
        <f>IFERROR(IF(ISNUMBER(INDEX(SPPR!$E:$X,MATCH($A96,SPPR!$A:$A,0),11)),$C96*INDEX(SPPR!$E:$X,MATCH($A96,SPPR!$A:$A,0),11),""),"")</f>
        <v/>
      </c>
      <c r="O96">
        <f>IFERROR(IF(ISNUMBER(INDEX(SPPR!$E:$X,MATCH($A96,SPPR!$A:$A,0),12)),$C96*INDEX(SPPR!$E:$X,MATCH($A96,SPPR!$A:$A,0),12),""),"")</f>
        <v/>
      </c>
      <c r="P96">
        <f>IFERROR(IF(ISNUMBER(INDEX(SPPR!$E:$X,MATCH($A96,SPPR!$A:$A,0),13)),$C96*INDEX(SPPR!$E:$X,MATCH($A96,SPPR!$A:$A,0),13),""),"")</f>
        <v/>
      </c>
      <c r="Q96">
        <f>IFERROR(IF(ISNUMBER(INDEX(SPPR!$E:$X,MATCH($A96,SPPR!$A:$A,0),14)),$C96*INDEX(SPPR!$E:$X,MATCH($A96,SPPR!$A:$A,0),14),""),"")</f>
        <v/>
      </c>
      <c r="R96">
        <f>IFERROR(IF(ISNUMBER(INDEX(SPPR!$E:$X,MATCH($A96,SPPR!$A:$A,0),15)),$C96*INDEX(SPPR!$E:$X,MATCH($A96,SPPR!$A:$A,0),15),""),"")</f>
        <v/>
      </c>
      <c r="S96">
        <f>IFERROR(IF(ISNUMBER(INDEX(SPPR!$E:$X,MATCH($A96,SPPR!$A:$A,0),16)),$C96*INDEX(SPPR!$E:$X,MATCH($A96,SPPR!$A:$A,0),16),""),"")</f>
        <v/>
      </c>
      <c r="T96">
        <f>IFERROR(IF(ISNUMBER(INDEX(SPPR!$E:$X,MATCH($A96,SPPR!$A:$A,0),17)),$C96*INDEX(SPPR!$E:$X,MATCH($A96,SPPR!$A:$A,0),17),""),"")</f>
        <v/>
      </c>
      <c r="U96">
        <f>IFERROR(IF(ISNUMBER(INDEX(SPPR!$E:$X,MATCH($A96,SPPR!$A:$A,0),18)),$C96*INDEX(SPPR!$E:$X,MATCH($A96,SPPR!$A:$A,0),18),""),"")</f>
        <v/>
      </c>
      <c r="V96">
        <f>IFERROR(IF(ISNUMBER(INDEX(SPPR!$E:$X,MATCH($A96,SPPR!$A:$A,0),19)),$C96*INDEX(SPPR!$E:$X,MATCH($A96,SPPR!$A:$A,0),19),""),"")</f>
        <v/>
      </c>
      <c r="W96">
        <f>IFERROR(IF(ISNUMBER(INDEX(SPPR!$E:$X,MATCH($A96,SPPR!$A:$A,0),20)),$C96*INDEX(SPPR!$E:$X,MATCH($A96,SPPR!$A:$A,0),20),""),"")</f>
        <v/>
      </c>
    </row>
    <row r="97">
      <c r="A97" t="inlineStr">
        <is>
          <t>Reinhardtius hippoglossoides</t>
        </is>
      </c>
      <c r="B97">
        <f>IFERROR(INDEX(SPPR!$D:$D,MATCH($A97,SPPR!$A:$A,0)),"")</f>
        <v/>
      </c>
      <c r="C97">
        <f>IFERROR(INDEX(Catch!$E:$BV,MATCH($A97,Catch!$A:$A,0),MATCH($B$4,Catch!$E$1:$BV$1,0)),0)</f>
        <v/>
      </c>
      <c r="D97">
        <f>IFERROR(IF(ISNUMBER(INDEX(SPPR!$E:$X,MATCH($A97,SPPR!$A:$A,0),1)),$C97*INDEX(SPPR!$E:$X,MATCH($A97,SPPR!$A:$A,0),1),""),"")</f>
        <v/>
      </c>
      <c r="E97">
        <f>IFERROR(IF(ISNUMBER(INDEX(SPPR!$E:$X,MATCH($A97,SPPR!$A:$A,0),2)),$C97*INDEX(SPPR!$E:$X,MATCH($A97,SPPR!$A:$A,0),2),""),"")</f>
        <v/>
      </c>
      <c r="F97">
        <f>IFERROR(IF(ISNUMBER(INDEX(SPPR!$E:$X,MATCH($A97,SPPR!$A:$A,0),3)),$C97*INDEX(SPPR!$E:$X,MATCH($A97,SPPR!$A:$A,0),3),""),"")</f>
        <v/>
      </c>
      <c r="G97">
        <f>IFERROR(IF(ISNUMBER(INDEX(SPPR!$E:$X,MATCH($A97,SPPR!$A:$A,0),4)),$C97*INDEX(SPPR!$E:$X,MATCH($A97,SPPR!$A:$A,0),4),""),"")</f>
        <v/>
      </c>
      <c r="H97">
        <f>IFERROR(IF(ISNUMBER(INDEX(SPPR!$E:$X,MATCH($A97,SPPR!$A:$A,0),5)),$C97*INDEX(SPPR!$E:$X,MATCH($A97,SPPR!$A:$A,0),5),""),"")</f>
        <v/>
      </c>
      <c r="I97">
        <f>IFERROR(IF(ISNUMBER(INDEX(SPPR!$E:$X,MATCH($A97,SPPR!$A:$A,0),6)),$C97*INDEX(SPPR!$E:$X,MATCH($A97,SPPR!$A:$A,0),6),""),"")</f>
        <v/>
      </c>
      <c r="J97">
        <f>IFERROR(IF(ISNUMBER(INDEX(SPPR!$E:$X,MATCH($A97,SPPR!$A:$A,0),7)),$C97*INDEX(SPPR!$E:$X,MATCH($A97,SPPR!$A:$A,0),7),""),"")</f>
        <v/>
      </c>
      <c r="K97">
        <f>IFERROR(IF(ISNUMBER(INDEX(SPPR!$E:$X,MATCH($A97,SPPR!$A:$A,0),8)),$C97*INDEX(SPPR!$E:$X,MATCH($A97,SPPR!$A:$A,0),8),""),"")</f>
        <v/>
      </c>
      <c r="L97">
        <f>IFERROR(IF(ISNUMBER(INDEX(SPPR!$E:$X,MATCH($A97,SPPR!$A:$A,0),9)),$C97*INDEX(SPPR!$E:$X,MATCH($A97,SPPR!$A:$A,0),9),""),"")</f>
        <v/>
      </c>
      <c r="M97">
        <f>IFERROR(IF(ISNUMBER(INDEX(SPPR!$E:$X,MATCH($A97,SPPR!$A:$A,0),10)),$C97*INDEX(SPPR!$E:$X,MATCH($A97,SPPR!$A:$A,0),10),""),"")</f>
        <v/>
      </c>
      <c r="N97">
        <f>IFERROR(IF(ISNUMBER(INDEX(SPPR!$E:$X,MATCH($A97,SPPR!$A:$A,0),11)),$C97*INDEX(SPPR!$E:$X,MATCH($A97,SPPR!$A:$A,0),11),""),"")</f>
        <v/>
      </c>
      <c r="O97">
        <f>IFERROR(IF(ISNUMBER(INDEX(SPPR!$E:$X,MATCH($A97,SPPR!$A:$A,0),12)),$C97*INDEX(SPPR!$E:$X,MATCH($A97,SPPR!$A:$A,0),12),""),"")</f>
        <v/>
      </c>
      <c r="P97">
        <f>IFERROR(IF(ISNUMBER(INDEX(SPPR!$E:$X,MATCH($A97,SPPR!$A:$A,0),13)),$C97*INDEX(SPPR!$E:$X,MATCH($A97,SPPR!$A:$A,0),13),""),"")</f>
        <v/>
      </c>
      <c r="Q97">
        <f>IFERROR(IF(ISNUMBER(INDEX(SPPR!$E:$X,MATCH($A97,SPPR!$A:$A,0),14)),$C97*INDEX(SPPR!$E:$X,MATCH($A97,SPPR!$A:$A,0),14),""),"")</f>
        <v/>
      </c>
      <c r="R97">
        <f>IFERROR(IF(ISNUMBER(INDEX(SPPR!$E:$X,MATCH($A97,SPPR!$A:$A,0),15)),$C97*INDEX(SPPR!$E:$X,MATCH($A97,SPPR!$A:$A,0),15),""),"")</f>
        <v/>
      </c>
      <c r="S97">
        <f>IFERROR(IF(ISNUMBER(INDEX(SPPR!$E:$X,MATCH($A97,SPPR!$A:$A,0),16)),$C97*INDEX(SPPR!$E:$X,MATCH($A97,SPPR!$A:$A,0),16),""),"")</f>
        <v/>
      </c>
      <c r="T97">
        <f>IFERROR(IF(ISNUMBER(INDEX(SPPR!$E:$X,MATCH($A97,SPPR!$A:$A,0),17)),$C97*INDEX(SPPR!$E:$X,MATCH($A97,SPPR!$A:$A,0),17),""),"")</f>
        <v/>
      </c>
      <c r="U97">
        <f>IFERROR(IF(ISNUMBER(INDEX(SPPR!$E:$X,MATCH($A97,SPPR!$A:$A,0),18)),$C97*INDEX(SPPR!$E:$X,MATCH($A97,SPPR!$A:$A,0),18),""),"")</f>
        <v/>
      </c>
      <c r="V97">
        <f>IFERROR(IF(ISNUMBER(INDEX(SPPR!$E:$X,MATCH($A97,SPPR!$A:$A,0),19)),$C97*INDEX(SPPR!$E:$X,MATCH($A97,SPPR!$A:$A,0),19),""),"")</f>
        <v/>
      </c>
      <c r="W97">
        <f>IFERROR(IF(ISNUMBER(INDEX(SPPR!$E:$X,MATCH($A97,SPPR!$A:$A,0),20)),$C97*INDEX(SPPR!$E:$X,MATCH($A97,SPPR!$A:$A,0),20),""),"")</f>
        <v/>
      </c>
    </row>
    <row r="98">
      <c r="A98" t="inlineStr">
        <is>
          <t>Engraulis encrasicolus</t>
        </is>
      </c>
      <c r="B98">
        <f>IFERROR(INDEX(SPPR!$D:$D,MATCH($A98,SPPR!$A:$A,0)),"")</f>
        <v/>
      </c>
      <c r="C98">
        <f>IFERROR(INDEX(Catch!$E:$BV,MATCH($A98,Catch!$A:$A,0),MATCH($B$4,Catch!$E$1:$BV$1,0)),0)</f>
        <v/>
      </c>
      <c r="D98">
        <f>IFERROR(IF(ISNUMBER(INDEX(SPPR!$E:$X,MATCH($A98,SPPR!$A:$A,0),1)),$C98*INDEX(SPPR!$E:$X,MATCH($A98,SPPR!$A:$A,0),1),""),"")</f>
        <v/>
      </c>
      <c r="E98">
        <f>IFERROR(IF(ISNUMBER(INDEX(SPPR!$E:$X,MATCH($A98,SPPR!$A:$A,0),2)),$C98*INDEX(SPPR!$E:$X,MATCH($A98,SPPR!$A:$A,0),2),""),"")</f>
        <v/>
      </c>
      <c r="F98">
        <f>IFERROR(IF(ISNUMBER(INDEX(SPPR!$E:$X,MATCH($A98,SPPR!$A:$A,0),3)),$C98*INDEX(SPPR!$E:$X,MATCH($A98,SPPR!$A:$A,0),3),""),"")</f>
        <v/>
      </c>
      <c r="G98">
        <f>IFERROR(IF(ISNUMBER(INDEX(SPPR!$E:$X,MATCH($A98,SPPR!$A:$A,0),4)),$C98*INDEX(SPPR!$E:$X,MATCH($A98,SPPR!$A:$A,0),4),""),"")</f>
        <v/>
      </c>
      <c r="H98">
        <f>IFERROR(IF(ISNUMBER(INDEX(SPPR!$E:$X,MATCH($A98,SPPR!$A:$A,0),5)),$C98*INDEX(SPPR!$E:$X,MATCH($A98,SPPR!$A:$A,0),5),""),"")</f>
        <v/>
      </c>
      <c r="I98">
        <f>IFERROR(IF(ISNUMBER(INDEX(SPPR!$E:$X,MATCH($A98,SPPR!$A:$A,0),6)),$C98*INDEX(SPPR!$E:$X,MATCH($A98,SPPR!$A:$A,0),6),""),"")</f>
        <v/>
      </c>
      <c r="J98">
        <f>IFERROR(IF(ISNUMBER(INDEX(SPPR!$E:$X,MATCH($A98,SPPR!$A:$A,0),7)),$C98*INDEX(SPPR!$E:$X,MATCH($A98,SPPR!$A:$A,0),7),""),"")</f>
        <v/>
      </c>
      <c r="K98">
        <f>IFERROR(IF(ISNUMBER(INDEX(SPPR!$E:$X,MATCH($A98,SPPR!$A:$A,0),8)),$C98*INDEX(SPPR!$E:$X,MATCH($A98,SPPR!$A:$A,0),8),""),"")</f>
        <v/>
      </c>
      <c r="L98">
        <f>IFERROR(IF(ISNUMBER(INDEX(SPPR!$E:$X,MATCH($A98,SPPR!$A:$A,0),9)),$C98*INDEX(SPPR!$E:$X,MATCH($A98,SPPR!$A:$A,0),9),""),"")</f>
        <v/>
      </c>
      <c r="M98">
        <f>IFERROR(IF(ISNUMBER(INDEX(SPPR!$E:$X,MATCH($A98,SPPR!$A:$A,0),10)),$C98*INDEX(SPPR!$E:$X,MATCH($A98,SPPR!$A:$A,0),10),""),"")</f>
        <v/>
      </c>
      <c r="N98">
        <f>IFERROR(IF(ISNUMBER(INDEX(SPPR!$E:$X,MATCH($A98,SPPR!$A:$A,0),11)),$C98*INDEX(SPPR!$E:$X,MATCH($A98,SPPR!$A:$A,0),11),""),"")</f>
        <v/>
      </c>
      <c r="O98">
        <f>IFERROR(IF(ISNUMBER(INDEX(SPPR!$E:$X,MATCH($A98,SPPR!$A:$A,0),12)),$C98*INDEX(SPPR!$E:$X,MATCH($A98,SPPR!$A:$A,0),12),""),"")</f>
        <v/>
      </c>
      <c r="P98">
        <f>IFERROR(IF(ISNUMBER(INDEX(SPPR!$E:$X,MATCH($A98,SPPR!$A:$A,0),13)),$C98*INDEX(SPPR!$E:$X,MATCH($A98,SPPR!$A:$A,0),13),""),"")</f>
        <v/>
      </c>
      <c r="Q98">
        <f>IFERROR(IF(ISNUMBER(INDEX(SPPR!$E:$X,MATCH($A98,SPPR!$A:$A,0),14)),$C98*INDEX(SPPR!$E:$X,MATCH($A98,SPPR!$A:$A,0),14),""),"")</f>
        <v/>
      </c>
      <c r="R98">
        <f>IFERROR(IF(ISNUMBER(INDEX(SPPR!$E:$X,MATCH($A98,SPPR!$A:$A,0),15)),$C98*INDEX(SPPR!$E:$X,MATCH($A98,SPPR!$A:$A,0),15),""),"")</f>
        <v/>
      </c>
      <c r="S98">
        <f>IFERROR(IF(ISNUMBER(INDEX(SPPR!$E:$X,MATCH($A98,SPPR!$A:$A,0),16)),$C98*INDEX(SPPR!$E:$X,MATCH($A98,SPPR!$A:$A,0),16),""),"")</f>
        <v/>
      </c>
      <c r="T98">
        <f>IFERROR(IF(ISNUMBER(INDEX(SPPR!$E:$X,MATCH($A98,SPPR!$A:$A,0),17)),$C98*INDEX(SPPR!$E:$X,MATCH($A98,SPPR!$A:$A,0),17),""),"")</f>
        <v/>
      </c>
      <c r="U98">
        <f>IFERROR(IF(ISNUMBER(INDEX(SPPR!$E:$X,MATCH($A98,SPPR!$A:$A,0),18)),$C98*INDEX(SPPR!$E:$X,MATCH($A98,SPPR!$A:$A,0),18),""),"")</f>
        <v/>
      </c>
      <c r="V98">
        <f>IFERROR(IF(ISNUMBER(INDEX(SPPR!$E:$X,MATCH($A98,SPPR!$A:$A,0),19)),$C98*INDEX(SPPR!$E:$X,MATCH($A98,SPPR!$A:$A,0),19),""),"")</f>
        <v/>
      </c>
      <c r="W98">
        <f>IFERROR(IF(ISNUMBER(INDEX(SPPR!$E:$X,MATCH($A98,SPPR!$A:$A,0),20)),$C98*INDEX(SPPR!$E:$X,MATCH($A98,SPPR!$A:$A,0),20),""),"")</f>
        <v/>
      </c>
    </row>
    <row r="99">
      <c r="A99" t="inlineStr">
        <is>
          <t>Salmo salar</t>
        </is>
      </c>
      <c r="B99">
        <f>IFERROR(INDEX(SPPR!$D:$D,MATCH($A99,SPPR!$A:$A,0)),"")</f>
        <v/>
      </c>
      <c r="C99">
        <f>IFERROR(INDEX(Catch!$E:$BV,MATCH($A99,Catch!$A:$A,0),MATCH($B$4,Catch!$E$1:$BV$1,0)),0)</f>
        <v/>
      </c>
      <c r="D99">
        <f>IFERROR(IF(ISNUMBER(INDEX(SPPR!$E:$X,MATCH($A99,SPPR!$A:$A,0),1)),$C99*INDEX(SPPR!$E:$X,MATCH($A99,SPPR!$A:$A,0),1),""),"")</f>
        <v/>
      </c>
      <c r="E99">
        <f>IFERROR(IF(ISNUMBER(INDEX(SPPR!$E:$X,MATCH($A99,SPPR!$A:$A,0),2)),$C99*INDEX(SPPR!$E:$X,MATCH($A99,SPPR!$A:$A,0),2),""),"")</f>
        <v/>
      </c>
      <c r="F99">
        <f>IFERROR(IF(ISNUMBER(INDEX(SPPR!$E:$X,MATCH($A99,SPPR!$A:$A,0),3)),$C99*INDEX(SPPR!$E:$X,MATCH($A99,SPPR!$A:$A,0),3),""),"")</f>
        <v/>
      </c>
      <c r="G99">
        <f>IFERROR(IF(ISNUMBER(INDEX(SPPR!$E:$X,MATCH($A99,SPPR!$A:$A,0),4)),$C99*INDEX(SPPR!$E:$X,MATCH($A99,SPPR!$A:$A,0),4),""),"")</f>
        <v/>
      </c>
      <c r="H99">
        <f>IFERROR(IF(ISNUMBER(INDEX(SPPR!$E:$X,MATCH($A99,SPPR!$A:$A,0),5)),$C99*INDEX(SPPR!$E:$X,MATCH($A99,SPPR!$A:$A,0),5),""),"")</f>
        <v/>
      </c>
      <c r="I99">
        <f>IFERROR(IF(ISNUMBER(INDEX(SPPR!$E:$X,MATCH($A99,SPPR!$A:$A,0),6)),$C99*INDEX(SPPR!$E:$X,MATCH($A99,SPPR!$A:$A,0),6),""),"")</f>
        <v/>
      </c>
      <c r="J99">
        <f>IFERROR(IF(ISNUMBER(INDEX(SPPR!$E:$X,MATCH($A99,SPPR!$A:$A,0),7)),$C99*INDEX(SPPR!$E:$X,MATCH($A99,SPPR!$A:$A,0),7),""),"")</f>
        <v/>
      </c>
      <c r="K99">
        <f>IFERROR(IF(ISNUMBER(INDEX(SPPR!$E:$X,MATCH($A99,SPPR!$A:$A,0),8)),$C99*INDEX(SPPR!$E:$X,MATCH($A99,SPPR!$A:$A,0),8),""),"")</f>
        <v/>
      </c>
      <c r="L99">
        <f>IFERROR(IF(ISNUMBER(INDEX(SPPR!$E:$X,MATCH($A99,SPPR!$A:$A,0),9)),$C99*INDEX(SPPR!$E:$X,MATCH($A99,SPPR!$A:$A,0),9),""),"")</f>
        <v/>
      </c>
      <c r="M99">
        <f>IFERROR(IF(ISNUMBER(INDEX(SPPR!$E:$X,MATCH($A99,SPPR!$A:$A,0),10)),$C99*INDEX(SPPR!$E:$X,MATCH($A99,SPPR!$A:$A,0),10),""),"")</f>
        <v/>
      </c>
      <c r="N99">
        <f>IFERROR(IF(ISNUMBER(INDEX(SPPR!$E:$X,MATCH($A99,SPPR!$A:$A,0),11)),$C99*INDEX(SPPR!$E:$X,MATCH($A99,SPPR!$A:$A,0),11),""),"")</f>
        <v/>
      </c>
      <c r="O99">
        <f>IFERROR(IF(ISNUMBER(INDEX(SPPR!$E:$X,MATCH($A99,SPPR!$A:$A,0),12)),$C99*INDEX(SPPR!$E:$X,MATCH($A99,SPPR!$A:$A,0),12),""),"")</f>
        <v/>
      </c>
      <c r="P99">
        <f>IFERROR(IF(ISNUMBER(INDEX(SPPR!$E:$X,MATCH($A99,SPPR!$A:$A,0),13)),$C99*INDEX(SPPR!$E:$X,MATCH($A99,SPPR!$A:$A,0),13),""),"")</f>
        <v/>
      </c>
      <c r="Q99">
        <f>IFERROR(IF(ISNUMBER(INDEX(SPPR!$E:$X,MATCH($A99,SPPR!$A:$A,0),14)),$C99*INDEX(SPPR!$E:$X,MATCH($A99,SPPR!$A:$A,0),14),""),"")</f>
        <v/>
      </c>
      <c r="R99">
        <f>IFERROR(IF(ISNUMBER(INDEX(SPPR!$E:$X,MATCH($A99,SPPR!$A:$A,0),15)),$C99*INDEX(SPPR!$E:$X,MATCH($A99,SPPR!$A:$A,0),15),""),"")</f>
        <v/>
      </c>
      <c r="S99">
        <f>IFERROR(IF(ISNUMBER(INDEX(SPPR!$E:$X,MATCH($A99,SPPR!$A:$A,0),16)),$C99*INDEX(SPPR!$E:$X,MATCH($A99,SPPR!$A:$A,0),16),""),"")</f>
        <v/>
      </c>
      <c r="T99">
        <f>IFERROR(IF(ISNUMBER(INDEX(SPPR!$E:$X,MATCH($A99,SPPR!$A:$A,0),17)),$C99*INDEX(SPPR!$E:$X,MATCH($A99,SPPR!$A:$A,0),17),""),"")</f>
        <v/>
      </c>
      <c r="U99">
        <f>IFERROR(IF(ISNUMBER(INDEX(SPPR!$E:$X,MATCH($A99,SPPR!$A:$A,0),18)),$C99*INDEX(SPPR!$E:$X,MATCH($A99,SPPR!$A:$A,0),18),""),"")</f>
        <v/>
      </c>
      <c r="V99">
        <f>IFERROR(IF(ISNUMBER(INDEX(SPPR!$E:$X,MATCH($A99,SPPR!$A:$A,0),19)),$C99*INDEX(SPPR!$E:$X,MATCH($A99,SPPR!$A:$A,0),19),""),"")</f>
        <v/>
      </c>
      <c r="W99">
        <f>IFERROR(IF(ISNUMBER(INDEX(SPPR!$E:$X,MATCH($A99,SPPR!$A:$A,0),20)),$C99*INDEX(SPPR!$E:$X,MATCH($A99,SPPR!$A:$A,0),20),""),"")</f>
        <v/>
      </c>
    </row>
    <row r="100">
      <c r="A100" t="inlineStr">
        <is>
          <t>Bivalvia</t>
        </is>
      </c>
      <c r="B100">
        <f>IFERROR(INDEX(SPPR!$D:$D,MATCH($A100,SPPR!$A:$A,0)),"")</f>
        <v/>
      </c>
      <c r="C100">
        <f>IFERROR(INDEX(Catch!$E:$BV,MATCH($A100,Catch!$A:$A,0),MATCH($B$4,Catch!$E$1:$BV$1,0)),0)</f>
        <v/>
      </c>
      <c r="D100">
        <f>IFERROR(IF(ISNUMBER(INDEX(SPPR!$E:$X,MATCH($A100,SPPR!$A:$A,0),1)),$C100*INDEX(SPPR!$E:$X,MATCH($A100,SPPR!$A:$A,0),1),""),"")</f>
        <v/>
      </c>
      <c r="E100">
        <f>IFERROR(IF(ISNUMBER(INDEX(SPPR!$E:$X,MATCH($A100,SPPR!$A:$A,0),2)),$C100*INDEX(SPPR!$E:$X,MATCH($A100,SPPR!$A:$A,0),2),""),"")</f>
        <v/>
      </c>
      <c r="F100">
        <f>IFERROR(IF(ISNUMBER(INDEX(SPPR!$E:$X,MATCH($A100,SPPR!$A:$A,0),3)),$C100*INDEX(SPPR!$E:$X,MATCH($A100,SPPR!$A:$A,0),3),""),"")</f>
        <v/>
      </c>
      <c r="G100">
        <f>IFERROR(IF(ISNUMBER(INDEX(SPPR!$E:$X,MATCH($A100,SPPR!$A:$A,0),4)),$C100*INDEX(SPPR!$E:$X,MATCH($A100,SPPR!$A:$A,0),4),""),"")</f>
        <v/>
      </c>
      <c r="H100">
        <f>IFERROR(IF(ISNUMBER(INDEX(SPPR!$E:$X,MATCH($A100,SPPR!$A:$A,0),5)),$C100*INDEX(SPPR!$E:$X,MATCH($A100,SPPR!$A:$A,0),5),""),"")</f>
        <v/>
      </c>
      <c r="I100">
        <f>IFERROR(IF(ISNUMBER(INDEX(SPPR!$E:$X,MATCH($A100,SPPR!$A:$A,0),6)),$C100*INDEX(SPPR!$E:$X,MATCH($A100,SPPR!$A:$A,0),6),""),"")</f>
        <v/>
      </c>
      <c r="J100">
        <f>IFERROR(IF(ISNUMBER(INDEX(SPPR!$E:$X,MATCH($A100,SPPR!$A:$A,0),7)),$C100*INDEX(SPPR!$E:$X,MATCH($A100,SPPR!$A:$A,0),7),""),"")</f>
        <v/>
      </c>
      <c r="K100">
        <f>IFERROR(IF(ISNUMBER(INDEX(SPPR!$E:$X,MATCH($A100,SPPR!$A:$A,0),8)),$C100*INDEX(SPPR!$E:$X,MATCH($A100,SPPR!$A:$A,0),8),""),"")</f>
        <v/>
      </c>
      <c r="L100">
        <f>IFERROR(IF(ISNUMBER(INDEX(SPPR!$E:$X,MATCH($A100,SPPR!$A:$A,0),9)),$C100*INDEX(SPPR!$E:$X,MATCH($A100,SPPR!$A:$A,0),9),""),"")</f>
        <v/>
      </c>
      <c r="M100">
        <f>IFERROR(IF(ISNUMBER(INDEX(SPPR!$E:$X,MATCH($A100,SPPR!$A:$A,0),10)),$C100*INDEX(SPPR!$E:$X,MATCH($A100,SPPR!$A:$A,0),10),""),"")</f>
        <v/>
      </c>
      <c r="N100">
        <f>IFERROR(IF(ISNUMBER(INDEX(SPPR!$E:$X,MATCH($A100,SPPR!$A:$A,0),11)),$C100*INDEX(SPPR!$E:$X,MATCH($A100,SPPR!$A:$A,0),11),""),"")</f>
        <v/>
      </c>
      <c r="O100">
        <f>IFERROR(IF(ISNUMBER(INDEX(SPPR!$E:$X,MATCH($A100,SPPR!$A:$A,0),12)),$C100*INDEX(SPPR!$E:$X,MATCH($A100,SPPR!$A:$A,0),12),""),"")</f>
        <v/>
      </c>
      <c r="P100">
        <f>IFERROR(IF(ISNUMBER(INDEX(SPPR!$E:$X,MATCH($A100,SPPR!$A:$A,0),13)),$C100*INDEX(SPPR!$E:$X,MATCH($A100,SPPR!$A:$A,0),13),""),"")</f>
        <v/>
      </c>
      <c r="Q100">
        <f>IFERROR(IF(ISNUMBER(INDEX(SPPR!$E:$X,MATCH($A100,SPPR!$A:$A,0),14)),$C100*INDEX(SPPR!$E:$X,MATCH($A100,SPPR!$A:$A,0),14),""),"")</f>
        <v/>
      </c>
      <c r="R100">
        <f>IFERROR(IF(ISNUMBER(INDEX(SPPR!$E:$X,MATCH($A100,SPPR!$A:$A,0),15)),$C100*INDEX(SPPR!$E:$X,MATCH($A100,SPPR!$A:$A,0),15),""),"")</f>
        <v/>
      </c>
      <c r="S100">
        <f>IFERROR(IF(ISNUMBER(INDEX(SPPR!$E:$X,MATCH($A100,SPPR!$A:$A,0),16)),$C100*INDEX(SPPR!$E:$X,MATCH($A100,SPPR!$A:$A,0),16),""),"")</f>
        <v/>
      </c>
      <c r="T100">
        <f>IFERROR(IF(ISNUMBER(INDEX(SPPR!$E:$X,MATCH($A100,SPPR!$A:$A,0),17)),$C100*INDEX(SPPR!$E:$X,MATCH($A100,SPPR!$A:$A,0),17),""),"")</f>
        <v/>
      </c>
      <c r="U100">
        <f>IFERROR(IF(ISNUMBER(INDEX(SPPR!$E:$X,MATCH($A100,SPPR!$A:$A,0),18)),$C100*INDEX(SPPR!$E:$X,MATCH($A100,SPPR!$A:$A,0),18),""),"")</f>
        <v/>
      </c>
      <c r="V100">
        <f>IFERROR(IF(ISNUMBER(INDEX(SPPR!$E:$X,MATCH($A100,SPPR!$A:$A,0),19)),$C100*INDEX(SPPR!$E:$X,MATCH($A100,SPPR!$A:$A,0),19),""),"")</f>
        <v/>
      </c>
      <c r="W100">
        <f>IFERROR(IF(ISNUMBER(INDEX(SPPR!$E:$X,MATCH($A100,SPPR!$A:$A,0),20)),$C100*INDEX(SPPR!$E:$X,MATCH($A100,SPPR!$A:$A,0),20),""),"")</f>
        <v/>
      </c>
    </row>
    <row r="101">
      <c r="A101" t="inlineStr">
        <is>
          <t>Agonus cataphractus</t>
        </is>
      </c>
      <c r="B101">
        <f>IFERROR(INDEX(SPPR!$D:$D,MATCH($A101,SPPR!$A:$A,0)),"")</f>
        <v/>
      </c>
      <c r="C101">
        <f>IFERROR(INDEX(Catch!$E:$BV,MATCH($A101,Catch!$A:$A,0),MATCH($B$4,Catch!$E$1:$BV$1,0)),0)</f>
        <v/>
      </c>
      <c r="D101">
        <f>IFERROR(IF(ISNUMBER(INDEX(SPPR!$E:$X,MATCH($A101,SPPR!$A:$A,0),1)),$C101*INDEX(SPPR!$E:$X,MATCH($A101,SPPR!$A:$A,0),1),""),"")</f>
        <v/>
      </c>
      <c r="E101">
        <f>IFERROR(IF(ISNUMBER(INDEX(SPPR!$E:$X,MATCH($A101,SPPR!$A:$A,0),2)),$C101*INDEX(SPPR!$E:$X,MATCH($A101,SPPR!$A:$A,0),2),""),"")</f>
        <v/>
      </c>
      <c r="F101">
        <f>IFERROR(IF(ISNUMBER(INDEX(SPPR!$E:$X,MATCH($A101,SPPR!$A:$A,0),3)),$C101*INDEX(SPPR!$E:$X,MATCH($A101,SPPR!$A:$A,0),3),""),"")</f>
        <v/>
      </c>
      <c r="G101">
        <f>IFERROR(IF(ISNUMBER(INDEX(SPPR!$E:$X,MATCH($A101,SPPR!$A:$A,0),4)),$C101*INDEX(SPPR!$E:$X,MATCH($A101,SPPR!$A:$A,0),4),""),"")</f>
        <v/>
      </c>
      <c r="H101">
        <f>IFERROR(IF(ISNUMBER(INDEX(SPPR!$E:$X,MATCH($A101,SPPR!$A:$A,0),5)),$C101*INDEX(SPPR!$E:$X,MATCH($A101,SPPR!$A:$A,0),5),""),"")</f>
        <v/>
      </c>
      <c r="I101">
        <f>IFERROR(IF(ISNUMBER(INDEX(SPPR!$E:$X,MATCH($A101,SPPR!$A:$A,0),6)),$C101*INDEX(SPPR!$E:$X,MATCH($A101,SPPR!$A:$A,0),6),""),"")</f>
        <v/>
      </c>
      <c r="J101">
        <f>IFERROR(IF(ISNUMBER(INDEX(SPPR!$E:$X,MATCH($A101,SPPR!$A:$A,0),7)),$C101*INDEX(SPPR!$E:$X,MATCH($A101,SPPR!$A:$A,0),7),""),"")</f>
        <v/>
      </c>
      <c r="K101">
        <f>IFERROR(IF(ISNUMBER(INDEX(SPPR!$E:$X,MATCH($A101,SPPR!$A:$A,0),8)),$C101*INDEX(SPPR!$E:$X,MATCH($A101,SPPR!$A:$A,0),8),""),"")</f>
        <v/>
      </c>
      <c r="L101">
        <f>IFERROR(IF(ISNUMBER(INDEX(SPPR!$E:$X,MATCH($A101,SPPR!$A:$A,0),9)),$C101*INDEX(SPPR!$E:$X,MATCH($A101,SPPR!$A:$A,0),9),""),"")</f>
        <v/>
      </c>
      <c r="M101">
        <f>IFERROR(IF(ISNUMBER(INDEX(SPPR!$E:$X,MATCH($A101,SPPR!$A:$A,0),10)),$C101*INDEX(SPPR!$E:$X,MATCH($A101,SPPR!$A:$A,0),10),""),"")</f>
        <v/>
      </c>
      <c r="N101">
        <f>IFERROR(IF(ISNUMBER(INDEX(SPPR!$E:$X,MATCH($A101,SPPR!$A:$A,0),11)),$C101*INDEX(SPPR!$E:$X,MATCH($A101,SPPR!$A:$A,0),11),""),"")</f>
        <v/>
      </c>
      <c r="O101">
        <f>IFERROR(IF(ISNUMBER(INDEX(SPPR!$E:$X,MATCH($A101,SPPR!$A:$A,0),12)),$C101*INDEX(SPPR!$E:$X,MATCH($A101,SPPR!$A:$A,0),12),""),"")</f>
        <v/>
      </c>
      <c r="P101">
        <f>IFERROR(IF(ISNUMBER(INDEX(SPPR!$E:$X,MATCH($A101,SPPR!$A:$A,0),13)),$C101*INDEX(SPPR!$E:$X,MATCH($A101,SPPR!$A:$A,0),13),""),"")</f>
        <v/>
      </c>
      <c r="Q101">
        <f>IFERROR(IF(ISNUMBER(INDEX(SPPR!$E:$X,MATCH($A101,SPPR!$A:$A,0),14)),$C101*INDEX(SPPR!$E:$X,MATCH($A101,SPPR!$A:$A,0),14),""),"")</f>
        <v/>
      </c>
      <c r="R101">
        <f>IFERROR(IF(ISNUMBER(INDEX(SPPR!$E:$X,MATCH($A101,SPPR!$A:$A,0),15)),$C101*INDEX(SPPR!$E:$X,MATCH($A101,SPPR!$A:$A,0),15),""),"")</f>
        <v/>
      </c>
      <c r="S101">
        <f>IFERROR(IF(ISNUMBER(INDEX(SPPR!$E:$X,MATCH($A101,SPPR!$A:$A,0),16)),$C101*INDEX(SPPR!$E:$X,MATCH($A101,SPPR!$A:$A,0),16),""),"")</f>
        <v/>
      </c>
      <c r="T101">
        <f>IFERROR(IF(ISNUMBER(INDEX(SPPR!$E:$X,MATCH($A101,SPPR!$A:$A,0),17)),$C101*INDEX(SPPR!$E:$X,MATCH($A101,SPPR!$A:$A,0),17),""),"")</f>
        <v/>
      </c>
      <c r="U101">
        <f>IFERROR(IF(ISNUMBER(INDEX(SPPR!$E:$X,MATCH($A101,SPPR!$A:$A,0),18)),$C101*INDEX(SPPR!$E:$X,MATCH($A101,SPPR!$A:$A,0),18),""),"")</f>
        <v/>
      </c>
      <c r="V101">
        <f>IFERROR(IF(ISNUMBER(INDEX(SPPR!$E:$X,MATCH($A101,SPPR!$A:$A,0),19)),$C101*INDEX(SPPR!$E:$X,MATCH($A101,SPPR!$A:$A,0),19),""),"")</f>
        <v/>
      </c>
      <c r="W101">
        <f>IFERROR(IF(ISNUMBER(INDEX(SPPR!$E:$X,MATCH($A101,SPPR!$A:$A,0),20)),$C101*INDEX(SPPR!$E:$X,MATCH($A101,SPPR!$A:$A,0),20),""),"")</f>
        <v/>
      </c>
    </row>
    <row r="102">
      <c r="A102" t="inlineStr">
        <is>
          <t>Anarhichas</t>
        </is>
      </c>
      <c r="B102">
        <f>IFERROR(INDEX(SPPR!$D:$D,MATCH($A102,SPPR!$A:$A,0)),"")</f>
        <v/>
      </c>
      <c r="C102">
        <f>IFERROR(INDEX(Catch!$E:$BV,MATCH($A102,Catch!$A:$A,0),MATCH($B$4,Catch!$E$1:$BV$1,0)),0)</f>
        <v/>
      </c>
      <c r="D102">
        <f>IFERROR(IF(ISNUMBER(INDEX(SPPR!$E:$X,MATCH($A102,SPPR!$A:$A,0),1)),$C102*INDEX(SPPR!$E:$X,MATCH($A102,SPPR!$A:$A,0),1),""),"")</f>
        <v/>
      </c>
      <c r="E102">
        <f>IFERROR(IF(ISNUMBER(INDEX(SPPR!$E:$X,MATCH($A102,SPPR!$A:$A,0),2)),$C102*INDEX(SPPR!$E:$X,MATCH($A102,SPPR!$A:$A,0),2),""),"")</f>
        <v/>
      </c>
      <c r="F102">
        <f>IFERROR(IF(ISNUMBER(INDEX(SPPR!$E:$X,MATCH($A102,SPPR!$A:$A,0),3)),$C102*INDEX(SPPR!$E:$X,MATCH($A102,SPPR!$A:$A,0),3),""),"")</f>
        <v/>
      </c>
      <c r="G102">
        <f>IFERROR(IF(ISNUMBER(INDEX(SPPR!$E:$X,MATCH($A102,SPPR!$A:$A,0),4)),$C102*INDEX(SPPR!$E:$X,MATCH($A102,SPPR!$A:$A,0),4),""),"")</f>
        <v/>
      </c>
      <c r="H102">
        <f>IFERROR(IF(ISNUMBER(INDEX(SPPR!$E:$X,MATCH($A102,SPPR!$A:$A,0),5)),$C102*INDEX(SPPR!$E:$X,MATCH($A102,SPPR!$A:$A,0),5),""),"")</f>
        <v/>
      </c>
      <c r="I102">
        <f>IFERROR(IF(ISNUMBER(INDEX(SPPR!$E:$X,MATCH($A102,SPPR!$A:$A,0),6)),$C102*INDEX(SPPR!$E:$X,MATCH($A102,SPPR!$A:$A,0),6),""),"")</f>
        <v/>
      </c>
      <c r="J102">
        <f>IFERROR(IF(ISNUMBER(INDEX(SPPR!$E:$X,MATCH($A102,SPPR!$A:$A,0),7)),$C102*INDEX(SPPR!$E:$X,MATCH($A102,SPPR!$A:$A,0),7),""),"")</f>
        <v/>
      </c>
      <c r="K102">
        <f>IFERROR(IF(ISNUMBER(INDEX(SPPR!$E:$X,MATCH($A102,SPPR!$A:$A,0),8)),$C102*INDEX(SPPR!$E:$X,MATCH($A102,SPPR!$A:$A,0),8),""),"")</f>
        <v/>
      </c>
      <c r="L102">
        <f>IFERROR(IF(ISNUMBER(INDEX(SPPR!$E:$X,MATCH($A102,SPPR!$A:$A,0),9)),$C102*INDEX(SPPR!$E:$X,MATCH($A102,SPPR!$A:$A,0),9),""),"")</f>
        <v/>
      </c>
      <c r="M102">
        <f>IFERROR(IF(ISNUMBER(INDEX(SPPR!$E:$X,MATCH($A102,SPPR!$A:$A,0),10)),$C102*INDEX(SPPR!$E:$X,MATCH($A102,SPPR!$A:$A,0),10),""),"")</f>
        <v/>
      </c>
      <c r="N102">
        <f>IFERROR(IF(ISNUMBER(INDEX(SPPR!$E:$X,MATCH($A102,SPPR!$A:$A,0),11)),$C102*INDEX(SPPR!$E:$X,MATCH($A102,SPPR!$A:$A,0),11),""),"")</f>
        <v/>
      </c>
      <c r="O102">
        <f>IFERROR(IF(ISNUMBER(INDEX(SPPR!$E:$X,MATCH($A102,SPPR!$A:$A,0),12)),$C102*INDEX(SPPR!$E:$X,MATCH($A102,SPPR!$A:$A,0),12),""),"")</f>
        <v/>
      </c>
      <c r="P102">
        <f>IFERROR(IF(ISNUMBER(INDEX(SPPR!$E:$X,MATCH($A102,SPPR!$A:$A,0),13)),$C102*INDEX(SPPR!$E:$X,MATCH($A102,SPPR!$A:$A,0),13),""),"")</f>
        <v/>
      </c>
      <c r="Q102">
        <f>IFERROR(IF(ISNUMBER(INDEX(SPPR!$E:$X,MATCH($A102,SPPR!$A:$A,0),14)),$C102*INDEX(SPPR!$E:$X,MATCH($A102,SPPR!$A:$A,0),14),""),"")</f>
        <v/>
      </c>
      <c r="R102">
        <f>IFERROR(IF(ISNUMBER(INDEX(SPPR!$E:$X,MATCH($A102,SPPR!$A:$A,0),15)),$C102*INDEX(SPPR!$E:$X,MATCH($A102,SPPR!$A:$A,0),15),""),"")</f>
        <v/>
      </c>
      <c r="S102">
        <f>IFERROR(IF(ISNUMBER(INDEX(SPPR!$E:$X,MATCH($A102,SPPR!$A:$A,0),16)),$C102*INDEX(SPPR!$E:$X,MATCH($A102,SPPR!$A:$A,0),16),""),"")</f>
        <v/>
      </c>
      <c r="T102">
        <f>IFERROR(IF(ISNUMBER(INDEX(SPPR!$E:$X,MATCH($A102,SPPR!$A:$A,0),17)),$C102*INDEX(SPPR!$E:$X,MATCH($A102,SPPR!$A:$A,0),17),""),"")</f>
        <v/>
      </c>
      <c r="U102">
        <f>IFERROR(IF(ISNUMBER(INDEX(SPPR!$E:$X,MATCH($A102,SPPR!$A:$A,0),18)),$C102*INDEX(SPPR!$E:$X,MATCH($A102,SPPR!$A:$A,0),18),""),"")</f>
        <v/>
      </c>
      <c r="V102">
        <f>IFERROR(IF(ISNUMBER(INDEX(SPPR!$E:$X,MATCH($A102,SPPR!$A:$A,0),19)),$C102*INDEX(SPPR!$E:$X,MATCH($A102,SPPR!$A:$A,0),19),""),"")</f>
        <v/>
      </c>
      <c r="W102">
        <f>IFERROR(IF(ISNUMBER(INDEX(SPPR!$E:$X,MATCH($A102,SPPR!$A:$A,0),20)),$C102*INDEX(SPPR!$E:$X,MATCH($A102,SPPR!$A:$A,0),20),""),"")</f>
        <v/>
      </c>
    </row>
    <row r="103">
      <c r="A103" t="inlineStr">
        <is>
          <t>Asteroidea</t>
        </is>
      </c>
      <c r="B103">
        <f>IFERROR(INDEX(SPPR!$D:$D,MATCH($A103,SPPR!$A:$A,0)),"")</f>
        <v/>
      </c>
      <c r="C103">
        <f>IFERROR(INDEX(Catch!$E:$BV,MATCH($A103,Catch!$A:$A,0),MATCH($B$4,Catch!$E$1:$BV$1,0)),0)</f>
        <v/>
      </c>
      <c r="D103">
        <f>IFERROR(IF(ISNUMBER(INDEX(SPPR!$E:$X,MATCH($A103,SPPR!$A:$A,0),1)),$C103*INDEX(SPPR!$E:$X,MATCH($A103,SPPR!$A:$A,0),1),""),"")</f>
        <v/>
      </c>
      <c r="E103">
        <f>IFERROR(IF(ISNUMBER(INDEX(SPPR!$E:$X,MATCH($A103,SPPR!$A:$A,0),2)),$C103*INDEX(SPPR!$E:$X,MATCH($A103,SPPR!$A:$A,0),2),""),"")</f>
        <v/>
      </c>
      <c r="F103">
        <f>IFERROR(IF(ISNUMBER(INDEX(SPPR!$E:$X,MATCH($A103,SPPR!$A:$A,0),3)),$C103*INDEX(SPPR!$E:$X,MATCH($A103,SPPR!$A:$A,0),3),""),"")</f>
        <v/>
      </c>
      <c r="G103">
        <f>IFERROR(IF(ISNUMBER(INDEX(SPPR!$E:$X,MATCH($A103,SPPR!$A:$A,0),4)),$C103*INDEX(SPPR!$E:$X,MATCH($A103,SPPR!$A:$A,0),4),""),"")</f>
        <v/>
      </c>
      <c r="H103">
        <f>IFERROR(IF(ISNUMBER(INDEX(SPPR!$E:$X,MATCH($A103,SPPR!$A:$A,0),5)),$C103*INDEX(SPPR!$E:$X,MATCH($A103,SPPR!$A:$A,0),5),""),"")</f>
        <v/>
      </c>
      <c r="I103">
        <f>IFERROR(IF(ISNUMBER(INDEX(SPPR!$E:$X,MATCH($A103,SPPR!$A:$A,0),6)),$C103*INDEX(SPPR!$E:$X,MATCH($A103,SPPR!$A:$A,0),6),""),"")</f>
        <v/>
      </c>
      <c r="J103">
        <f>IFERROR(IF(ISNUMBER(INDEX(SPPR!$E:$X,MATCH($A103,SPPR!$A:$A,0),7)),$C103*INDEX(SPPR!$E:$X,MATCH($A103,SPPR!$A:$A,0),7),""),"")</f>
        <v/>
      </c>
      <c r="K103">
        <f>IFERROR(IF(ISNUMBER(INDEX(SPPR!$E:$X,MATCH($A103,SPPR!$A:$A,0),8)),$C103*INDEX(SPPR!$E:$X,MATCH($A103,SPPR!$A:$A,0),8),""),"")</f>
        <v/>
      </c>
      <c r="L103">
        <f>IFERROR(IF(ISNUMBER(INDEX(SPPR!$E:$X,MATCH($A103,SPPR!$A:$A,0),9)),$C103*INDEX(SPPR!$E:$X,MATCH($A103,SPPR!$A:$A,0),9),""),"")</f>
        <v/>
      </c>
      <c r="M103">
        <f>IFERROR(IF(ISNUMBER(INDEX(SPPR!$E:$X,MATCH($A103,SPPR!$A:$A,0),10)),$C103*INDEX(SPPR!$E:$X,MATCH($A103,SPPR!$A:$A,0),10),""),"")</f>
        <v/>
      </c>
      <c r="N103">
        <f>IFERROR(IF(ISNUMBER(INDEX(SPPR!$E:$X,MATCH($A103,SPPR!$A:$A,0),11)),$C103*INDEX(SPPR!$E:$X,MATCH($A103,SPPR!$A:$A,0),11),""),"")</f>
        <v/>
      </c>
      <c r="O103">
        <f>IFERROR(IF(ISNUMBER(INDEX(SPPR!$E:$X,MATCH($A103,SPPR!$A:$A,0),12)),$C103*INDEX(SPPR!$E:$X,MATCH($A103,SPPR!$A:$A,0),12),""),"")</f>
        <v/>
      </c>
      <c r="P103">
        <f>IFERROR(IF(ISNUMBER(INDEX(SPPR!$E:$X,MATCH($A103,SPPR!$A:$A,0),13)),$C103*INDEX(SPPR!$E:$X,MATCH($A103,SPPR!$A:$A,0),13),""),"")</f>
        <v/>
      </c>
      <c r="Q103">
        <f>IFERROR(IF(ISNUMBER(INDEX(SPPR!$E:$X,MATCH($A103,SPPR!$A:$A,0),14)),$C103*INDEX(SPPR!$E:$X,MATCH($A103,SPPR!$A:$A,0),14),""),"")</f>
        <v/>
      </c>
      <c r="R103">
        <f>IFERROR(IF(ISNUMBER(INDEX(SPPR!$E:$X,MATCH($A103,SPPR!$A:$A,0),15)),$C103*INDEX(SPPR!$E:$X,MATCH($A103,SPPR!$A:$A,0),15),""),"")</f>
        <v/>
      </c>
      <c r="S103">
        <f>IFERROR(IF(ISNUMBER(INDEX(SPPR!$E:$X,MATCH($A103,SPPR!$A:$A,0),16)),$C103*INDEX(SPPR!$E:$X,MATCH($A103,SPPR!$A:$A,0),16),""),"")</f>
        <v/>
      </c>
      <c r="T103">
        <f>IFERROR(IF(ISNUMBER(INDEX(SPPR!$E:$X,MATCH($A103,SPPR!$A:$A,0),17)),$C103*INDEX(SPPR!$E:$X,MATCH($A103,SPPR!$A:$A,0),17),""),"")</f>
        <v/>
      </c>
      <c r="U103">
        <f>IFERROR(IF(ISNUMBER(INDEX(SPPR!$E:$X,MATCH($A103,SPPR!$A:$A,0),18)),$C103*INDEX(SPPR!$E:$X,MATCH($A103,SPPR!$A:$A,0),18),""),"")</f>
        <v/>
      </c>
      <c r="V103">
        <f>IFERROR(IF(ISNUMBER(INDEX(SPPR!$E:$X,MATCH($A103,SPPR!$A:$A,0),19)),$C103*INDEX(SPPR!$E:$X,MATCH($A103,SPPR!$A:$A,0),19),""),"")</f>
        <v/>
      </c>
      <c r="W103">
        <f>IFERROR(IF(ISNUMBER(INDEX(SPPR!$E:$X,MATCH($A103,SPPR!$A:$A,0),20)),$C103*INDEX(SPPR!$E:$X,MATCH($A103,SPPR!$A:$A,0),20),""),"")</f>
        <v/>
      </c>
    </row>
    <row r="104">
      <c r="A104" t="inlineStr">
        <is>
          <t>Anarhichadidae</t>
        </is>
      </c>
      <c r="B104">
        <f>IFERROR(INDEX(SPPR!$D:$D,MATCH($A104,SPPR!$A:$A,0)),"")</f>
        <v/>
      </c>
      <c r="C104">
        <f>IFERROR(INDEX(Catch!$E:$BV,MATCH($A104,Catch!$A:$A,0),MATCH($B$4,Catch!$E$1:$BV$1,0)),0)</f>
        <v/>
      </c>
      <c r="D104">
        <f>IFERROR(IF(ISNUMBER(INDEX(SPPR!$E:$X,MATCH($A104,SPPR!$A:$A,0),1)),$C104*INDEX(SPPR!$E:$X,MATCH($A104,SPPR!$A:$A,0),1),""),"")</f>
        <v/>
      </c>
      <c r="E104">
        <f>IFERROR(IF(ISNUMBER(INDEX(SPPR!$E:$X,MATCH($A104,SPPR!$A:$A,0),2)),$C104*INDEX(SPPR!$E:$X,MATCH($A104,SPPR!$A:$A,0),2),""),"")</f>
        <v/>
      </c>
      <c r="F104">
        <f>IFERROR(IF(ISNUMBER(INDEX(SPPR!$E:$X,MATCH($A104,SPPR!$A:$A,0),3)),$C104*INDEX(SPPR!$E:$X,MATCH($A104,SPPR!$A:$A,0),3),""),"")</f>
        <v/>
      </c>
      <c r="G104">
        <f>IFERROR(IF(ISNUMBER(INDEX(SPPR!$E:$X,MATCH($A104,SPPR!$A:$A,0),4)),$C104*INDEX(SPPR!$E:$X,MATCH($A104,SPPR!$A:$A,0),4),""),"")</f>
        <v/>
      </c>
      <c r="H104">
        <f>IFERROR(IF(ISNUMBER(INDEX(SPPR!$E:$X,MATCH($A104,SPPR!$A:$A,0),5)),$C104*INDEX(SPPR!$E:$X,MATCH($A104,SPPR!$A:$A,0),5),""),"")</f>
        <v/>
      </c>
      <c r="I104">
        <f>IFERROR(IF(ISNUMBER(INDEX(SPPR!$E:$X,MATCH($A104,SPPR!$A:$A,0),6)),$C104*INDEX(SPPR!$E:$X,MATCH($A104,SPPR!$A:$A,0),6),""),"")</f>
        <v/>
      </c>
      <c r="J104">
        <f>IFERROR(IF(ISNUMBER(INDEX(SPPR!$E:$X,MATCH($A104,SPPR!$A:$A,0),7)),$C104*INDEX(SPPR!$E:$X,MATCH($A104,SPPR!$A:$A,0),7),""),"")</f>
        <v/>
      </c>
      <c r="K104">
        <f>IFERROR(IF(ISNUMBER(INDEX(SPPR!$E:$X,MATCH($A104,SPPR!$A:$A,0),8)),$C104*INDEX(SPPR!$E:$X,MATCH($A104,SPPR!$A:$A,0),8),""),"")</f>
        <v/>
      </c>
      <c r="L104">
        <f>IFERROR(IF(ISNUMBER(INDEX(SPPR!$E:$X,MATCH($A104,SPPR!$A:$A,0),9)),$C104*INDEX(SPPR!$E:$X,MATCH($A104,SPPR!$A:$A,0),9),""),"")</f>
        <v/>
      </c>
      <c r="M104">
        <f>IFERROR(IF(ISNUMBER(INDEX(SPPR!$E:$X,MATCH($A104,SPPR!$A:$A,0),10)),$C104*INDEX(SPPR!$E:$X,MATCH($A104,SPPR!$A:$A,0),10),""),"")</f>
        <v/>
      </c>
      <c r="N104">
        <f>IFERROR(IF(ISNUMBER(INDEX(SPPR!$E:$X,MATCH($A104,SPPR!$A:$A,0),11)),$C104*INDEX(SPPR!$E:$X,MATCH($A104,SPPR!$A:$A,0),11),""),"")</f>
        <v/>
      </c>
      <c r="O104">
        <f>IFERROR(IF(ISNUMBER(INDEX(SPPR!$E:$X,MATCH($A104,SPPR!$A:$A,0),12)),$C104*INDEX(SPPR!$E:$X,MATCH($A104,SPPR!$A:$A,0),12),""),"")</f>
        <v/>
      </c>
      <c r="P104">
        <f>IFERROR(IF(ISNUMBER(INDEX(SPPR!$E:$X,MATCH($A104,SPPR!$A:$A,0),13)),$C104*INDEX(SPPR!$E:$X,MATCH($A104,SPPR!$A:$A,0),13),""),"")</f>
        <v/>
      </c>
      <c r="Q104">
        <f>IFERROR(IF(ISNUMBER(INDEX(SPPR!$E:$X,MATCH($A104,SPPR!$A:$A,0),14)),$C104*INDEX(SPPR!$E:$X,MATCH($A104,SPPR!$A:$A,0),14),""),"")</f>
        <v/>
      </c>
      <c r="R104">
        <f>IFERROR(IF(ISNUMBER(INDEX(SPPR!$E:$X,MATCH($A104,SPPR!$A:$A,0),15)),$C104*INDEX(SPPR!$E:$X,MATCH($A104,SPPR!$A:$A,0),15),""),"")</f>
        <v/>
      </c>
      <c r="S104">
        <f>IFERROR(IF(ISNUMBER(INDEX(SPPR!$E:$X,MATCH($A104,SPPR!$A:$A,0),16)),$C104*INDEX(SPPR!$E:$X,MATCH($A104,SPPR!$A:$A,0),16),""),"")</f>
        <v/>
      </c>
      <c r="T104">
        <f>IFERROR(IF(ISNUMBER(INDEX(SPPR!$E:$X,MATCH($A104,SPPR!$A:$A,0),17)),$C104*INDEX(SPPR!$E:$X,MATCH($A104,SPPR!$A:$A,0),17),""),"")</f>
        <v/>
      </c>
      <c r="U104">
        <f>IFERROR(IF(ISNUMBER(INDEX(SPPR!$E:$X,MATCH($A104,SPPR!$A:$A,0),18)),$C104*INDEX(SPPR!$E:$X,MATCH($A104,SPPR!$A:$A,0),18),""),"")</f>
        <v/>
      </c>
      <c r="V104">
        <f>IFERROR(IF(ISNUMBER(INDEX(SPPR!$E:$X,MATCH($A104,SPPR!$A:$A,0),19)),$C104*INDEX(SPPR!$E:$X,MATCH($A104,SPPR!$A:$A,0),19),""),"")</f>
        <v/>
      </c>
      <c r="W104">
        <f>IFERROR(IF(ISNUMBER(INDEX(SPPR!$E:$X,MATCH($A104,SPPR!$A:$A,0),20)),$C104*INDEX(SPPR!$E:$X,MATCH($A104,SPPR!$A:$A,0),20),""),"")</f>
        <v/>
      </c>
    </row>
    <row r="105">
      <c r="A105" t="inlineStr">
        <is>
          <t>Amblyraja radiata</t>
        </is>
      </c>
      <c r="B105">
        <f>IFERROR(INDEX(SPPR!$D:$D,MATCH($A105,SPPR!$A:$A,0)),"")</f>
        <v/>
      </c>
      <c r="C105">
        <f>IFERROR(INDEX(Catch!$E:$BV,MATCH($A105,Catch!$A:$A,0),MATCH($B$4,Catch!$E$1:$BV$1,0)),0)</f>
        <v/>
      </c>
      <c r="D105">
        <f>IFERROR(IF(ISNUMBER(INDEX(SPPR!$E:$X,MATCH($A105,SPPR!$A:$A,0),1)),$C105*INDEX(SPPR!$E:$X,MATCH($A105,SPPR!$A:$A,0),1),""),"")</f>
        <v/>
      </c>
      <c r="E105">
        <f>IFERROR(IF(ISNUMBER(INDEX(SPPR!$E:$X,MATCH($A105,SPPR!$A:$A,0),2)),$C105*INDEX(SPPR!$E:$X,MATCH($A105,SPPR!$A:$A,0),2),""),"")</f>
        <v/>
      </c>
      <c r="F105">
        <f>IFERROR(IF(ISNUMBER(INDEX(SPPR!$E:$X,MATCH($A105,SPPR!$A:$A,0),3)),$C105*INDEX(SPPR!$E:$X,MATCH($A105,SPPR!$A:$A,0),3),""),"")</f>
        <v/>
      </c>
      <c r="G105">
        <f>IFERROR(IF(ISNUMBER(INDEX(SPPR!$E:$X,MATCH($A105,SPPR!$A:$A,0),4)),$C105*INDEX(SPPR!$E:$X,MATCH($A105,SPPR!$A:$A,0),4),""),"")</f>
        <v/>
      </c>
      <c r="H105">
        <f>IFERROR(IF(ISNUMBER(INDEX(SPPR!$E:$X,MATCH($A105,SPPR!$A:$A,0),5)),$C105*INDEX(SPPR!$E:$X,MATCH($A105,SPPR!$A:$A,0),5),""),"")</f>
        <v/>
      </c>
      <c r="I105">
        <f>IFERROR(IF(ISNUMBER(INDEX(SPPR!$E:$X,MATCH($A105,SPPR!$A:$A,0),6)),$C105*INDEX(SPPR!$E:$X,MATCH($A105,SPPR!$A:$A,0),6),""),"")</f>
        <v/>
      </c>
      <c r="J105">
        <f>IFERROR(IF(ISNUMBER(INDEX(SPPR!$E:$X,MATCH($A105,SPPR!$A:$A,0),7)),$C105*INDEX(SPPR!$E:$X,MATCH($A105,SPPR!$A:$A,0),7),""),"")</f>
        <v/>
      </c>
      <c r="K105">
        <f>IFERROR(IF(ISNUMBER(INDEX(SPPR!$E:$X,MATCH($A105,SPPR!$A:$A,0),8)),$C105*INDEX(SPPR!$E:$X,MATCH($A105,SPPR!$A:$A,0),8),""),"")</f>
        <v/>
      </c>
      <c r="L105">
        <f>IFERROR(IF(ISNUMBER(INDEX(SPPR!$E:$X,MATCH($A105,SPPR!$A:$A,0),9)),$C105*INDEX(SPPR!$E:$X,MATCH($A105,SPPR!$A:$A,0),9),""),"")</f>
        <v/>
      </c>
      <c r="M105">
        <f>IFERROR(IF(ISNUMBER(INDEX(SPPR!$E:$X,MATCH($A105,SPPR!$A:$A,0),10)),$C105*INDEX(SPPR!$E:$X,MATCH($A105,SPPR!$A:$A,0),10),""),"")</f>
        <v/>
      </c>
      <c r="N105">
        <f>IFERROR(IF(ISNUMBER(INDEX(SPPR!$E:$X,MATCH($A105,SPPR!$A:$A,0),11)),$C105*INDEX(SPPR!$E:$X,MATCH($A105,SPPR!$A:$A,0),11),""),"")</f>
        <v/>
      </c>
      <c r="O105">
        <f>IFERROR(IF(ISNUMBER(INDEX(SPPR!$E:$X,MATCH($A105,SPPR!$A:$A,0),12)),$C105*INDEX(SPPR!$E:$X,MATCH($A105,SPPR!$A:$A,0),12),""),"")</f>
        <v/>
      </c>
      <c r="P105">
        <f>IFERROR(IF(ISNUMBER(INDEX(SPPR!$E:$X,MATCH($A105,SPPR!$A:$A,0),13)),$C105*INDEX(SPPR!$E:$X,MATCH($A105,SPPR!$A:$A,0),13),""),"")</f>
        <v/>
      </c>
      <c r="Q105">
        <f>IFERROR(IF(ISNUMBER(INDEX(SPPR!$E:$X,MATCH($A105,SPPR!$A:$A,0),14)),$C105*INDEX(SPPR!$E:$X,MATCH($A105,SPPR!$A:$A,0),14),""),"")</f>
        <v/>
      </c>
      <c r="R105">
        <f>IFERROR(IF(ISNUMBER(INDEX(SPPR!$E:$X,MATCH($A105,SPPR!$A:$A,0),15)),$C105*INDEX(SPPR!$E:$X,MATCH($A105,SPPR!$A:$A,0),15),""),"")</f>
        <v/>
      </c>
      <c r="S105">
        <f>IFERROR(IF(ISNUMBER(INDEX(SPPR!$E:$X,MATCH($A105,SPPR!$A:$A,0),16)),$C105*INDEX(SPPR!$E:$X,MATCH($A105,SPPR!$A:$A,0),16),""),"")</f>
        <v/>
      </c>
      <c r="T105">
        <f>IFERROR(IF(ISNUMBER(INDEX(SPPR!$E:$X,MATCH($A105,SPPR!$A:$A,0),17)),$C105*INDEX(SPPR!$E:$X,MATCH($A105,SPPR!$A:$A,0),17),""),"")</f>
        <v/>
      </c>
      <c r="U105">
        <f>IFERROR(IF(ISNUMBER(INDEX(SPPR!$E:$X,MATCH($A105,SPPR!$A:$A,0),18)),$C105*INDEX(SPPR!$E:$X,MATCH($A105,SPPR!$A:$A,0),18),""),"")</f>
        <v/>
      </c>
      <c r="V105">
        <f>IFERROR(IF(ISNUMBER(INDEX(SPPR!$E:$X,MATCH($A105,SPPR!$A:$A,0),19)),$C105*INDEX(SPPR!$E:$X,MATCH($A105,SPPR!$A:$A,0),19),""),"")</f>
        <v/>
      </c>
      <c r="W105">
        <f>IFERROR(IF(ISNUMBER(INDEX(SPPR!$E:$X,MATCH($A105,SPPR!$A:$A,0),20)),$C105*INDEX(SPPR!$E:$X,MATCH($A105,SPPR!$A:$A,0),20),""),"")</f>
        <v/>
      </c>
    </row>
    <row r="106">
      <c r="A106" t="inlineStr">
        <is>
          <t>Osmerus eperlanus</t>
        </is>
      </c>
      <c r="B106">
        <f>IFERROR(INDEX(SPPR!$D:$D,MATCH($A106,SPPR!$A:$A,0)),"")</f>
        <v/>
      </c>
      <c r="C106">
        <f>IFERROR(INDEX(Catch!$E:$BV,MATCH($A106,Catch!$A:$A,0),MATCH($B$4,Catch!$E$1:$BV$1,0)),0)</f>
        <v/>
      </c>
      <c r="D106">
        <f>IFERROR(IF(ISNUMBER(INDEX(SPPR!$E:$X,MATCH($A106,SPPR!$A:$A,0),1)),$C106*INDEX(SPPR!$E:$X,MATCH($A106,SPPR!$A:$A,0),1),""),"")</f>
        <v/>
      </c>
      <c r="E106">
        <f>IFERROR(IF(ISNUMBER(INDEX(SPPR!$E:$X,MATCH($A106,SPPR!$A:$A,0),2)),$C106*INDEX(SPPR!$E:$X,MATCH($A106,SPPR!$A:$A,0),2),""),"")</f>
        <v/>
      </c>
      <c r="F106">
        <f>IFERROR(IF(ISNUMBER(INDEX(SPPR!$E:$X,MATCH($A106,SPPR!$A:$A,0),3)),$C106*INDEX(SPPR!$E:$X,MATCH($A106,SPPR!$A:$A,0),3),""),"")</f>
        <v/>
      </c>
      <c r="G106">
        <f>IFERROR(IF(ISNUMBER(INDEX(SPPR!$E:$X,MATCH($A106,SPPR!$A:$A,0),4)),$C106*INDEX(SPPR!$E:$X,MATCH($A106,SPPR!$A:$A,0),4),""),"")</f>
        <v/>
      </c>
      <c r="H106">
        <f>IFERROR(IF(ISNUMBER(INDEX(SPPR!$E:$X,MATCH($A106,SPPR!$A:$A,0),5)),$C106*INDEX(SPPR!$E:$X,MATCH($A106,SPPR!$A:$A,0),5),""),"")</f>
        <v/>
      </c>
      <c r="I106">
        <f>IFERROR(IF(ISNUMBER(INDEX(SPPR!$E:$X,MATCH($A106,SPPR!$A:$A,0),6)),$C106*INDEX(SPPR!$E:$X,MATCH($A106,SPPR!$A:$A,0),6),""),"")</f>
        <v/>
      </c>
      <c r="J106">
        <f>IFERROR(IF(ISNUMBER(INDEX(SPPR!$E:$X,MATCH($A106,SPPR!$A:$A,0),7)),$C106*INDEX(SPPR!$E:$X,MATCH($A106,SPPR!$A:$A,0),7),""),"")</f>
        <v/>
      </c>
      <c r="K106">
        <f>IFERROR(IF(ISNUMBER(INDEX(SPPR!$E:$X,MATCH($A106,SPPR!$A:$A,0),8)),$C106*INDEX(SPPR!$E:$X,MATCH($A106,SPPR!$A:$A,0),8),""),"")</f>
        <v/>
      </c>
      <c r="L106">
        <f>IFERROR(IF(ISNUMBER(INDEX(SPPR!$E:$X,MATCH($A106,SPPR!$A:$A,0),9)),$C106*INDEX(SPPR!$E:$X,MATCH($A106,SPPR!$A:$A,0),9),""),"")</f>
        <v/>
      </c>
      <c r="M106">
        <f>IFERROR(IF(ISNUMBER(INDEX(SPPR!$E:$X,MATCH($A106,SPPR!$A:$A,0),10)),$C106*INDEX(SPPR!$E:$X,MATCH($A106,SPPR!$A:$A,0),10),""),"")</f>
        <v/>
      </c>
      <c r="N106">
        <f>IFERROR(IF(ISNUMBER(INDEX(SPPR!$E:$X,MATCH($A106,SPPR!$A:$A,0),11)),$C106*INDEX(SPPR!$E:$X,MATCH($A106,SPPR!$A:$A,0),11),""),"")</f>
        <v/>
      </c>
      <c r="O106">
        <f>IFERROR(IF(ISNUMBER(INDEX(SPPR!$E:$X,MATCH($A106,SPPR!$A:$A,0),12)),$C106*INDEX(SPPR!$E:$X,MATCH($A106,SPPR!$A:$A,0),12),""),"")</f>
        <v/>
      </c>
      <c r="P106">
        <f>IFERROR(IF(ISNUMBER(INDEX(SPPR!$E:$X,MATCH($A106,SPPR!$A:$A,0),13)),$C106*INDEX(SPPR!$E:$X,MATCH($A106,SPPR!$A:$A,0),13),""),"")</f>
        <v/>
      </c>
      <c r="Q106">
        <f>IFERROR(IF(ISNUMBER(INDEX(SPPR!$E:$X,MATCH($A106,SPPR!$A:$A,0),14)),$C106*INDEX(SPPR!$E:$X,MATCH($A106,SPPR!$A:$A,0),14),""),"")</f>
        <v/>
      </c>
      <c r="R106">
        <f>IFERROR(IF(ISNUMBER(INDEX(SPPR!$E:$X,MATCH($A106,SPPR!$A:$A,0),15)),$C106*INDEX(SPPR!$E:$X,MATCH($A106,SPPR!$A:$A,0),15),""),"")</f>
        <v/>
      </c>
      <c r="S106">
        <f>IFERROR(IF(ISNUMBER(INDEX(SPPR!$E:$X,MATCH($A106,SPPR!$A:$A,0),16)),$C106*INDEX(SPPR!$E:$X,MATCH($A106,SPPR!$A:$A,0),16),""),"")</f>
        <v/>
      </c>
      <c r="T106">
        <f>IFERROR(IF(ISNUMBER(INDEX(SPPR!$E:$X,MATCH($A106,SPPR!$A:$A,0),17)),$C106*INDEX(SPPR!$E:$X,MATCH($A106,SPPR!$A:$A,0),17),""),"")</f>
        <v/>
      </c>
      <c r="U106">
        <f>IFERROR(IF(ISNUMBER(INDEX(SPPR!$E:$X,MATCH($A106,SPPR!$A:$A,0),18)),$C106*INDEX(SPPR!$E:$X,MATCH($A106,SPPR!$A:$A,0),18),""),"")</f>
        <v/>
      </c>
      <c r="V106">
        <f>IFERROR(IF(ISNUMBER(INDEX(SPPR!$E:$X,MATCH($A106,SPPR!$A:$A,0),19)),$C106*INDEX(SPPR!$E:$X,MATCH($A106,SPPR!$A:$A,0),19),""),"")</f>
        <v/>
      </c>
      <c r="W106">
        <f>IFERROR(IF(ISNUMBER(INDEX(SPPR!$E:$X,MATCH($A106,SPPR!$A:$A,0),20)),$C106*INDEX(SPPR!$E:$X,MATCH($A106,SPPR!$A:$A,0),20),""),"")</f>
        <v/>
      </c>
    </row>
    <row r="107">
      <c r="A107" t="inlineStr">
        <is>
          <t>Congridae</t>
        </is>
      </c>
      <c r="B107">
        <f>IFERROR(INDEX(SPPR!$D:$D,MATCH($A107,SPPR!$A:$A,0)),"")</f>
        <v/>
      </c>
      <c r="C107">
        <f>IFERROR(INDEX(Catch!$E:$BV,MATCH($A107,Catch!$A:$A,0),MATCH($B$4,Catch!$E$1:$BV$1,0)),0)</f>
        <v/>
      </c>
      <c r="D107">
        <f>IFERROR(IF(ISNUMBER(INDEX(SPPR!$E:$X,MATCH($A107,SPPR!$A:$A,0),1)),$C107*INDEX(SPPR!$E:$X,MATCH($A107,SPPR!$A:$A,0),1),""),"")</f>
        <v/>
      </c>
      <c r="E107">
        <f>IFERROR(IF(ISNUMBER(INDEX(SPPR!$E:$X,MATCH($A107,SPPR!$A:$A,0),2)),$C107*INDEX(SPPR!$E:$X,MATCH($A107,SPPR!$A:$A,0),2),""),"")</f>
        <v/>
      </c>
      <c r="F107">
        <f>IFERROR(IF(ISNUMBER(INDEX(SPPR!$E:$X,MATCH($A107,SPPR!$A:$A,0),3)),$C107*INDEX(SPPR!$E:$X,MATCH($A107,SPPR!$A:$A,0),3),""),"")</f>
        <v/>
      </c>
      <c r="G107">
        <f>IFERROR(IF(ISNUMBER(INDEX(SPPR!$E:$X,MATCH($A107,SPPR!$A:$A,0),4)),$C107*INDEX(SPPR!$E:$X,MATCH($A107,SPPR!$A:$A,0),4),""),"")</f>
        <v/>
      </c>
      <c r="H107">
        <f>IFERROR(IF(ISNUMBER(INDEX(SPPR!$E:$X,MATCH($A107,SPPR!$A:$A,0),5)),$C107*INDEX(SPPR!$E:$X,MATCH($A107,SPPR!$A:$A,0),5),""),"")</f>
        <v/>
      </c>
      <c r="I107">
        <f>IFERROR(IF(ISNUMBER(INDEX(SPPR!$E:$X,MATCH($A107,SPPR!$A:$A,0),6)),$C107*INDEX(SPPR!$E:$X,MATCH($A107,SPPR!$A:$A,0),6),""),"")</f>
        <v/>
      </c>
      <c r="J107">
        <f>IFERROR(IF(ISNUMBER(INDEX(SPPR!$E:$X,MATCH($A107,SPPR!$A:$A,0),7)),$C107*INDEX(SPPR!$E:$X,MATCH($A107,SPPR!$A:$A,0),7),""),"")</f>
        <v/>
      </c>
      <c r="K107">
        <f>IFERROR(IF(ISNUMBER(INDEX(SPPR!$E:$X,MATCH($A107,SPPR!$A:$A,0),8)),$C107*INDEX(SPPR!$E:$X,MATCH($A107,SPPR!$A:$A,0),8),""),"")</f>
        <v/>
      </c>
      <c r="L107">
        <f>IFERROR(IF(ISNUMBER(INDEX(SPPR!$E:$X,MATCH($A107,SPPR!$A:$A,0),9)),$C107*INDEX(SPPR!$E:$X,MATCH($A107,SPPR!$A:$A,0),9),""),"")</f>
        <v/>
      </c>
      <c r="M107">
        <f>IFERROR(IF(ISNUMBER(INDEX(SPPR!$E:$X,MATCH($A107,SPPR!$A:$A,0),10)),$C107*INDEX(SPPR!$E:$X,MATCH($A107,SPPR!$A:$A,0),10),""),"")</f>
        <v/>
      </c>
      <c r="N107">
        <f>IFERROR(IF(ISNUMBER(INDEX(SPPR!$E:$X,MATCH($A107,SPPR!$A:$A,0),11)),$C107*INDEX(SPPR!$E:$X,MATCH($A107,SPPR!$A:$A,0),11),""),"")</f>
        <v/>
      </c>
      <c r="O107">
        <f>IFERROR(IF(ISNUMBER(INDEX(SPPR!$E:$X,MATCH($A107,SPPR!$A:$A,0),12)),$C107*INDEX(SPPR!$E:$X,MATCH($A107,SPPR!$A:$A,0),12),""),"")</f>
        <v/>
      </c>
      <c r="P107">
        <f>IFERROR(IF(ISNUMBER(INDEX(SPPR!$E:$X,MATCH($A107,SPPR!$A:$A,0),13)),$C107*INDEX(SPPR!$E:$X,MATCH($A107,SPPR!$A:$A,0),13),""),"")</f>
        <v/>
      </c>
      <c r="Q107">
        <f>IFERROR(IF(ISNUMBER(INDEX(SPPR!$E:$X,MATCH($A107,SPPR!$A:$A,0),14)),$C107*INDEX(SPPR!$E:$X,MATCH($A107,SPPR!$A:$A,0),14),""),"")</f>
        <v/>
      </c>
      <c r="R107">
        <f>IFERROR(IF(ISNUMBER(INDEX(SPPR!$E:$X,MATCH($A107,SPPR!$A:$A,0),15)),$C107*INDEX(SPPR!$E:$X,MATCH($A107,SPPR!$A:$A,0),15),""),"")</f>
        <v/>
      </c>
      <c r="S107">
        <f>IFERROR(IF(ISNUMBER(INDEX(SPPR!$E:$X,MATCH($A107,SPPR!$A:$A,0),16)),$C107*INDEX(SPPR!$E:$X,MATCH($A107,SPPR!$A:$A,0),16),""),"")</f>
        <v/>
      </c>
      <c r="T107">
        <f>IFERROR(IF(ISNUMBER(INDEX(SPPR!$E:$X,MATCH($A107,SPPR!$A:$A,0),17)),$C107*INDEX(SPPR!$E:$X,MATCH($A107,SPPR!$A:$A,0),17),""),"")</f>
        <v/>
      </c>
      <c r="U107">
        <f>IFERROR(IF(ISNUMBER(INDEX(SPPR!$E:$X,MATCH($A107,SPPR!$A:$A,0),18)),$C107*INDEX(SPPR!$E:$X,MATCH($A107,SPPR!$A:$A,0),18),""),"")</f>
        <v/>
      </c>
      <c r="V107">
        <f>IFERROR(IF(ISNUMBER(INDEX(SPPR!$E:$X,MATCH($A107,SPPR!$A:$A,0),19)),$C107*INDEX(SPPR!$E:$X,MATCH($A107,SPPR!$A:$A,0),19),""),"")</f>
        <v/>
      </c>
      <c r="W107">
        <f>IFERROR(IF(ISNUMBER(INDEX(SPPR!$E:$X,MATCH($A107,SPPR!$A:$A,0),20)),$C107*INDEX(SPPR!$E:$X,MATCH($A107,SPPR!$A:$A,0),20),""),"")</f>
        <v/>
      </c>
    </row>
    <row r="108">
      <c r="A108" t="inlineStr">
        <is>
          <t>Sebastes norvegicus</t>
        </is>
      </c>
      <c r="B108">
        <f>IFERROR(INDEX(SPPR!$D:$D,MATCH($A108,SPPR!$A:$A,0)),"")</f>
        <v/>
      </c>
      <c r="C108">
        <f>IFERROR(INDEX(Catch!$E:$BV,MATCH($A108,Catch!$A:$A,0),MATCH($B$4,Catch!$E$1:$BV$1,0)),0)</f>
        <v/>
      </c>
      <c r="D108">
        <f>IFERROR(IF(ISNUMBER(INDEX(SPPR!$E:$X,MATCH($A108,SPPR!$A:$A,0),1)),$C108*INDEX(SPPR!$E:$X,MATCH($A108,SPPR!$A:$A,0),1),""),"")</f>
        <v/>
      </c>
      <c r="E108">
        <f>IFERROR(IF(ISNUMBER(INDEX(SPPR!$E:$X,MATCH($A108,SPPR!$A:$A,0),2)),$C108*INDEX(SPPR!$E:$X,MATCH($A108,SPPR!$A:$A,0),2),""),"")</f>
        <v/>
      </c>
      <c r="F108">
        <f>IFERROR(IF(ISNUMBER(INDEX(SPPR!$E:$X,MATCH($A108,SPPR!$A:$A,0),3)),$C108*INDEX(SPPR!$E:$X,MATCH($A108,SPPR!$A:$A,0),3),""),"")</f>
        <v/>
      </c>
      <c r="G108">
        <f>IFERROR(IF(ISNUMBER(INDEX(SPPR!$E:$X,MATCH($A108,SPPR!$A:$A,0),4)),$C108*INDEX(SPPR!$E:$X,MATCH($A108,SPPR!$A:$A,0),4),""),"")</f>
        <v/>
      </c>
      <c r="H108">
        <f>IFERROR(IF(ISNUMBER(INDEX(SPPR!$E:$X,MATCH($A108,SPPR!$A:$A,0),5)),$C108*INDEX(SPPR!$E:$X,MATCH($A108,SPPR!$A:$A,0),5),""),"")</f>
        <v/>
      </c>
      <c r="I108">
        <f>IFERROR(IF(ISNUMBER(INDEX(SPPR!$E:$X,MATCH($A108,SPPR!$A:$A,0),6)),$C108*INDEX(SPPR!$E:$X,MATCH($A108,SPPR!$A:$A,0),6),""),"")</f>
        <v/>
      </c>
      <c r="J108">
        <f>IFERROR(IF(ISNUMBER(INDEX(SPPR!$E:$X,MATCH($A108,SPPR!$A:$A,0),7)),$C108*INDEX(SPPR!$E:$X,MATCH($A108,SPPR!$A:$A,0),7),""),"")</f>
        <v/>
      </c>
      <c r="K108">
        <f>IFERROR(IF(ISNUMBER(INDEX(SPPR!$E:$X,MATCH($A108,SPPR!$A:$A,0),8)),$C108*INDEX(SPPR!$E:$X,MATCH($A108,SPPR!$A:$A,0),8),""),"")</f>
        <v/>
      </c>
      <c r="L108">
        <f>IFERROR(IF(ISNUMBER(INDEX(SPPR!$E:$X,MATCH($A108,SPPR!$A:$A,0),9)),$C108*INDEX(SPPR!$E:$X,MATCH($A108,SPPR!$A:$A,0),9),""),"")</f>
        <v/>
      </c>
      <c r="M108">
        <f>IFERROR(IF(ISNUMBER(INDEX(SPPR!$E:$X,MATCH($A108,SPPR!$A:$A,0),10)),$C108*INDEX(SPPR!$E:$X,MATCH($A108,SPPR!$A:$A,0),10),""),"")</f>
        <v/>
      </c>
      <c r="N108">
        <f>IFERROR(IF(ISNUMBER(INDEX(SPPR!$E:$X,MATCH($A108,SPPR!$A:$A,0),11)),$C108*INDEX(SPPR!$E:$X,MATCH($A108,SPPR!$A:$A,0),11),""),"")</f>
        <v/>
      </c>
      <c r="O108">
        <f>IFERROR(IF(ISNUMBER(INDEX(SPPR!$E:$X,MATCH($A108,SPPR!$A:$A,0),12)),$C108*INDEX(SPPR!$E:$X,MATCH($A108,SPPR!$A:$A,0),12),""),"")</f>
        <v/>
      </c>
      <c r="P108">
        <f>IFERROR(IF(ISNUMBER(INDEX(SPPR!$E:$X,MATCH($A108,SPPR!$A:$A,0),13)),$C108*INDEX(SPPR!$E:$X,MATCH($A108,SPPR!$A:$A,0),13),""),"")</f>
        <v/>
      </c>
      <c r="Q108">
        <f>IFERROR(IF(ISNUMBER(INDEX(SPPR!$E:$X,MATCH($A108,SPPR!$A:$A,0),14)),$C108*INDEX(SPPR!$E:$X,MATCH($A108,SPPR!$A:$A,0),14),""),"")</f>
        <v/>
      </c>
      <c r="R108">
        <f>IFERROR(IF(ISNUMBER(INDEX(SPPR!$E:$X,MATCH($A108,SPPR!$A:$A,0),15)),$C108*INDEX(SPPR!$E:$X,MATCH($A108,SPPR!$A:$A,0),15),""),"")</f>
        <v/>
      </c>
      <c r="S108">
        <f>IFERROR(IF(ISNUMBER(INDEX(SPPR!$E:$X,MATCH($A108,SPPR!$A:$A,0),16)),$C108*INDEX(SPPR!$E:$X,MATCH($A108,SPPR!$A:$A,0),16),""),"")</f>
        <v/>
      </c>
      <c r="T108">
        <f>IFERROR(IF(ISNUMBER(INDEX(SPPR!$E:$X,MATCH($A108,SPPR!$A:$A,0),17)),$C108*INDEX(SPPR!$E:$X,MATCH($A108,SPPR!$A:$A,0),17),""),"")</f>
        <v/>
      </c>
      <c r="U108">
        <f>IFERROR(IF(ISNUMBER(INDEX(SPPR!$E:$X,MATCH($A108,SPPR!$A:$A,0),18)),$C108*INDEX(SPPR!$E:$X,MATCH($A108,SPPR!$A:$A,0),18),""),"")</f>
        <v/>
      </c>
      <c r="V108">
        <f>IFERROR(IF(ISNUMBER(INDEX(SPPR!$E:$X,MATCH($A108,SPPR!$A:$A,0),19)),$C108*INDEX(SPPR!$E:$X,MATCH($A108,SPPR!$A:$A,0),19),""),"")</f>
        <v/>
      </c>
      <c r="W108">
        <f>IFERROR(IF(ISNUMBER(INDEX(SPPR!$E:$X,MATCH($A108,SPPR!$A:$A,0),20)),$C108*INDEX(SPPR!$E:$X,MATCH($A108,SPPR!$A:$A,0),20),""),"")</f>
        <v/>
      </c>
    </row>
    <row r="109">
      <c r="A109" t="inlineStr">
        <is>
          <t>Macrouridae</t>
        </is>
      </c>
      <c r="B109">
        <f>IFERROR(INDEX(SPPR!$D:$D,MATCH($A109,SPPR!$A:$A,0)),"")</f>
        <v/>
      </c>
      <c r="C109">
        <f>IFERROR(INDEX(Catch!$E:$BV,MATCH($A109,Catch!$A:$A,0),MATCH($B$4,Catch!$E$1:$BV$1,0)),0)</f>
        <v/>
      </c>
      <c r="D109">
        <f>IFERROR(IF(ISNUMBER(INDEX(SPPR!$E:$X,MATCH($A109,SPPR!$A:$A,0),1)),$C109*INDEX(SPPR!$E:$X,MATCH($A109,SPPR!$A:$A,0),1),""),"")</f>
        <v/>
      </c>
      <c r="E109">
        <f>IFERROR(IF(ISNUMBER(INDEX(SPPR!$E:$X,MATCH($A109,SPPR!$A:$A,0),2)),$C109*INDEX(SPPR!$E:$X,MATCH($A109,SPPR!$A:$A,0),2),""),"")</f>
        <v/>
      </c>
      <c r="F109">
        <f>IFERROR(IF(ISNUMBER(INDEX(SPPR!$E:$X,MATCH($A109,SPPR!$A:$A,0),3)),$C109*INDEX(SPPR!$E:$X,MATCH($A109,SPPR!$A:$A,0),3),""),"")</f>
        <v/>
      </c>
      <c r="G109">
        <f>IFERROR(IF(ISNUMBER(INDEX(SPPR!$E:$X,MATCH($A109,SPPR!$A:$A,0),4)),$C109*INDEX(SPPR!$E:$X,MATCH($A109,SPPR!$A:$A,0),4),""),"")</f>
        <v/>
      </c>
      <c r="H109">
        <f>IFERROR(IF(ISNUMBER(INDEX(SPPR!$E:$X,MATCH($A109,SPPR!$A:$A,0),5)),$C109*INDEX(SPPR!$E:$X,MATCH($A109,SPPR!$A:$A,0),5),""),"")</f>
        <v/>
      </c>
      <c r="I109">
        <f>IFERROR(IF(ISNUMBER(INDEX(SPPR!$E:$X,MATCH($A109,SPPR!$A:$A,0),6)),$C109*INDEX(SPPR!$E:$X,MATCH($A109,SPPR!$A:$A,0),6),""),"")</f>
        <v/>
      </c>
      <c r="J109">
        <f>IFERROR(IF(ISNUMBER(INDEX(SPPR!$E:$X,MATCH($A109,SPPR!$A:$A,0),7)),$C109*INDEX(SPPR!$E:$X,MATCH($A109,SPPR!$A:$A,0),7),""),"")</f>
        <v/>
      </c>
      <c r="K109">
        <f>IFERROR(IF(ISNUMBER(INDEX(SPPR!$E:$X,MATCH($A109,SPPR!$A:$A,0),8)),$C109*INDEX(SPPR!$E:$X,MATCH($A109,SPPR!$A:$A,0),8),""),"")</f>
        <v/>
      </c>
      <c r="L109">
        <f>IFERROR(IF(ISNUMBER(INDEX(SPPR!$E:$X,MATCH($A109,SPPR!$A:$A,0),9)),$C109*INDEX(SPPR!$E:$X,MATCH($A109,SPPR!$A:$A,0),9),""),"")</f>
        <v/>
      </c>
      <c r="M109">
        <f>IFERROR(IF(ISNUMBER(INDEX(SPPR!$E:$X,MATCH($A109,SPPR!$A:$A,0),10)),$C109*INDEX(SPPR!$E:$X,MATCH($A109,SPPR!$A:$A,0),10),""),"")</f>
        <v/>
      </c>
      <c r="N109">
        <f>IFERROR(IF(ISNUMBER(INDEX(SPPR!$E:$X,MATCH($A109,SPPR!$A:$A,0),11)),$C109*INDEX(SPPR!$E:$X,MATCH($A109,SPPR!$A:$A,0),11),""),"")</f>
        <v/>
      </c>
      <c r="O109">
        <f>IFERROR(IF(ISNUMBER(INDEX(SPPR!$E:$X,MATCH($A109,SPPR!$A:$A,0),12)),$C109*INDEX(SPPR!$E:$X,MATCH($A109,SPPR!$A:$A,0),12),""),"")</f>
        <v/>
      </c>
      <c r="P109">
        <f>IFERROR(IF(ISNUMBER(INDEX(SPPR!$E:$X,MATCH($A109,SPPR!$A:$A,0),13)),$C109*INDEX(SPPR!$E:$X,MATCH($A109,SPPR!$A:$A,0),13),""),"")</f>
        <v/>
      </c>
      <c r="Q109">
        <f>IFERROR(IF(ISNUMBER(INDEX(SPPR!$E:$X,MATCH($A109,SPPR!$A:$A,0),14)),$C109*INDEX(SPPR!$E:$X,MATCH($A109,SPPR!$A:$A,0),14),""),"")</f>
        <v/>
      </c>
      <c r="R109">
        <f>IFERROR(IF(ISNUMBER(INDEX(SPPR!$E:$X,MATCH($A109,SPPR!$A:$A,0),15)),$C109*INDEX(SPPR!$E:$X,MATCH($A109,SPPR!$A:$A,0),15),""),"")</f>
        <v/>
      </c>
      <c r="S109">
        <f>IFERROR(IF(ISNUMBER(INDEX(SPPR!$E:$X,MATCH($A109,SPPR!$A:$A,0),16)),$C109*INDEX(SPPR!$E:$X,MATCH($A109,SPPR!$A:$A,0),16),""),"")</f>
        <v/>
      </c>
      <c r="T109">
        <f>IFERROR(IF(ISNUMBER(INDEX(SPPR!$E:$X,MATCH($A109,SPPR!$A:$A,0),17)),$C109*INDEX(SPPR!$E:$X,MATCH($A109,SPPR!$A:$A,0),17),""),"")</f>
        <v/>
      </c>
      <c r="U109">
        <f>IFERROR(IF(ISNUMBER(INDEX(SPPR!$E:$X,MATCH($A109,SPPR!$A:$A,0),18)),$C109*INDEX(SPPR!$E:$X,MATCH($A109,SPPR!$A:$A,0),18),""),"")</f>
        <v/>
      </c>
      <c r="V109">
        <f>IFERROR(IF(ISNUMBER(INDEX(SPPR!$E:$X,MATCH($A109,SPPR!$A:$A,0),19)),$C109*INDEX(SPPR!$E:$X,MATCH($A109,SPPR!$A:$A,0),19),""),"")</f>
        <v/>
      </c>
      <c r="W109">
        <f>IFERROR(IF(ISNUMBER(INDEX(SPPR!$E:$X,MATCH($A109,SPPR!$A:$A,0),20)),$C109*INDEX(SPPR!$E:$X,MATCH($A109,SPPR!$A:$A,0),20),""),"")</f>
        <v/>
      </c>
    </row>
    <row r="110">
      <c r="A110" t="inlineStr">
        <is>
          <t>Chelidonichthys cuculus</t>
        </is>
      </c>
      <c r="B110">
        <f>IFERROR(INDEX(SPPR!$D:$D,MATCH($A110,SPPR!$A:$A,0)),"")</f>
        <v/>
      </c>
      <c r="C110">
        <f>IFERROR(INDEX(Catch!$E:$BV,MATCH($A110,Catch!$A:$A,0),MATCH($B$4,Catch!$E$1:$BV$1,0)),0)</f>
        <v/>
      </c>
      <c r="D110">
        <f>IFERROR(IF(ISNUMBER(INDEX(SPPR!$E:$X,MATCH($A110,SPPR!$A:$A,0),1)),$C110*INDEX(SPPR!$E:$X,MATCH($A110,SPPR!$A:$A,0),1),""),"")</f>
        <v/>
      </c>
      <c r="E110">
        <f>IFERROR(IF(ISNUMBER(INDEX(SPPR!$E:$X,MATCH($A110,SPPR!$A:$A,0),2)),$C110*INDEX(SPPR!$E:$X,MATCH($A110,SPPR!$A:$A,0),2),""),"")</f>
        <v/>
      </c>
      <c r="F110">
        <f>IFERROR(IF(ISNUMBER(INDEX(SPPR!$E:$X,MATCH($A110,SPPR!$A:$A,0),3)),$C110*INDEX(SPPR!$E:$X,MATCH($A110,SPPR!$A:$A,0),3),""),"")</f>
        <v/>
      </c>
      <c r="G110">
        <f>IFERROR(IF(ISNUMBER(INDEX(SPPR!$E:$X,MATCH($A110,SPPR!$A:$A,0),4)),$C110*INDEX(SPPR!$E:$X,MATCH($A110,SPPR!$A:$A,0),4),""),"")</f>
        <v/>
      </c>
      <c r="H110">
        <f>IFERROR(IF(ISNUMBER(INDEX(SPPR!$E:$X,MATCH($A110,SPPR!$A:$A,0),5)),$C110*INDEX(SPPR!$E:$X,MATCH($A110,SPPR!$A:$A,0),5),""),"")</f>
        <v/>
      </c>
      <c r="I110">
        <f>IFERROR(IF(ISNUMBER(INDEX(SPPR!$E:$X,MATCH($A110,SPPR!$A:$A,0),6)),$C110*INDEX(SPPR!$E:$X,MATCH($A110,SPPR!$A:$A,0),6),""),"")</f>
        <v/>
      </c>
      <c r="J110">
        <f>IFERROR(IF(ISNUMBER(INDEX(SPPR!$E:$X,MATCH($A110,SPPR!$A:$A,0),7)),$C110*INDEX(SPPR!$E:$X,MATCH($A110,SPPR!$A:$A,0),7),""),"")</f>
        <v/>
      </c>
      <c r="K110">
        <f>IFERROR(IF(ISNUMBER(INDEX(SPPR!$E:$X,MATCH($A110,SPPR!$A:$A,0),8)),$C110*INDEX(SPPR!$E:$X,MATCH($A110,SPPR!$A:$A,0),8),""),"")</f>
        <v/>
      </c>
      <c r="L110">
        <f>IFERROR(IF(ISNUMBER(INDEX(SPPR!$E:$X,MATCH($A110,SPPR!$A:$A,0),9)),$C110*INDEX(SPPR!$E:$X,MATCH($A110,SPPR!$A:$A,0),9),""),"")</f>
        <v/>
      </c>
      <c r="M110">
        <f>IFERROR(IF(ISNUMBER(INDEX(SPPR!$E:$X,MATCH($A110,SPPR!$A:$A,0),10)),$C110*INDEX(SPPR!$E:$X,MATCH($A110,SPPR!$A:$A,0),10),""),"")</f>
        <v/>
      </c>
      <c r="N110">
        <f>IFERROR(IF(ISNUMBER(INDEX(SPPR!$E:$X,MATCH($A110,SPPR!$A:$A,0),11)),$C110*INDEX(SPPR!$E:$X,MATCH($A110,SPPR!$A:$A,0),11),""),"")</f>
        <v/>
      </c>
      <c r="O110">
        <f>IFERROR(IF(ISNUMBER(INDEX(SPPR!$E:$X,MATCH($A110,SPPR!$A:$A,0),12)),$C110*INDEX(SPPR!$E:$X,MATCH($A110,SPPR!$A:$A,0),12),""),"")</f>
        <v/>
      </c>
      <c r="P110">
        <f>IFERROR(IF(ISNUMBER(INDEX(SPPR!$E:$X,MATCH($A110,SPPR!$A:$A,0),13)),$C110*INDEX(SPPR!$E:$X,MATCH($A110,SPPR!$A:$A,0),13),""),"")</f>
        <v/>
      </c>
      <c r="Q110">
        <f>IFERROR(IF(ISNUMBER(INDEX(SPPR!$E:$X,MATCH($A110,SPPR!$A:$A,0),14)),$C110*INDEX(SPPR!$E:$X,MATCH($A110,SPPR!$A:$A,0),14),""),"")</f>
        <v/>
      </c>
      <c r="R110">
        <f>IFERROR(IF(ISNUMBER(INDEX(SPPR!$E:$X,MATCH($A110,SPPR!$A:$A,0),15)),$C110*INDEX(SPPR!$E:$X,MATCH($A110,SPPR!$A:$A,0),15),""),"")</f>
        <v/>
      </c>
      <c r="S110">
        <f>IFERROR(IF(ISNUMBER(INDEX(SPPR!$E:$X,MATCH($A110,SPPR!$A:$A,0),16)),$C110*INDEX(SPPR!$E:$X,MATCH($A110,SPPR!$A:$A,0),16),""),"")</f>
        <v/>
      </c>
      <c r="T110">
        <f>IFERROR(IF(ISNUMBER(INDEX(SPPR!$E:$X,MATCH($A110,SPPR!$A:$A,0),17)),$C110*INDEX(SPPR!$E:$X,MATCH($A110,SPPR!$A:$A,0),17),""),"")</f>
        <v/>
      </c>
      <c r="U110">
        <f>IFERROR(IF(ISNUMBER(INDEX(SPPR!$E:$X,MATCH($A110,SPPR!$A:$A,0),18)),$C110*INDEX(SPPR!$E:$X,MATCH($A110,SPPR!$A:$A,0),18),""),"")</f>
        <v/>
      </c>
      <c r="V110">
        <f>IFERROR(IF(ISNUMBER(INDEX(SPPR!$E:$X,MATCH($A110,SPPR!$A:$A,0),19)),$C110*INDEX(SPPR!$E:$X,MATCH($A110,SPPR!$A:$A,0),19),""),"")</f>
        <v/>
      </c>
      <c r="W110">
        <f>IFERROR(IF(ISNUMBER(INDEX(SPPR!$E:$X,MATCH($A110,SPPR!$A:$A,0),20)),$C110*INDEX(SPPR!$E:$X,MATCH($A110,SPPR!$A:$A,0),20),""),"")</f>
        <v/>
      </c>
    </row>
    <row r="111">
      <c r="A111" t="inlineStr">
        <is>
          <t>Perciformes</t>
        </is>
      </c>
      <c r="B111">
        <f>IFERROR(INDEX(SPPR!$D:$D,MATCH($A111,SPPR!$A:$A,0)),"")</f>
        <v/>
      </c>
      <c r="C111">
        <f>IFERROR(INDEX(Catch!$E:$BV,MATCH($A111,Catch!$A:$A,0),MATCH($B$4,Catch!$E$1:$BV$1,0)),0)</f>
        <v/>
      </c>
      <c r="D111">
        <f>IFERROR(IF(ISNUMBER(INDEX(SPPR!$E:$X,MATCH($A111,SPPR!$A:$A,0),1)),$C111*INDEX(SPPR!$E:$X,MATCH($A111,SPPR!$A:$A,0),1),""),"")</f>
        <v/>
      </c>
      <c r="E111">
        <f>IFERROR(IF(ISNUMBER(INDEX(SPPR!$E:$X,MATCH($A111,SPPR!$A:$A,0),2)),$C111*INDEX(SPPR!$E:$X,MATCH($A111,SPPR!$A:$A,0),2),""),"")</f>
        <v/>
      </c>
      <c r="F111">
        <f>IFERROR(IF(ISNUMBER(INDEX(SPPR!$E:$X,MATCH($A111,SPPR!$A:$A,0),3)),$C111*INDEX(SPPR!$E:$X,MATCH($A111,SPPR!$A:$A,0),3),""),"")</f>
        <v/>
      </c>
      <c r="G111">
        <f>IFERROR(IF(ISNUMBER(INDEX(SPPR!$E:$X,MATCH($A111,SPPR!$A:$A,0),4)),$C111*INDEX(SPPR!$E:$X,MATCH($A111,SPPR!$A:$A,0),4),""),"")</f>
        <v/>
      </c>
      <c r="H111">
        <f>IFERROR(IF(ISNUMBER(INDEX(SPPR!$E:$X,MATCH($A111,SPPR!$A:$A,0),5)),$C111*INDEX(SPPR!$E:$X,MATCH($A111,SPPR!$A:$A,0),5),""),"")</f>
        <v/>
      </c>
      <c r="I111">
        <f>IFERROR(IF(ISNUMBER(INDEX(SPPR!$E:$X,MATCH($A111,SPPR!$A:$A,0),6)),$C111*INDEX(SPPR!$E:$X,MATCH($A111,SPPR!$A:$A,0),6),""),"")</f>
        <v/>
      </c>
      <c r="J111">
        <f>IFERROR(IF(ISNUMBER(INDEX(SPPR!$E:$X,MATCH($A111,SPPR!$A:$A,0),7)),$C111*INDEX(SPPR!$E:$X,MATCH($A111,SPPR!$A:$A,0),7),""),"")</f>
        <v/>
      </c>
      <c r="K111">
        <f>IFERROR(IF(ISNUMBER(INDEX(SPPR!$E:$X,MATCH($A111,SPPR!$A:$A,0),8)),$C111*INDEX(SPPR!$E:$X,MATCH($A111,SPPR!$A:$A,0),8),""),"")</f>
        <v/>
      </c>
      <c r="L111">
        <f>IFERROR(IF(ISNUMBER(INDEX(SPPR!$E:$X,MATCH($A111,SPPR!$A:$A,0),9)),$C111*INDEX(SPPR!$E:$X,MATCH($A111,SPPR!$A:$A,0),9),""),"")</f>
        <v/>
      </c>
      <c r="M111">
        <f>IFERROR(IF(ISNUMBER(INDEX(SPPR!$E:$X,MATCH($A111,SPPR!$A:$A,0),10)),$C111*INDEX(SPPR!$E:$X,MATCH($A111,SPPR!$A:$A,0),10),""),"")</f>
        <v/>
      </c>
      <c r="N111">
        <f>IFERROR(IF(ISNUMBER(INDEX(SPPR!$E:$X,MATCH($A111,SPPR!$A:$A,0),11)),$C111*INDEX(SPPR!$E:$X,MATCH($A111,SPPR!$A:$A,0),11),""),"")</f>
        <v/>
      </c>
      <c r="O111">
        <f>IFERROR(IF(ISNUMBER(INDEX(SPPR!$E:$X,MATCH($A111,SPPR!$A:$A,0),12)),$C111*INDEX(SPPR!$E:$X,MATCH($A111,SPPR!$A:$A,0),12),""),"")</f>
        <v/>
      </c>
      <c r="P111">
        <f>IFERROR(IF(ISNUMBER(INDEX(SPPR!$E:$X,MATCH($A111,SPPR!$A:$A,0),13)),$C111*INDEX(SPPR!$E:$X,MATCH($A111,SPPR!$A:$A,0),13),""),"")</f>
        <v/>
      </c>
      <c r="Q111">
        <f>IFERROR(IF(ISNUMBER(INDEX(SPPR!$E:$X,MATCH($A111,SPPR!$A:$A,0),14)),$C111*INDEX(SPPR!$E:$X,MATCH($A111,SPPR!$A:$A,0),14),""),"")</f>
        <v/>
      </c>
      <c r="R111">
        <f>IFERROR(IF(ISNUMBER(INDEX(SPPR!$E:$X,MATCH($A111,SPPR!$A:$A,0),15)),$C111*INDEX(SPPR!$E:$X,MATCH($A111,SPPR!$A:$A,0),15),""),"")</f>
        <v/>
      </c>
      <c r="S111">
        <f>IFERROR(IF(ISNUMBER(INDEX(SPPR!$E:$X,MATCH($A111,SPPR!$A:$A,0),16)),$C111*INDEX(SPPR!$E:$X,MATCH($A111,SPPR!$A:$A,0),16),""),"")</f>
        <v/>
      </c>
      <c r="T111">
        <f>IFERROR(IF(ISNUMBER(INDEX(SPPR!$E:$X,MATCH($A111,SPPR!$A:$A,0),17)),$C111*INDEX(SPPR!$E:$X,MATCH($A111,SPPR!$A:$A,0),17),""),"")</f>
        <v/>
      </c>
      <c r="U111">
        <f>IFERROR(IF(ISNUMBER(INDEX(SPPR!$E:$X,MATCH($A111,SPPR!$A:$A,0),18)),$C111*INDEX(SPPR!$E:$X,MATCH($A111,SPPR!$A:$A,0),18),""),"")</f>
        <v/>
      </c>
      <c r="V111">
        <f>IFERROR(IF(ISNUMBER(INDEX(SPPR!$E:$X,MATCH($A111,SPPR!$A:$A,0),19)),$C111*INDEX(SPPR!$E:$X,MATCH($A111,SPPR!$A:$A,0),19),""),"")</f>
        <v/>
      </c>
      <c r="W111">
        <f>IFERROR(IF(ISNUMBER(INDEX(SPPR!$E:$X,MATCH($A111,SPPR!$A:$A,0),20)),$C111*INDEX(SPPR!$E:$X,MATCH($A111,SPPR!$A:$A,0),20),""),"")</f>
        <v/>
      </c>
    </row>
    <row r="112">
      <c r="A112" t="inlineStr">
        <is>
          <t>Littorina</t>
        </is>
      </c>
      <c r="B112">
        <f>IFERROR(INDEX(SPPR!$D:$D,MATCH($A112,SPPR!$A:$A,0)),"")</f>
        <v/>
      </c>
      <c r="C112">
        <f>IFERROR(INDEX(Catch!$E:$BV,MATCH($A112,Catch!$A:$A,0),MATCH($B$4,Catch!$E$1:$BV$1,0)),0)</f>
        <v/>
      </c>
      <c r="D112">
        <f>IFERROR(IF(ISNUMBER(INDEX(SPPR!$E:$X,MATCH($A112,SPPR!$A:$A,0),1)),$C112*INDEX(SPPR!$E:$X,MATCH($A112,SPPR!$A:$A,0),1),""),"")</f>
        <v/>
      </c>
      <c r="E112">
        <f>IFERROR(IF(ISNUMBER(INDEX(SPPR!$E:$X,MATCH($A112,SPPR!$A:$A,0),2)),$C112*INDEX(SPPR!$E:$X,MATCH($A112,SPPR!$A:$A,0),2),""),"")</f>
        <v/>
      </c>
      <c r="F112">
        <f>IFERROR(IF(ISNUMBER(INDEX(SPPR!$E:$X,MATCH($A112,SPPR!$A:$A,0),3)),$C112*INDEX(SPPR!$E:$X,MATCH($A112,SPPR!$A:$A,0),3),""),"")</f>
        <v/>
      </c>
      <c r="G112">
        <f>IFERROR(IF(ISNUMBER(INDEX(SPPR!$E:$X,MATCH($A112,SPPR!$A:$A,0),4)),$C112*INDEX(SPPR!$E:$X,MATCH($A112,SPPR!$A:$A,0),4),""),"")</f>
        <v/>
      </c>
      <c r="H112">
        <f>IFERROR(IF(ISNUMBER(INDEX(SPPR!$E:$X,MATCH($A112,SPPR!$A:$A,0),5)),$C112*INDEX(SPPR!$E:$X,MATCH($A112,SPPR!$A:$A,0),5),""),"")</f>
        <v/>
      </c>
      <c r="I112">
        <f>IFERROR(IF(ISNUMBER(INDEX(SPPR!$E:$X,MATCH($A112,SPPR!$A:$A,0),6)),$C112*INDEX(SPPR!$E:$X,MATCH($A112,SPPR!$A:$A,0),6),""),"")</f>
        <v/>
      </c>
      <c r="J112">
        <f>IFERROR(IF(ISNUMBER(INDEX(SPPR!$E:$X,MATCH($A112,SPPR!$A:$A,0),7)),$C112*INDEX(SPPR!$E:$X,MATCH($A112,SPPR!$A:$A,0),7),""),"")</f>
        <v/>
      </c>
      <c r="K112">
        <f>IFERROR(IF(ISNUMBER(INDEX(SPPR!$E:$X,MATCH($A112,SPPR!$A:$A,0),8)),$C112*INDEX(SPPR!$E:$X,MATCH($A112,SPPR!$A:$A,0),8),""),"")</f>
        <v/>
      </c>
      <c r="L112">
        <f>IFERROR(IF(ISNUMBER(INDEX(SPPR!$E:$X,MATCH($A112,SPPR!$A:$A,0),9)),$C112*INDEX(SPPR!$E:$X,MATCH($A112,SPPR!$A:$A,0),9),""),"")</f>
        <v/>
      </c>
      <c r="M112">
        <f>IFERROR(IF(ISNUMBER(INDEX(SPPR!$E:$X,MATCH($A112,SPPR!$A:$A,0),10)),$C112*INDEX(SPPR!$E:$X,MATCH($A112,SPPR!$A:$A,0),10),""),"")</f>
        <v/>
      </c>
      <c r="N112">
        <f>IFERROR(IF(ISNUMBER(INDEX(SPPR!$E:$X,MATCH($A112,SPPR!$A:$A,0),11)),$C112*INDEX(SPPR!$E:$X,MATCH($A112,SPPR!$A:$A,0),11),""),"")</f>
        <v/>
      </c>
      <c r="O112">
        <f>IFERROR(IF(ISNUMBER(INDEX(SPPR!$E:$X,MATCH($A112,SPPR!$A:$A,0),12)),$C112*INDEX(SPPR!$E:$X,MATCH($A112,SPPR!$A:$A,0),12),""),"")</f>
        <v/>
      </c>
      <c r="P112">
        <f>IFERROR(IF(ISNUMBER(INDEX(SPPR!$E:$X,MATCH($A112,SPPR!$A:$A,0),13)),$C112*INDEX(SPPR!$E:$X,MATCH($A112,SPPR!$A:$A,0),13),""),"")</f>
        <v/>
      </c>
      <c r="Q112">
        <f>IFERROR(IF(ISNUMBER(INDEX(SPPR!$E:$X,MATCH($A112,SPPR!$A:$A,0),14)),$C112*INDEX(SPPR!$E:$X,MATCH($A112,SPPR!$A:$A,0),14),""),"")</f>
        <v/>
      </c>
      <c r="R112">
        <f>IFERROR(IF(ISNUMBER(INDEX(SPPR!$E:$X,MATCH($A112,SPPR!$A:$A,0),15)),$C112*INDEX(SPPR!$E:$X,MATCH($A112,SPPR!$A:$A,0),15),""),"")</f>
        <v/>
      </c>
      <c r="S112">
        <f>IFERROR(IF(ISNUMBER(INDEX(SPPR!$E:$X,MATCH($A112,SPPR!$A:$A,0),16)),$C112*INDEX(SPPR!$E:$X,MATCH($A112,SPPR!$A:$A,0),16),""),"")</f>
        <v/>
      </c>
      <c r="T112">
        <f>IFERROR(IF(ISNUMBER(INDEX(SPPR!$E:$X,MATCH($A112,SPPR!$A:$A,0),17)),$C112*INDEX(SPPR!$E:$X,MATCH($A112,SPPR!$A:$A,0),17),""),"")</f>
        <v/>
      </c>
      <c r="U112">
        <f>IFERROR(IF(ISNUMBER(INDEX(SPPR!$E:$X,MATCH($A112,SPPR!$A:$A,0),18)),$C112*INDEX(SPPR!$E:$X,MATCH($A112,SPPR!$A:$A,0),18),""),"")</f>
        <v/>
      </c>
      <c r="V112">
        <f>IFERROR(IF(ISNUMBER(INDEX(SPPR!$E:$X,MATCH($A112,SPPR!$A:$A,0),19)),$C112*INDEX(SPPR!$E:$X,MATCH($A112,SPPR!$A:$A,0),19),""),"")</f>
        <v/>
      </c>
      <c r="W112">
        <f>IFERROR(IF(ISNUMBER(INDEX(SPPR!$E:$X,MATCH($A112,SPPR!$A:$A,0),20)),$C112*INDEX(SPPR!$E:$X,MATCH($A112,SPPR!$A:$A,0),20),""),"")</f>
        <v/>
      </c>
    </row>
    <row r="113">
      <c r="A113" t="inlineStr">
        <is>
          <t>Hippoglossus hippoglossus</t>
        </is>
      </c>
      <c r="B113">
        <f>IFERROR(INDEX(SPPR!$D:$D,MATCH($A113,SPPR!$A:$A,0)),"")</f>
        <v/>
      </c>
      <c r="C113">
        <f>IFERROR(INDEX(Catch!$E:$BV,MATCH($A113,Catch!$A:$A,0),MATCH($B$4,Catch!$E$1:$BV$1,0)),0)</f>
        <v/>
      </c>
      <c r="D113">
        <f>IFERROR(IF(ISNUMBER(INDEX(SPPR!$E:$X,MATCH($A113,SPPR!$A:$A,0),1)),$C113*INDEX(SPPR!$E:$X,MATCH($A113,SPPR!$A:$A,0),1),""),"")</f>
        <v/>
      </c>
      <c r="E113">
        <f>IFERROR(IF(ISNUMBER(INDEX(SPPR!$E:$X,MATCH($A113,SPPR!$A:$A,0),2)),$C113*INDEX(SPPR!$E:$X,MATCH($A113,SPPR!$A:$A,0),2),""),"")</f>
        <v/>
      </c>
      <c r="F113">
        <f>IFERROR(IF(ISNUMBER(INDEX(SPPR!$E:$X,MATCH($A113,SPPR!$A:$A,0),3)),$C113*INDEX(SPPR!$E:$X,MATCH($A113,SPPR!$A:$A,0),3),""),"")</f>
        <v/>
      </c>
      <c r="G113">
        <f>IFERROR(IF(ISNUMBER(INDEX(SPPR!$E:$X,MATCH($A113,SPPR!$A:$A,0),4)),$C113*INDEX(SPPR!$E:$X,MATCH($A113,SPPR!$A:$A,0),4),""),"")</f>
        <v/>
      </c>
      <c r="H113">
        <f>IFERROR(IF(ISNUMBER(INDEX(SPPR!$E:$X,MATCH($A113,SPPR!$A:$A,0),5)),$C113*INDEX(SPPR!$E:$X,MATCH($A113,SPPR!$A:$A,0),5),""),"")</f>
        <v/>
      </c>
      <c r="I113">
        <f>IFERROR(IF(ISNUMBER(INDEX(SPPR!$E:$X,MATCH($A113,SPPR!$A:$A,0),6)),$C113*INDEX(SPPR!$E:$X,MATCH($A113,SPPR!$A:$A,0),6),""),"")</f>
        <v/>
      </c>
      <c r="J113">
        <f>IFERROR(IF(ISNUMBER(INDEX(SPPR!$E:$X,MATCH($A113,SPPR!$A:$A,0),7)),$C113*INDEX(SPPR!$E:$X,MATCH($A113,SPPR!$A:$A,0),7),""),"")</f>
        <v/>
      </c>
      <c r="K113">
        <f>IFERROR(IF(ISNUMBER(INDEX(SPPR!$E:$X,MATCH($A113,SPPR!$A:$A,0),8)),$C113*INDEX(SPPR!$E:$X,MATCH($A113,SPPR!$A:$A,0),8),""),"")</f>
        <v/>
      </c>
      <c r="L113">
        <f>IFERROR(IF(ISNUMBER(INDEX(SPPR!$E:$X,MATCH($A113,SPPR!$A:$A,0),9)),$C113*INDEX(SPPR!$E:$X,MATCH($A113,SPPR!$A:$A,0),9),""),"")</f>
        <v/>
      </c>
      <c r="M113">
        <f>IFERROR(IF(ISNUMBER(INDEX(SPPR!$E:$X,MATCH($A113,SPPR!$A:$A,0),10)),$C113*INDEX(SPPR!$E:$X,MATCH($A113,SPPR!$A:$A,0),10),""),"")</f>
        <v/>
      </c>
      <c r="N113">
        <f>IFERROR(IF(ISNUMBER(INDEX(SPPR!$E:$X,MATCH($A113,SPPR!$A:$A,0),11)),$C113*INDEX(SPPR!$E:$X,MATCH($A113,SPPR!$A:$A,0),11),""),"")</f>
        <v/>
      </c>
      <c r="O113">
        <f>IFERROR(IF(ISNUMBER(INDEX(SPPR!$E:$X,MATCH($A113,SPPR!$A:$A,0),12)),$C113*INDEX(SPPR!$E:$X,MATCH($A113,SPPR!$A:$A,0),12),""),"")</f>
        <v/>
      </c>
      <c r="P113">
        <f>IFERROR(IF(ISNUMBER(INDEX(SPPR!$E:$X,MATCH($A113,SPPR!$A:$A,0),13)),$C113*INDEX(SPPR!$E:$X,MATCH($A113,SPPR!$A:$A,0),13),""),"")</f>
        <v/>
      </c>
      <c r="Q113">
        <f>IFERROR(IF(ISNUMBER(INDEX(SPPR!$E:$X,MATCH($A113,SPPR!$A:$A,0),14)),$C113*INDEX(SPPR!$E:$X,MATCH($A113,SPPR!$A:$A,0),14),""),"")</f>
        <v/>
      </c>
      <c r="R113">
        <f>IFERROR(IF(ISNUMBER(INDEX(SPPR!$E:$X,MATCH($A113,SPPR!$A:$A,0),15)),$C113*INDEX(SPPR!$E:$X,MATCH($A113,SPPR!$A:$A,0),15),""),"")</f>
        <v/>
      </c>
      <c r="S113">
        <f>IFERROR(IF(ISNUMBER(INDEX(SPPR!$E:$X,MATCH($A113,SPPR!$A:$A,0),16)),$C113*INDEX(SPPR!$E:$X,MATCH($A113,SPPR!$A:$A,0),16),""),"")</f>
        <v/>
      </c>
      <c r="T113">
        <f>IFERROR(IF(ISNUMBER(INDEX(SPPR!$E:$X,MATCH($A113,SPPR!$A:$A,0),17)),$C113*INDEX(SPPR!$E:$X,MATCH($A113,SPPR!$A:$A,0),17),""),"")</f>
        <v/>
      </c>
      <c r="U113">
        <f>IFERROR(IF(ISNUMBER(INDEX(SPPR!$E:$X,MATCH($A113,SPPR!$A:$A,0),18)),$C113*INDEX(SPPR!$E:$X,MATCH($A113,SPPR!$A:$A,0),18),""),"")</f>
        <v/>
      </c>
      <c r="V113">
        <f>IFERROR(IF(ISNUMBER(INDEX(SPPR!$E:$X,MATCH($A113,SPPR!$A:$A,0),19)),$C113*INDEX(SPPR!$E:$X,MATCH($A113,SPPR!$A:$A,0),19),""),"")</f>
        <v/>
      </c>
      <c r="W113">
        <f>IFERROR(IF(ISNUMBER(INDEX(SPPR!$E:$X,MATCH($A113,SPPR!$A:$A,0),20)),$C113*INDEX(SPPR!$E:$X,MATCH($A113,SPPR!$A:$A,0),20),""),"")</f>
        <v/>
      </c>
    </row>
    <row r="114">
      <c r="A114" t="inlineStr">
        <is>
          <t>Raja clavata</t>
        </is>
      </c>
      <c r="B114">
        <f>IFERROR(INDEX(SPPR!$D:$D,MATCH($A114,SPPR!$A:$A,0)),"")</f>
        <v/>
      </c>
      <c r="C114">
        <f>IFERROR(INDEX(Catch!$E:$BV,MATCH($A114,Catch!$A:$A,0),MATCH($B$4,Catch!$E$1:$BV$1,0)),0)</f>
        <v/>
      </c>
      <c r="D114">
        <f>IFERROR(IF(ISNUMBER(INDEX(SPPR!$E:$X,MATCH($A114,SPPR!$A:$A,0),1)),$C114*INDEX(SPPR!$E:$X,MATCH($A114,SPPR!$A:$A,0),1),""),"")</f>
        <v/>
      </c>
      <c r="E114">
        <f>IFERROR(IF(ISNUMBER(INDEX(SPPR!$E:$X,MATCH($A114,SPPR!$A:$A,0),2)),$C114*INDEX(SPPR!$E:$X,MATCH($A114,SPPR!$A:$A,0),2),""),"")</f>
        <v/>
      </c>
      <c r="F114">
        <f>IFERROR(IF(ISNUMBER(INDEX(SPPR!$E:$X,MATCH($A114,SPPR!$A:$A,0),3)),$C114*INDEX(SPPR!$E:$X,MATCH($A114,SPPR!$A:$A,0),3),""),"")</f>
        <v/>
      </c>
      <c r="G114">
        <f>IFERROR(IF(ISNUMBER(INDEX(SPPR!$E:$X,MATCH($A114,SPPR!$A:$A,0),4)),$C114*INDEX(SPPR!$E:$X,MATCH($A114,SPPR!$A:$A,0),4),""),"")</f>
        <v/>
      </c>
      <c r="H114">
        <f>IFERROR(IF(ISNUMBER(INDEX(SPPR!$E:$X,MATCH($A114,SPPR!$A:$A,0),5)),$C114*INDEX(SPPR!$E:$X,MATCH($A114,SPPR!$A:$A,0),5),""),"")</f>
        <v/>
      </c>
      <c r="I114">
        <f>IFERROR(IF(ISNUMBER(INDEX(SPPR!$E:$X,MATCH($A114,SPPR!$A:$A,0),6)),$C114*INDEX(SPPR!$E:$X,MATCH($A114,SPPR!$A:$A,0),6),""),"")</f>
        <v/>
      </c>
      <c r="J114">
        <f>IFERROR(IF(ISNUMBER(INDEX(SPPR!$E:$X,MATCH($A114,SPPR!$A:$A,0),7)),$C114*INDEX(SPPR!$E:$X,MATCH($A114,SPPR!$A:$A,0),7),""),"")</f>
        <v/>
      </c>
      <c r="K114">
        <f>IFERROR(IF(ISNUMBER(INDEX(SPPR!$E:$X,MATCH($A114,SPPR!$A:$A,0),8)),$C114*INDEX(SPPR!$E:$X,MATCH($A114,SPPR!$A:$A,0),8),""),"")</f>
        <v/>
      </c>
      <c r="L114">
        <f>IFERROR(IF(ISNUMBER(INDEX(SPPR!$E:$X,MATCH($A114,SPPR!$A:$A,0),9)),$C114*INDEX(SPPR!$E:$X,MATCH($A114,SPPR!$A:$A,0),9),""),"")</f>
        <v/>
      </c>
      <c r="M114">
        <f>IFERROR(IF(ISNUMBER(INDEX(SPPR!$E:$X,MATCH($A114,SPPR!$A:$A,0),10)),$C114*INDEX(SPPR!$E:$X,MATCH($A114,SPPR!$A:$A,0),10),""),"")</f>
        <v/>
      </c>
      <c r="N114">
        <f>IFERROR(IF(ISNUMBER(INDEX(SPPR!$E:$X,MATCH($A114,SPPR!$A:$A,0),11)),$C114*INDEX(SPPR!$E:$X,MATCH($A114,SPPR!$A:$A,0),11),""),"")</f>
        <v/>
      </c>
      <c r="O114">
        <f>IFERROR(IF(ISNUMBER(INDEX(SPPR!$E:$X,MATCH($A114,SPPR!$A:$A,0),12)),$C114*INDEX(SPPR!$E:$X,MATCH($A114,SPPR!$A:$A,0),12),""),"")</f>
        <v/>
      </c>
      <c r="P114">
        <f>IFERROR(IF(ISNUMBER(INDEX(SPPR!$E:$X,MATCH($A114,SPPR!$A:$A,0),13)),$C114*INDEX(SPPR!$E:$X,MATCH($A114,SPPR!$A:$A,0),13),""),"")</f>
        <v/>
      </c>
      <c r="Q114">
        <f>IFERROR(IF(ISNUMBER(INDEX(SPPR!$E:$X,MATCH($A114,SPPR!$A:$A,0),14)),$C114*INDEX(SPPR!$E:$X,MATCH($A114,SPPR!$A:$A,0),14),""),"")</f>
        <v/>
      </c>
      <c r="R114">
        <f>IFERROR(IF(ISNUMBER(INDEX(SPPR!$E:$X,MATCH($A114,SPPR!$A:$A,0),15)),$C114*INDEX(SPPR!$E:$X,MATCH($A114,SPPR!$A:$A,0),15),""),"")</f>
        <v/>
      </c>
      <c r="S114">
        <f>IFERROR(IF(ISNUMBER(INDEX(SPPR!$E:$X,MATCH($A114,SPPR!$A:$A,0),16)),$C114*INDEX(SPPR!$E:$X,MATCH($A114,SPPR!$A:$A,0),16),""),"")</f>
        <v/>
      </c>
      <c r="T114">
        <f>IFERROR(IF(ISNUMBER(INDEX(SPPR!$E:$X,MATCH($A114,SPPR!$A:$A,0),17)),$C114*INDEX(SPPR!$E:$X,MATCH($A114,SPPR!$A:$A,0),17),""),"")</f>
        <v/>
      </c>
      <c r="U114">
        <f>IFERROR(IF(ISNUMBER(INDEX(SPPR!$E:$X,MATCH($A114,SPPR!$A:$A,0),18)),$C114*INDEX(SPPR!$E:$X,MATCH($A114,SPPR!$A:$A,0),18),""),"")</f>
        <v/>
      </c>
      <c r="V114">
        <f>IFERROR(IF(ISNUMBER(INDEX(SPPR!$E:$X,MATCH($A114,SPPR!$A:$A,0),19)),$C114*INDEX(SPPR!$E:$X,MATCH($A114,SPPR!$A:$A,0),19),""),"")</f>
        <v/>
      </c>
      <c r="W114">
        <f>IFERROR(IF(ISNUMBER(INDEX(SPPR!$E:$X,MATCH($A114,SPPR!$A:$A,0),20)),$C114*INDEX(SPPR!$E:$X,MATCH($A114,SPPR!$A:$A,0),20),""),"")</f>
        <v/>
      </c>
    </row>
    <row r="115">
      <c r="A115" t="inlineStr">
        <is>
          <t>Gadiformes</t>
        </is>
      </c>
      <c r="B115">
        <f>IFERROR(INDEX(SPPR!$D:$D,MATCH($A115,SPPR!$A:$A,0)),"")</f>
        <v/>
      </c>
      <c r="C115">
        <f>IFERROR(INDEX(Catch!$E:$BV,MATCH($A115,Catch!$A:$A,0),MATCH($B$4,Catch!$E$1:$BV$1,0)),0)</f>
        <v/>
      </c>
      <c r="D115">
        <f>IFERROR(IF(ISNUMBER(INDEX(SPPR!$E:$X,MATCH($A115,SPPR!$A:$A,0),1)),$C115*INDEX(SPPR!$E:$X,MATCH($A115,SPPR!$A:$A,0),1),""),"")</f>
        <v/>
      </c>
      <c r="E115">
        <f>IFERROR(IF(ISNUMBER(INDEX(SPPR!$E:$X,MATCH($A115,SPPR!$A:$A,0),2)),$C115*INDEX(SPPR!$E:$X,MATCH($A115,SPPR!$A:$A,0),2),""),"")</f>
        <v/>
      </c>
      <c r="F115">
        <f>IFERROR(IF(ISNUMBER(INDEX(SPPR!$E:$X,MATCH($A115,SPPR!$A:$A,0),3)),$C115*INDEX(SPPR!$E:$X,MATCH($A115,SPPR!$A:$A,0),3),""),"")</f>
        <v/>
      </c>
      <c r="G115">
        <f>IFERROR(IF(ISNUMBER(INDEX(SPPR!$E:$X,MATCH($A115,SPPR!$A:$A,0),4)),$C115*INDEX(SPPR!$E:$X,MATCH($A115,SPPR!$A:$A,0),4),""),"")</f>
        <v/>
      </c>
      <c r="H115">
        <f>IFERROR(IF(ISNUMBER(INDEX(SPPR!$E:$X,MATCH($A115,SPPR!$A:$A,0),5)),$C115*INDEX(SPPR!$E:$X,MATCH($A115,SPPR!$A:$A,0),5),""),"")</f>
        <v/>
      </c>
      <c r="I115">
        <f>IFERROR(IF(ISNUMBER(INDEX(SPPR!$E:$X,MATCH($A115,SPPR!$A:$A,0),6)),$C115*INDEX(SPPR!$E:$X,MATCH($A115,SPPR!$A:$A,0),6),""),"")</f>
        <v/>
      </c>
      <c r="J115">
        <f>IFERROR(IF(ISNUMBER(INDEX(SPPR!$E:$X,MATCH($A115,SPPR!$A:$A,0),7)),$C115*INDEX(SPPR!$E:$X,MATCH($A115,SPPR!$A:$A,0),7),""),"")</f>
        <v/>
      </c>
      <c r="K115">
        <f>IFERROR(IF(ISNUMBER(INDEX(SPPR!$E:$X,MATCH($A115,SPPR!$A:$A,0),8)),$C115*INDEX(SPPR!$E:$X,MATCH($A115,SPPR!$A:$A,0),8),""),"")</f>
        <v/>
      </c>
      <c r="L115">
        <f>IFERROR(IF(ISNUMBER(INDEX(SPPR!$E:$X,MATCH($A115,SPPR!$A:$A,0),9)),$C115*INDEX(SPPR!$E:$X,MATCH($A115,SPPR!$A:$A,0),9),""),"")</f>
        <v/>
      </c>
      <c r="M115">
        <f>IFERROR(IF(ISNUMBER(INDEX(SPPR!$E:$X,MATCH($A115,SPPR!$A:$A,0),10)),$C115*INDEX(SPPR!$E:$X,MATCH($A115,SPPR!$A:$A,0),10),""),"")</f>
        <v/>
      </c>
      <c r="N115">
        <f>IFERROR(IF(ISNUMBER(INDEX(SPPR!$E:$X,MATCH($A115,SPPR!$A:$A,0),11)),$C115*INDEX(SPPR!$E:$X,MATCH($A115,SPPR!$A:$A,0),11),""),"")</f>
        <v/>
      </c>
      <c r="O115">
        <f>IFERROR(IF(ISNUMBER(INDEX(SPPR!$E:$X,MATCH($A115,SPPR!$A:$A,0),12)),$C115*INDEX(SPPR!$E:$X,MATCH($A115,SPPR!$A:$A,0),12),""),"")</f>
        <v/>
      </c>
      <c r="P115">
        <f>IFERROR(IF(ISNUMBER(INDEX(SPPR!$E:$X,MATCH($A115,SPPR!$A:$A,0),13)),$C115*INDEX(SPPR!$E:$X,MATCH($A115,SPPR!$A:$A,0),13),""),"")</f>
        <v/>
      </c>
      <c r="Q115">
        <f>IFERROR(IF(ISNUMBER(INDEX(SPPR!$E:$X,MATCH($A115,SPPR!$A:$A,0),14)),$C115*INDEX(SPPR!$E:$X,MATCH($A115,SPPR!$A:$A,0),14),""),"")</f>
        <v/>
      </c>
      <c r="R115">
        <f>IFERROR(IF(ISNUMBER(INDEX(SPPR!$E:$X,MATCH($A115,SPPR!$A:$A,0),15)),$C115*INDEX(SPPR!$E:$X,MATCH($A115,SPPR!$A:$A,0),15),""),"")</f>
        <v/>
      </c>
      <c r="S115">
        <f>IFERROR(IF(ISNUMBER(INDEX(SPPR!$E:$X,MATCH($A115,SPPR!$A:$A,0),16)),$C115*INDEX(SPPR!$E:$X,MATCH($A115,SPPR!$A:$A,0),16),""),"")</f>
        <v/>
      </c>
      <c r="T115">
        <f>IFERROR(IF(ISNUMBER(INDEX(SPPR!$E:$X,MATCH($A115,SPPR!$A:$A,0),17)),$C115*INDEX(SPPR!$E:$X,MATCH($A115,SPPR!$A:$A,0),17),""),"")</f>
        <v/>
      </c>
      <c r="U115">
        <f>IFERROR(IF(ISNUMBER(INDEX(SPPR!$E:$X,MATCH($A115,SPPR!$A:$A,0),18)),$C115*INDEX(SPPR!$E:$X,MATCH($A115,SPPR!$A:$A,0),18),""),"")</f>
        <v/>
      </c>
      <c r="V115">
        <f>IFERROR(IF(ISNUMBER(INDEX(SPPR!$E:$X,MATCH($A115,SPPR!$A:$A,0),19)),$C115*INDEX(SPPR!$E:$X,MATCH($A115,SPPR!$A:$A,0),19),""),"")</f>
        <v/>
      </c>
      <c r="W115">
        <f>IFERROR(IF(ISNUMBER(INDEX(SPPR!$E:$X,MATCH($A115,SPPR!$A:$A,0),20)),$C115*INDEX(SPPR!$E:$X,MATCH($A115,SPPR!$A:$A,0),20),""),"")</f>
        <v/>
      </c>
    </row>
    <row r="116">
      <c r="A116" t="inlineStr">
        <is>
          <t>Molva dypterygia</t>
        </is>
      </c>
      <c r="B116">
        <f>IFERROR(INDEX(SPPR!$D:$D,MATCH($A116,SPPR!$A:$A,0)),"")</f>
        <v/>
      </c>
      <c r="C116">
        <f>IFERROR(INDEX(Catch!$E:$BV,MATCH($A116,Catch!$A:$A,0),MATCH($B$4,Catch!$E$1:$BV$1,0)),0)</f>
        <v/>
      </c>
      <c r="D116">
        <f>IFERROR(IF(ISNUMBER(INDEX(SPPR!$E:$X,MATCH($A116,SPPR!$A:$A,0),1)),$C116*INDEX(SPPR!$E:$X,MATCH($A116,SPPR!$A:$A,0),1),""),"")</f>
        <v/>
      </c>
      <c r="E116">
        <f>IFERROR(IF(ISNUMBER(INDEX(SPPR!$E:$X,MATCH($A116,SPPR!$A:$A,0),2)),$C116*INDEX(SPPR!$E:$X,MATCH($A116,SPPR!$A:$A,0),2),""),"")</f>
        <v/>
      </c>
      <c r="F116">
        <f>IFERROR(IF(ISNUMBER(INDEX(SPPR!$E:$X,MATCH($A116,SPPR!$A:$A,0),3)),$C116*INDEX(SPPR!$E:$X,MATCH($A116,SPPR!$A:$A,0),3),""),"")</f>
        <v/>
      </c>
      <c r="G116">
        <f>IFERROR(IF(ISNUMBER(INDEX(SPPR!$E:$X,MATCH($A116,SPPR!$A:$A,0),4)),$C116*INDEX(SPPR!$E:$X,MATCH($A116,SPPR!$A:$A,0),4),""),"")</f>
        <v/>
      </c>
      <c r="H116">
        <f>IFERROR(IF(ISNUMBER(INDEX(SPPR!$E:$X,MATCH($A116,SPPR!$A:$A,0),5)),$C116*INDEX(SPPR!$E:$X,MATCH($A116,SPPR!$A:$A,0),5),""),"")</f>
        <v/>
      </c>
      <c r="I116">
        <f>IFERROR(IF(ISNUMBER(INDEX(SPPR!$E:$X,MATCH($A116,SPPR!$A:$A,0),6)),$C116*INDEX(SPPR!$E:$X,MATCH($A116,SPPR!$A:$A,0),6),""),"")</f>
        <v/>
      </c>
      <c r="J116">
        <f>IFERROR(IF(ISNUMBER(INDEX(SPPR!$E:$X,MATCH($A116,SPPR!$A:$A,0),7)),$C116*INDEX(SPPR!$E:$X,MATCH($A116,SPPR!$A:$A,0),7),""),"")</f>
        <v/>
      </c>
      <c r="K116">
        <f>IFERROR(IF(ISNUMBER(INDEX(SPPR!$E:$X,MATCH($A116,SPPR!$A:$A,0),8)),$C116*INDEX(SPPR!$E:$X,MATCH($A116,SPPR!$A:$A,0),8),""),"")</f>
        <v/>
      </c>
      <c r="L116">
        <f>IFERROR(IF(ISNUMBER(INDEX(SPPR!$E:$X,MATCH($A116,SPPR!$A:$A,0),9)),$C116*INDEX(SPPR!$E:$X,MATCH($A116,SPPR!$A:$A,0),9),""),"")</f>
        <v/>
      </c>
      <c r="M116">
        <f>IFERROR(IF(ISNUMBER(INDEX(SPPR!$E:$X,MATCH($A116,SPPR!$A:$A,0),10)),$C116*INDEX(SPPR!$E:$X,MATCH($A116,SPPR!$A:$A,0),10),""),"")</f>
        <v/>
      </c>
      <c r="N116">
        <f>IFERROR(IF(ISNUMBER(INDEX(SPPR!$E:$X,MATCH($A116,SPPR!$A:$A,0),11)),$C116*INDEX(SPPR!$E:$X,MATCH($A116,SPPR!$A:$A,0),11),""),"")</f>
        <v/>
      </c>
      <c r="O116">
        <f>IFERROR(IF(ISNUMBER(INDEX(SPPR!$E:$X,MATCH($A116,SPPR!$A:$A,0),12)),$C116*INDEX(SPPR!$E:$X,MATCH($A116,SPPR!$A:$A,0),12),""),"")</f>
        <v/>
      </c>
      <c r="P116">
        <f>IFERROR(IF(ISNUMBER(INDEX(SPPR!$E:$X,MATCH($A116,SPPR!$A:$A,0),13)),$C116*INDEX(SPPR!$E:$X,MATCH($A116,SPPR!$A:$A,0),13),""),"")</f>
        <v/>
      </c>
      <c r="Q116">
        <f>IFERROR(IF(ISNUMBER(INDEX(SPPR!$E:$X,MATCH($A116,SPPR!$A:$A,0),14)),$C116*INDEX(SPPR!$E:$X,MATCH($A116,SPPR!$A:$A,0),14),""),"")</f>
        <v/>
      </c>
      <c r="R116">
        <f>IFERROR(IF(ISNUMBER(INDEX(SPPR!$E:$X,MATCH($A116,SPPR!$A:$A,0),15)),$C116*INDEX(SPPR!$E:$X,MATCH($A116,SPPR!$A:$A,0),15),""),"")</f>
        <v/>
      </c>
      <c r="S116">
        <f>IFERROR(IF(ISNUMBER(INDEX(SPPR!$E:$X,MATCH($A116,SPPR!$A:$A,0),16)),$C116*INDEX(SPPR!$E:$X,MATCH($A116,SPPR!$A:$A,0),16),""),"")</f>
        <v/>
      </c>
      <c r="T116">
        <f>IFERROR(IF(ISNUMBER(INDEX(SPPR!$E:$X,MATCH($A116,SPPR!$A:$A,0),17)),$C116*INDEX(SPPR!$E:$X,MATCH($A116,SPPR!$A:$A,0),17),""),"")</f>
        <v/>
      </c>
      <c r="U116">
        <f>IFERROR(IF(ISNUMBER(INDEX(SPPR!$E:$X,MATCH($A116,SPPR!$A:$A,0),18)),$C116*INDEX(SPPR!$E:$X,MATCH($A116,SPPR!$A:$A,0),18),""),"")</f>
        <v/>
      </c>
      <c r="V116">
        <f>IFERROR(IF(ISNUMBER(INDEX(SPPR!$E:$X,MATCH($A116,SPPR!$A:$A,0),19)),$C116*INDEX(SPPR!$E:$X,MATCH($A116,SPPR!$A:$A,0),19),""),"")</f>
        <v/>
      </c>
      <c r="W116">
        <f>IFERROR(IF(ISNUMBER(INDEX(SPPR!$E:$X,MATCH($A116,SPPR!$A:$A,0),20)),$C116*INDEX(SPPR!$E:$X,MATCH($A116,SPPR!$A:$A,0),20),""),"")</f>
        <v/>
      </c>
    </row>
    <row r="117">
      <c r="A117" t="inlineStr">
        <is>
          <t>Sciaenidae</t>
        </is>
      </c>
      <c r="B117">
        <f>IFERROR(INDEX(SPPR!$D:$D,MATCH($A117,SPPR!$A:$A,0)),"")</f>
        <v/>
      </c>
      <c r="C117">
        <f>IFERROR(INDEX(Catch!$E:$BV,MATCH($A117,Catch!$A:$A,0),MATCH($B$4,Catch!$E$1:$BV$1,0)),0)</f>
        <v/>
      </c>
      <c r="D117">
        <f>IFERROR(IF(ISNUMBER(INDEX(SPPR!$E:$X,MATCH($A117,SPPR!$A:$A,0),1)),$C117*INDEX(SPPR!$E:$X,MATCH($A117,SPPR!$A:$A,0),1),""),"")</f>
        <v/>
      </c>
      <c r="E117">
        <f>IFERROR(IF(ISNUMBER(INDEX(SPPR!$E:$X,MATCH($A117,SPPR!$A:$A,0),2)),$C117*INDEX(SPPR!$E:$X,MATCH($A117,SPPR!$A:$A,0),2),""),"")</f>
        <v/>
      </c>
      <c r="F117">
        <f>IFERROR(IF(ISNUMBER(INDEX(SPPR!$E:$X,MATCH($A117,SPPR!$A:$A,0),3)),$C117*INDEX(SPPR!$E:$X,MATCH($A117,SPPR!$A:$A,0),3),""),"")</f>
        <v/>
      </c>
      <c r="G117">
        <f>IFERROR(IF(ISNUMBER(INDEX(SPPR!$E:$X,MATCH($A117,SPPR!$A:$A,0),4)),$C117*INDEX(SPPR!$E:$X,MATCH($A117,SPPR!$A:$A,0),4),""),"")</f>
        <v/>
      </c>
      <c r="H117">
        <f>IFERROR(IF(ISNUMBER(INDEX(SPPR!$E:$X,MATCH($A117,SPPR!$A:$A,0),5)),$C117*INDEX(SPPR!$E:$X,MATCH($A117,SPPR!$A:$A,0),5),""),"")</f>
        <v/>
      </c>
      <c r="I117">
        <f>IFERROR(IF(ISNUMBER(INDEX(SPPR!$E:$X,MATCH($A117,SPPR!$A:$A,0),6)),$C117*INDEX(SPPR!$E:$X,MATCH($A117,SPPR!$A:$A,0),6),""),"")</f>
        <v/>
      </c>
      <c r="J117">
        <f>IFERROR(IF(ISNUMBER(INDEX(SPPR!$E:$X,MATCH($A117,SPPR!$A:$A,0),7)),$C117*INDEX(SPPR!$E:$X,MATCH($A117,SPPR!$A:$A,0),7),""),"")</f>
        <v/>
      </c>
      <c r="K117">
        <f>IFERROR(IF(ISNUMBER(INDEX(SPPR!$E:$X,MATCH($A117,SPPR!$A:$A,0),8)),$C117*INDEX(SPPR!$E:$X,MATCH($A117,SPPR!$A:$A,0),8),""),"")</f>
        <v/>
      </c>
      <c r="L117">
        <f>IFERROR(IF(ISNUMBER(INDEX(SPPR!$E:$X,MATCH($A117,SPPR!$A:$A,0),9)),$C117*INDEX(SPPR!$E:$X,MATCH($A117,SPPR!$A:$A,0),9),""),"")</f>
        <v/>
      </c>
      <c r="M117">
        <f>IFERROR(IF(ISNUMBER(INDEX(SPPR!$E:$X,MATCH($A117,SPPR!$A:$A,0),10)),$C117*INDEX(SPPR!$E:$X,MATCH($A117,SPPR!$A:$A,0),10),""),"")</f>
        <v/>
      </c>
      <c r="N117">
        <f>IFERROR(IF(ISNUMBER(INDEX(SPPR!$E:$X,MATCH($A117,SPPR!$A:$A,0),11)),$C117*INDEX(SPPR!$E:$X,MATCH($A117,SPPR!$A:$A,0),11),""),"")</f>
        <v/>
      </c>
      <c r="O117">
        <f>IFERROR(IF(ISNUMBER(INDEX(SPPR!$E:$X,MATCH($A117,SPPR!$A:$A,0),12)),$C117*INDEX(SPPR!$E:$X,MATCH($A117,SPPR!$A:$A,0),12),""),"")</f>
        <v/>
      </c>
      <c r="P117">
        <f>IFERROR(IF(ISNUMBER(INDEX(SPPR!$E:$X,MATCH($A117,SPPR!$A:$A,0),13)),$C117*INDEX(SPPR!$E:$X,MATCH($A117,SPPR!$A:$A,0),13),""),"")</f>
        <v/>
      </c>
      <c r="Q117">
        <f>IFERROR(IF(ISNUMBER(INDEX(SPPR!$E:$X,MATCH($A117,SPPR!$A:$A,0),14)),$C117*INDEX(SPPR!$E:$X,MATCH($A117,SPPR!$A:$A,0),14),""),"")</f>
        <v/>
      </c>
      <c r="R117">
        <f>IFERROR(IF(ISNUMBER(INDEX(SPPR!$E:$X,MATCH($A117,SPPR!$A:$A,0),15)),$C117*INDEX(SPPR!$E:$X,MATCH($A117,SPPR!$A:$A,0),15),""),"")</f>
        <v/>
      </c>
      <c r="S117">
        <f>IFERROR(IF(ISNUMBER(INDEX(SPPR!$E:$X,MATCH($A117,SPPR!$A:$A,0),16)),$C117*INDEX(SPPR!$E:$X,MATCH($A117,SPPR!$A:$A,0),16),""),"")</f>
        <v/>
      </c>
      <c r="T117">
        <f>IFERROR(IF(ISNUMBER(INDEX(SPPR!$E:$X,MATCH($A117,SPPR!$A:$A,0),17)),$C117*INDEX(SPPR!$E:$X,MATCH($A117,SPPR!$A:$A,0),17),""),"")</f>
        <v/>
      </c>
      <c r="U117">
        <f>IFERROR(IF(ISNUMBER(INDEX(SPPR!$E:$X,MATCH($A117,SPPR!$A:$A,0),18)),$C117*INDEX(SPPR!$E:$X,MATCH($A117,SPPR!$A:$A,0),18),""),"")</f>
        <v/>
      </c>
      <c r="V117">
        <f>IFERROR(IF(ISNUMBER(INDEX(SPPR!$E:$X,MATCH($A117,SPPR!$A:$A,0),19)),$C117*INDEX(SPPR!$E:$X,MATCH($A117,SPPR!$A:$A,0),19),""),"")</f>
        <v/>
      </c>
      <c r="W117">
        <f>IFERROR(IF(ISNUMBER(INDEX(SPPR!$E:$X,MATCH($A117,SPPR!$A:$A,0),20)),$C117*INDEX(SPPR!$E:$X,MATCH($A117,SPPR!$A:$A,0),20),""),"")</f>
        <v/>
      </c>
    </row>
    <row r="118">
      <c r="A118" t="inlineStr">
        <is>
          <t>Callionymus maculatus</t>
        </is>
      </c>
      <c r="B118">
        <f>IFERROR(INDEX(SPPR!$D:$D,MATCH($A118,SPPR!$A:$A,0)),"")</f>
        <v/>
      </c>
      <c r="C118">
        <f>IFERROR(INDEX(Catch!$E:$BV,MATCH($A118,Catch!$A:$A,0),MATCH($B$4,Catch!$E$1:$BV$1,0)),0)</f>
        <v/>
      </c>
      <c r="D118">
        <f>IFERROR(IF(ISNUMBER(INDEX(SPPR!$E:$X,MATCH($A118,SPPR!$A:$A,0),1)),$C118*INDEX(SPPR!$E:$X,MATCH($A118,SPPR!$A:$A,0),1),""),"")</f>
        <v/>
      </c>
      <c r="E118">
        <f>IFERROR(IF(ISNUMBER(INDEX(SPPR!$E:$X,MATCH($A118,SPPR!$A:$A,0),2)),$C118*INDEX(SPPR!$E:$X,MATCH($A118,SPPR!$A:$A,0),2),""),"")</f>
        <v/>
      </c>
      <c r="F118">
        <f>IFERROR(IF(ISNUMBER(INDEX(SPPR!$E:$X,MATCH($A118,SPPR!$A:$A,0),3)),$C118*INDEX(SPPR!$E:$X,MATCH($A118,SPPR!$A:$A,0),3),""),"")</f>
        <v/>
      </c>
      <c r="G118">
        <f>IFERROR(IF(ISNUMBER(INDEX(SPPR!$E:$X,MATCH($A118,SPPR!$A:$A,0),4)),$C118*INDEX(SPPR!$E:$X,MATCH($A118,SPPR!$A:$A,0),4),""),"")</f>
        <v/>
      </c>
      <c r="H118">
        <f>IFERROR(IF(ISNUMBER(INDEX(SPPR!$E:$X,MATCH($A118,SPPR!$A:$A,0),5)),$C118*INDEX(SPPR!$E:$X,MATCH($A118,SPPR!$A:$A,0),5),""),"")</f>
        <v/>
      </c>
      <c r="I118">
        <f>IFERROR(IF(ISNUMBER(INDEX(SPPR!$E:$X,MATCH($A118,SPPR!$A:$A,0),6)),$C118*INDEX(SPPR!$E:$X,MATCH($A118,SPPR!$A:$A,0),6),""),"")</f>
        <v/>
      </c>
      <c r="J118">
        <f>IFERROR(IF(ISNUMBER(INDEX(SPPR!$E:$X,MATCH($A118,SPPR!$A:$A,0),7)),$C118*INDEX(SPPR!$E:$X,MATCH($A118,SPPR!$A:$A,0),7),""),"")</f>
        <v/>
      </c>
      <c r="K118">
        <f>IFERROR(IF(ISNUMBER(INDEX(SPPR!$E:$X,MATCH($A118,SPPR!$A:$A,0),8)),$C118*INDEX(SPPR!$E:$X,MATCH($A118,SPPR!$A:$A,0),8),""),"")</f>
        <v/>
      </c>
      <c r="L118">
        <f>IFERROR(IF(ISNUMBER(INDEX(SPPR!$E:$X,MATCH($A118,SPPR!$A:$A,0),9)),$C118*INDEX(SPPR!$E:$X,MATCH($A118,SPPR!$A:$A,0),9),""),"")</f>
        <v/>
      </c>
      <c r="M118">
        <f>IFERROR(IF(ISNUMBER(INDEX(SPPR!$E:$X,MATCH($A118,SPPR!$A:$A,0),10)),$C118*INDEX(SPPR!$E:$X,MATCH($A118,SPPR!$A:$A,0),10),""),"")</f>
        <v/>
      </c>
      <c r="N118">
        <f>IFERROR(IF(ISNUMBER(INDEX(SPPR!$E:$X,MATCH($A118,SPPR!$A:$A,0),11)),$C118*INDEX(SPPR!$E:$X,MATCH($A118,SPPR!$A:$A,0),11),""),"")</f>
        <v/>
      </c>
      <c r="O118">
        <f>IFERROR(IF(ISNUMBER(INDEX(SPPR!$E:$X,MATCH($A118,SPPR!$A:$A,0),12)),$C118*INDEX(SPPR!$E:$X,MATCH($A118,SPPR!$A:$A,0),12),""),"")</f>
        <v/>
      </c>
      <c r="P118">
        <f>IFERROR(IF(ISNUMBER(INDEX(SPPR!$E:$X,MATCH($A118,SPPR!$A:$A,0),13)),$C118*INDEX(SPPR!$E:$X,MATCH($A118,SPPR!$A:$A,0),13),""),"")</f>
        <v/>
      </c>
      <c r="Q118">
        <f>IFERROR(IF(ISNUMBER(INDEX(SPPR!$E:$X,MATCH($A118,SPPR!$A:$A,0),14)),$C118*INDEX(SPPR!$E:$X,MATCH($A118,SPPR!$A:$A,0),14),""),"")</f>
        <v/>
      </c>
      <c r="R118">
        <f>IFERROR(IF(ISNUMBER(INDEX(SPPR!$E:$X,MATCH($A118,SPPR!$A:$A,0),15)),$C118*INDEX(SPPR!$E:$X,MATCH($A118,SPPR!$A:$A,0),15),""),"")</f>
        <v/>
      </c>
      <c r="S118">
        <f>IFERROR(IF(ISNUMBER(INDEX(SPPR!$E:$X,MATCH($A118,SPPR!$A:$A,0),16)),$C118*INDEX(SPPR!$E:$X,MATCH($A118,SPPR!$A:$A,0),16),""),"")</f>
        <v/>
      </c>
      <c r="T118">
        <f>IFERROR(IF(ISNUMBER(INDEX(SPPR!$E:$X,MATCH($A118,SPPR!$A:$A,0),17)),$C118*INDEX(SPPR!$E:$X,MATCH($A118,SPPR!$A:$A,0),17),""),"")</f>
        <v/>
      </c>
      <c r="U118">
        <f>IFERROR(IF(ISNUMBER(INDEX(SPPR!$E:$X,MATCH($A118,SPPR!$A:$A,0),18)),$C118*INDEX(SPPR!$E:$X,MATCH($A118,SPPR!$A:$A,0),18),""),"")</f>
        <v/>
      </c>
      <c r="V118">
        <f>IFERROR(IF(ISNUMBER(INDEX(SPPR!$E:$X,MATCH($A118,SPPR!$A:$A,0),19)),$C118*INDEX(SPPR!$E:$X,MATCH($A118,SPPR!$A:$A,0),19),""),"")</f>
        <v/>
      </c>
      <c r="W118">
        <f>IFERROR(IF(ISNUMBER(INDEX(SPPR!$E:$X,MATCH($A118,SPPR!$A:$A,0),20)),$C118*INDEX(SPPR!$E:$X,MATCH($A118,SPPR!$A:$A,0),20),""),"")</f>
        <v/>
      </c>
    </row>
    <row r="119">
      <c r="A119" t="inlineStr">
        <is>
          <t>Lepidorhombus</t>
        </is>
      </c>
      <c r="B119">
        <f>IFERROR(INDEX(SPPR!$D:$D,MATCH($A119,SPPR!$A:$A,0)),"")</f>
        <v/>
      </c>
      <c r="C119">
        <f>IFERROR(INDEX(Catch!$E:$BV,MATCH($A119,Catch!$A:$A,0),MATCH($B$4,Catch!$E$1:$BV$1,0)),0)</f>
        <v/>
      </c>
      <c r="D119">
        <f>IFERROR(IF(ISNUMBER(INDEX(SPPR!$E:$X,MATCH($A119,SPPR!$A:$A,0),1)),$C119*INDEX(SPPR!$E:$X,MATCH($A119,SPPR!$A:$A,0),1),""),"")</f>
        <v/>
      </c>
      <c r="E119">
        <f>IFERROR(IF(ISNUMBER(INDEX(SPPR!$E:$X,MATCH($A119,SPPR!$A:$A,0),2)),$C119*INDEX(SPPR!$E:$X,MATCH($A119,SPPR!$A:$A,0),2),""),"")</f>
        <v/>
      </c>
      <c r="F119">
        <f>IFERROR(IF(ISNUMBER(INDEX(SPPR!$E:$X,MATCH($A119,SPPR!$A:$A,0),3)),$C119*INDEX(SPPR!$E:$X,MATCH($A119,SPPR!$A:$A,0),3),""),"")</f>
        <v/>
      </c>
      <c r="G119">
        <f>IFERROR(IF(ISNUMBER(INDEX(SPPR!$E:$X,MATCH($A119,SPPR!$A:$A,0),4)),$C119*INDEX(SPPR!$E:$X,MATCH($A119,SPPR!$A:$A,0),4),""),"")</f>
        <v/>
      </c>
      <c r="H119">
        <f>IFERROR(IF(ISNUMBER(INDEX(SPPR!$E:$X,MATCH($A119,SPPR!$A:$A,0),5)),$C119*INDEX(SPPR!$E:$X,MATCH($A119,SPPR!$A:$A,0),5),""),"")</f>
        <v/>
      </c>
      <c r="I119">
        <f>IFERROR(IF(ISNUMBER(INDEX(SPPR!$E:$X,MATCH($A119,SPPR!$A:$A,0),6)),$C119*INDEX(SPPR!$E:$X,MATCH($A119,SPPR!$A:$A,0),6),""),"")</f>
        <v/>
      </c>
      <c r="J119">
        <f>IFERROR(IF(ISNUMBER(INDEX(SPPR!$E:$X,MATCH($A119,SPPR!$A:$A,0),7)),$C119*INDEX(SPPR!$E:$X,MATCH($A119,SPPR!$A:$A,0),7),""),"")</f>
        <v/>
      </c>
      <c r="K119">
        <f>IFERROR(IF(ISNUMBER(INDEX(SPPR!$E:$X,MATCH($A119,SPPR!$A:$A,0),8)),$C119*INDEX(SPPR!$E:$X,MATCH($A119,SPPR!$A:$A,0),8),""),"")</f>
        <v/>
      </c>
      <c r="L119">
        <f>IFERROR(IF(ISNUMBER(INDEX(SPPR!$E:$X,MATCH($A119,SPPR!$A:$A,0),9)),$C119*INDEX(SPPR!$E:$X,MATCH($A119,SPPR!$A:$A,0),9),""),"")</f>
        <v/>
      </c>
      <c r="M119">
        <f>IFERROR(IF(ISNUMBER(INDEX(SPPR!$E:$X,MATCH($A119,SPPR!$A:$A,0),10)),$C119*INDEX(SPPR!$E:$X,MATCH($A119,SPPR!$A:$A,0),10),""),"")</f>
        <v/>
      </c>
      <c r="N119">
        <f>IFERROR(IF(ISNUMBER(INDEX(SPPR!$E:$X,MATCH($A119,SPPR!$A:$A,0),11)),$C119*INDEX(SPPR!$E:$X,MATCH($A119,SPPR!$A:$A,0),11),""),"")</f>
        <v/>
      </c>
      <c r="O119">
        <f>IFERROR(IF(ISNUMBER(INDEX(SPPR!$E:$X,MATCH($A119,SPPR!$A:$A,0),12)),$C119*INDEX(SPPR!$E:$X,MATCH($A119,SPPR!$A:$A,0),12),""),"")</f>
        <v/>
      </c>
      <c r="P119">
        <f>IFERROR(IF(ISNUMBER(INDEX(SPPR!$E:$X,MATCH($A119,SPPR!$A:$A,0),13)),$C119*INDEX(SPPR!$E:$X,MATCH($A119,SPPR!$A:$A,0),13),""),"")</f>
        <v/>
      </c>
      <c r="Q119">
        <f>IFERROR(IF(ISNUMBER(INDEX(SPPR!$E:$X,MATCH($A119,SPPR!$A:$A,0),14)),$C119*INDEX(SPPR!$E:$X,MATCH($A119,SPPR!$A:$A,0),14),""),"")</f>
        <v/>
      </c>
      <c r="R119">
        <f>IFERROR(IF(ISNUMBER(INDEX(SPPR!$E:$X,MATCH($A119,SPPR!$A:$A,0),15)),$C119*INDEX(SPPR!$E:$X,MATCH($A119,SPPR!$A:$A,0),15),""),"")</f>
        <v/>
      </c>
      <c r="S119">
        <f>IFERROR(IF(ISNUMBER(INDEX(SPPR!$E:$X,MATCH($A119,SPPR!$A:$A,0),16)),$C119*INDEX(SPPR!$E:$X,MATCH($A119,SPPR!$A:$A,0),16),""),"")</f>
        <v/>
      </c>
      <c r="T119">
        <f>IFERROR(IF(ISNUMBER(INDEX(SPPR!$E:$X,MATCH($A119,SPPR!$A:$A,0),17)),$C119*INDEX(SPPR!$E:$X,MATCH($A119,SPPR!$A:$A,0),17),""),"")</f>
        <v/>
      </c>
      <c r="U119">
        <f>IFERROR(IF(ISNUMBER(INDEX(SPPR!$E:$X,MATCH($A119,SPPR!$A:$A,0),18)),$C119*INDEX(SPPR!$E:$X,MATCH($A119,SPPR!$A:$A,0),18),""),"")</f>
        <v/>
      </c>
      <c r="V119">
        <f>IFERROR(IF(ISNUMBER(INDEX(SPPR!$E:$X,MATCH($A119,SPPR!$A:$A,0),19)),$C119*INDEX(SPPR!$E:$X,MATCH($A119,SPPR!$A:$A,0),19),""),"")</f>
        <v/>
      </c>
      <c r="W119">
        <f>IFERROR(IF(ISNUMBER(INDEX(SPPR!$E:$X,MATCH($A119,SPPR!$A:$A,0),20)),$C119*INDEX(SPPR!$E:$X,MATCH($A119,SPPR!$A:$A,0),20),""),"")</f>
        <v/>
      </c>
    </row>
    <row r="120">
      <c r="A120" t="inlineStr">
        <is>
          <t>Solen</t>
        </is>
      </c>
      <c r="B120">
        <f>IFERROR(INDEX(SPPR!$D:$D,MATCH($A120,SPPR!$A:$A,0)),"")</f>
        <v/>
      </c>
      <c r="C120">
        <f>IFERROR(INDEX(Catch!$E:$BV,MATCH($A120,Catch!$A:$A,0),MATCH($B$4,Catch!$E$1:$BV$1,0)),0)</f>
        <v/>
      </c>
      <c r="D120">
        <f>IFERROR(IF(ISNUMBER(INDEX(SPPR!$E:$X,MATCH($A120,SPPR!$A:$A,0),1)),$C120*INDEX(SPPR!$E:$X,MATCH($A120,SPPR!$A:$A,0),1),""),"")</f>
        <v/>
      </c>
      <c r="E120">
        <f>IFERROR(IF(ISNUMBER(INDEX(SPPR!$E:$X,MATCH($A120,SPPR!$A:$A,0),2)),$C120*INDEX(SPPR!$E:$X,MATCH($A120,SPPR!$A:$A,0),2),""),"")</f>
        <v/>
      </c>
      <c r="F120">
        <f>IFERROR(IF(ISNUMBER(INDEX(SPPR!$E:$X,MATCH($A120,SPPR!$A:$A,0),3)),$C120*INDEX(SPPR!$E:$X,MATCH($A120,SPPR!$A:$A,0),3),""),"")</f>
        <v/>
      </c>
      <c r="G120">
        <f>IFERROR(IF(ISNUMBER(INDEX(SPPR!$E:$X,MATCH($A120,SPPR!$A:$A,0),4)),$C120*INDEX(SPPR!$E:$X,MATCH($A120,SPPR!$A:$A,0),4),""),"")</f>
        <v/>
      </c>
      <c r="H120">
        <f>IFERROR(IF(ISNUMBER(INDEX(SPPR!$E:$X,MATCH($A120,SPPR!$A:$A,0),5)),$C120*INDEX(SPPR!$E:$X,MATCH($A120,SPPR!$A:$A,0),5),""),"")</f>
        <v/>
      </c>
      <c r="I120">
        <f>IFERROR(IF(ISNUMBER(INDEX(SPPR!$E:$X,MATCH($A120,SPPR!$A:$A,0),6)),$C120*INDEX(SPPR!$E:$X,MATCH($A120,SPPR!$A:$A,0),6),""),"")</f>
        <v/>
      </c>
      <c r="J120">
        <f>IFERROR(IF(ISNUMBER(INDEX(SPPR!$E:$X,MATCH($A120,SPPR!$A:$A,0),7)),$C120*INDEX(SPPR!$E:$X,MATCH($A120,SPPR!$A:$A,0),7),""),"")</f>
        <v/>
      </c>
      <c r="K120">
        <f>IFERROR(IF(ISNUMBER(INDEX(SPPR!$E:$X,MATCH($A120,SPPR!$A:$A,0),8)),$C120*INDEX(SPPR!$E:$X,MATCH($A120,SPPR!$A:$A,0),8),""),"")</f>
        <v/>
      </c>
      <c r="L120">
        <f>IFERROR(IF(ISNUMBER(INDEX(SPPR!$E:$X,MATCH($A120,SPPR!$A:$A,0),9)),$C120*INDEX(SPPR!$E:$X,MATCH($A120,SPPR!$A:$A,0),9),""),"")</f>
        <v/>
      </c>
      <c r="M120">
        <f>IFERROR(IF(ISNUMBER(INDEX(SPPR!$E:$X,MATCH($A120,SPPR!$A:$A,0),10)),$C120*INDEX(SPPR!$E:$X,MATCH($A120,SPPR!$A:$A,0),10),""),"")</f>
        <v/>
      </c>
      <c r="N120">
        <f>IFERROR(IF(ISNUMBER(INDEX(SPPR!$E:$X,MATCH($A120,SPPR!$A:$A,0),11)),$C120*INDEX(SPPR!$E:$X,MATCH($A120,SPPR!$A:$A,0),11),""),"")</f>
        <v/>
      </c>
      <c r="O120">
        <f>IFERROR(IF(ISNUMBER(INDEX(SPPR!$E:$X,MATCH($A120,SPPR!$A:$A,0),12)),$C120*INDEX(SPPR!$E:$X,MATCH($A120,SPPR!$A:$A,0),12),""),"")</f>
        <v/>
      </c>
      <c r="P120">
        <f>IFERROR(IF(ISNUMBER(INDEX(SPPR!$E:$X,MATCH($A120,SPPR!$A:$A,0),13)),$C120*INDEX(SPPR!$E:$X,MATCH($A120,SPPR!$A:$A,0),13),""),"")</f>
        <v/>
      </c>
      <c r="Q120">
        <f>IFERROR(IF(ISNUMBER(INDEX(SPPR!$E:$X,MATCH($A120,SPPR!$A:$A,0),14)),$C120*INDEX(SPPR!$E:$X,MATCH($A120,SPPR!$A:$A,0),14),""),"")</f>
        <v/>
      </c>
      <c r="R120">
        <f>IFERROR(IF(ISNUMBER(INDEX(SPPR!$E:$X,MATCH($A120,SPPR!$A:$A,0),15)),$C120*INDEX(SPPR!$E:$X,MATCH($A120,SPPR!$A:$A,0),15),""),"")</f>
        <v/>
      </c>
      <c r="S120">
        <f>IFERROR(IF(ISNUMBER(INDEX(SPPR!$E:$X,MATCH($A120,SPPR!$A:$A,0),16)),$C120*INDEX(SPPR!$E:$X,MATCH($A120,SPPR!$A:$A,0),16),""),"")</f>
        <v/>
      </c>
      <c r="T120">
        <f>IFERROR(IF(ISNUMBER(INDEX(SPPR!$E:$X,MATCH($A120,SPPR!$A:$A,0),17)),$C120*INDEX(SPPR!$E:$X,MATCH($A120,SPPR!$A:$A,0),17),""),"")</f>
        <v/>
      </c>
      <c r="U120">
        <f>IFERROR(IF(ISNUMBER(INDEX(SPPR!$E:$X,MATCH($A120,SPPR!$A:$A,0),18)),$C120*INDEX(SPPR!$E:$X,MATCH($A120,SPPR!$A:$A,0),18),""),"")</f>
        <v/>
      </c>
      <c r="V120">
        <f>IFERROR(IF(ISNUMBER(INDEX(SPPR!$E:$X,MATCH($A120,SPPR!$A:$A,0),19)),$C120*INDEX(SPPR!$E:$X,MATCH($A120,SPPR!$A:$A,0),19),""),"")</f>
        <v/>
      </c>
      <c r="W120">
        <f>IFERROR(IF(ISNUMBER(INDEX(SPPR!$E:$X,MATCH($A120,SPPR!$A:$A,0),20)),$C120*INDEX(SPPR!$E:$X,MATCH($A120,SPPR!$A:$A,0),20),""),"")</f>
        <v/>
      </c>
    </row>
    <row r="121">
      <c r="A121" t="inlineStr">
        <is>
          <t>Scyliorhinus canicula</t>
        </is>
      </c>
      <c r="B121">
        <f>IFERROR(INDEX(SPPR!$D:$D,MATCH($A121,SPPR!$A:$A,0)),"")</f>
        <v/>
      </c>
      <c r="C121">
        <f>IFERROR(INDEX(Catch!$E:$BV,MATCH($A121,Catch!$A:$A,0),MATCH($B$4,Catch!$E$1:$BV$1,0)),0)</f>
        <v/>
      </c>
      <c r="D121">
        <f>IFERROR(IF(ISNUMBER(INDEX(SPPR!$E:$X,MATCH($A121,SPPR!$A:$A,0),1)),$C121*INDEX(SPPR!$E:$X,MATCH($A121,SPPR!$A:$A,0),1),""),"")</f>
        <v/>
      </c>
      <c r="E121">
        <f>IFERROR(IF(ISNUMBER(INDEX(SPPR!$E:$X,MATCH($A121,SPPR!$A:$A,0),2)),$C121*INDEX(SPPR!$E:$X,MATCH($A121,SPPR!$A:$A,0),2),""),"")</f>
        <v/>
      </c>
      <c r="F121">
        <f>IFERROR(IF(ISNUMBER(INDEX(SPPR!$E:$X,MATCH($A121,SPPR!$A:$A,0),3)),$C121*INDEX(SPPR!$E:$X,MATCH($A121,SPPR!$A:$A,0),3),""),"")</f>
        <v/>
      </c>
      <c r="G121">
        <f>IFERROR(IF(ISNUMBER(INDEX(SPPR!$E:$X,MATCH($A121,SPPR!$A:$A,0),4)),$C121*INDEX(SPPR!$E:$X,MATCH($A121,SPPR!$A:$A,0),4),""),"")</f>
        <v/>
      </c>
      <c r="H121">
        <f>IFERROR(IF(ISNUMBER(INDEX(SPPR!$E:$X,MATCH($A121,SPPR!$A:$A,0),5)),$C121*INDEX(SPPR!$E:$X,MATCH($A121,SPPR!$A:$A,0),5),""),"")</f>
        <v/>
      </c>
      <c r="I121">
        <f>IFERROR(IF(ISNUMBER(INDEX(SPPR!$E:$X,MATCH($A121,SPPR!$A:$A,0),6)),$C121*INDEX(SPPR!$E:$X,MATCH($A121,SPPR!$A:$A,0),6),""),"")</f>
        <v/>
      </c>
      <c r="J121">
        <f>IFERROR(IF(ISNUMBER(INDEX(SPPR!$E:$X,MATCH($A121,SPPR!$A:$A,0),7)),$C121*INDEX(SPPR!$E:$X,MATCH($A121,SPPR!$A:$A,0),7),""),"")</f>
        <v/>
      </c>
      <c r="K121">
        <f>IFERROR(IF(ISNUMBER(INDEX(SPPR!$E:$X,MATCH($A121,SPPR!$A:$A,0),8)),$C121*INDEX(SPPR!$E:$X,MATCH($A121,SPPR!$A:$A,0),8),""),"")</f>
        <v/>
      </c>
      <c r="L121">
        <f>IFERROR(IF(ISNUMBER(INDEX(SPPR!$E:$X,MATCH($A121,SPPR!$A:$A,0),9)),$C121*INDEX(SPPR!$E:$X,MATCH($A121,SPPR!$A:$A,0),9),""),"")</f>
        <v/>
      </c>
      <c r="M121">
        <f>IFERROR(IF(ISNUMBER(INDEX(SPPR!$E:$X,MATCH($A121,SPPR!$A:$A,0),10)),$C121*INDEX(SPPR!$E:$X,MATCH($A121,SPPR!$A:$A,0),10),""),"")</f>
        <v/>
      </c>
      <c r="N121">
        <f>IFERROR(IF(ISNUMBER(INDEX(SPPR!$E:$X,MATCH($A121,SPPR!$A:$A,0),11)),$C121*INDEX(SPPR!$E:$X,MATCH($A121,SPPR!$A:$A,0),11),""),"")</f>
        <v/>
      </c>
      <c r="O121">
        <f>IFERROR(IF(ISNUMBER(INDEX(SPPR!$E:$X,MATCH($A121,SPPR!$A:$A,0),12)),$C121*INDEX(SPPR!$E:$X,MATCH($A121,SPPR!$A:$A,0),12),""),"")</f>
        <v/>
      </c>
      <c r="P121">
        <f>IFERROR(IF(ISNUMBER(INDEX(SPPR!$E:$X,MATCH($A121,SPPR!$A:$A,0),13)),$C121*INDEX(SPPR!$E:$X,MATCH($A121,SPPR!$A:$A,0),13),""),"")</f>
        <v/>
      </c>
      <c r="Q121">
        <f>IFERROR(IF(ISNUMBER(INDEX(SPPR!$E:$X,MATCH($A121,SPPR!$A:$A,0),14)),$C121*INDEX(SPPR!$E:$X,MATCH($A121,SPPR!$A:$A,0),14),""),"")</f>
        <v/>
      </c>
      <c r="R121">
        <f>IFERROR(IF(ISNUMBER(INDEX(SPPR!$E:$X,MATCH($A121,SPPR!$A:$A,0),15)),$C121*INDEX(SPPR!$E:$X,MATCH($A121,SPPR!$A:$A,0),15),""),"")</f>
        <v/>
      </c>
      <c r="S121">
        <f>IFERROR(IF(ISNUMBER(INDEX(SPPR!$E:$X,MATCH($A121,SPPR!$A:$A,0),16)),$C121*INDEX(SPPR!$E:$X,MATCH($A121,SPPR!$A:$A,0),16),""),"")</f>
        <v/>
      </c>
      <c r="T121">
        <f>IFERROR(IF(ISNUMBER(INDEX(SPPR!$E:$X,MATCH($A121,SPPR!$A:$A,0),17)),$C121*INDEX(SPPR!$E:$X,MATCH($A121,SPPR!$A:$A,0),17),""),"")</f>
        <v/>
      </c>
      <c r="U121">
        <f>IFERROR(IF(ISNUMBER(INDEX(SPPR!$E:$X,MATCH($A121,SPPR!$A:$A,0),18)),$C121*INDEX(SPPR!$E:$X,MATCH($A121,SPPR!$A:$A,0),18),""),"")</f>
        <v/>
      </c>
      <c r="V121">
        <f>IFERROR(IF(ISNUMBER(INDEX(SPPR!$E:$X,MATCH($A121,SPPR!$A:$A,0),19)),$C121*INDEX(SPPR!$E:$X,MATCH($A121,SPPR!$A:$A,0),19),""),"")</f>
        <v/>
      </c>
      <c r="W121">
        <f>IFERROR(IF(ISNUMBER(INDEX(SPPR!$E:$X,MATCH($A121,SPPR!$A:$A,0),20)),$C121*INDEX(SPPR!$E:$X,MATCH($A121,SPPR!$A:$A,0),20),""),"")</f>
        <v/>
      </c>
    </row>
    <row r="122">
      <c r="A122" t="inlineStr">
        <is>
          <t>Aequipecten opercularis</t>
        </is>
      </c>
      <c r="B122">
        <f>IFERROR(INDEX(SPPR!$D:$D,MATCH($A122,SPPR!$A:$A,0)),"")</f>
        <v/>
      </c>
      <c r="C122">
        <f>IFERROR(INDEX(Catch!$E:$BV,MATCH($A122,Catch!$A:$A,0),MATCH($B$4,Catch!$E$1:$BV$1,0)),0)</f>
        <v/>
      </c>
      <c r="D122">
        <f>IFERROR(IF(ISNUMBER(INDEX(SPPR!$E:$X,MATCH($A122,SPPR!$A:$A,0),1)),$C122*INDEX(SPPR!$E:$X,MATCH($A122,SPPR!$A:$A,0),1),""),"")</f>
        <v/>
      </c>
      <c r="E122">
        <f>IFERROR(IF(ISNUMBER(INDEX(SPPR!$E:$X,MATCH($A122,SPPR!$A:$A,0),2)),$C122*INDEX(SPPR!$E:$X,MATCH($A122,SPPR!$A:$A,0),2),""),"")</f>
        <v/>
      </c>
      <c r="F122">
        <f>IFERROR(IF(ISNUMBER(INDEX(SPPR!$E:$X,MATCH($A122,SPPR!$A:$A,0),3)),$C122*INDEX(SPPR!$E:$X,MATCH($A122,SPPR!$A:$A,0),3),""),"")</f>
        <v/>
      </c>
      <c r="G122">
        <f>IFERROR(IF(ISNUMBER(INDEX(SPPR!$E:$X,MATCH($A122,SPPR!$A:$A,0),4)),$C122*INDEX(SPPR!$E:$X,MATCH($A122,SPPR!$A:$A,0),4),""),"")</f>
        <v/>
      </c>
      <c r="H122">
        <f>IFERROR(IF(ISNUMBER(INDEX(SPPR!$E:$X,MATCH($A122,SPPR!$A:$A,0),5)),$C122*INDEX(SPPR!$E:$X,MATCH($A122,SPPR!$A:$A,0),5),""),"")</f>
        <v/>
      </c>
      <c r="I122">
        <f>IFERROR(IF(ISNUMBER(INDEX(SPPR!$E:$X,MATCH($A122,SPPR!$A:$A,0),6)),$C122*INDEX(SPPR!$E:$X,MATCH($A122,SPPR!$A:$A,0),6),""),"")</f>
        <v/>
      </c>
      <c r="J122">
        <f>IFERROR(IF(ISNUMBER(INDEX(SPPR!$E:$X,MATCH($A122,SPPR!$A:$A,0),7)),$C122*INDEX(SPPR!$E:$X,MATCH($A122,SPPR!$A:$A,0),7),""),"")</f>
        <v/>
      </c>
      <c r="K122">
        <f>IFERROR(IF(ISNUMBER(INDEX(SPPR!$E:$X,MATCH($A122,SPPR!$A:$A,0),8)),$C122*INDEX(SPPR!$E:$X,MATCH($A122,SPPR!$A:$A,0),8),""),"")</f>
        <v/>
      </c>
      <c r="L122">
        <f>IFERROR(IF(ISNUMBER(INDEX(SPPR!$E:$X,MATCH($A122,SPPR!$A:$A,0),9)),$C122*INDEX(SPPR!$E:$X,MATCH($A122,SPPR!$A:$A,0),9),""),"")</f>
        <v/>
      </c>
      <c r="M122">
        <f>IFERROR(IF(ISNUMBER(INDEX(SPPR!$E:$X,MATCH($A122,SPPR!$A:$A,0),10)),$C122*INDEX(SPPR!$E:$X,MATCH($A122,SPPR!$A:$A,0),10),""),"")</f>
        <v/>
      </c>
      <c r="N122">
        <f>IFERROR(IF(ISNUMBER(INDEX(SPPR!$E:$X,MATCH($A122,SPPR!$A:$A,0),11)),$C122*INDEX(SPPR!$E:$X,MATCH($A122,SPPR!$A:$A,0),11),""),"")</f>
        <v/>
      </c>
      <c r="O122">
        <f>IFERROR(IF(ISNUMBER(INDEX(SPPR!$E:$X,MATCH($A122,SPPR!$A:$A,0),12)),$C122*INDEX(SPPR!$E:$X,MATCH($A122,SPPR!$A:$A,0),12),""),"")</f>
        <v/>
      </c>
      <c r="P122">
        <f>IFERROR(IF(ISNUMBER(INDEX(SPPR!$E:$X,MATCH($A122,SPPR!$A:$A,0),13)),$C122*INDEX(SPPR!$E:$X,MATCH($A122,SPPR!$A:$A,0),13),""),"")</f>
        <v/>
      </c>
      <c r="Q122">
        <f>IFERROR(IF(ISNUMBER(INDEX(SPPR!$E:$X,MATCH($A122,SPPR!$A:$A,0),14)),$C122*INDEX(SPPR!$E:$X,MATCH($A122,SPPR!$A:$A,0),14),""),"")</f>
        <v/>
      </c>
      <c r="R122">
        <f>IFERROR(IF(ISNUMBER(INDEX(SPPR!$E:$X,MATCH($A122,SPPR!$A:$A,0),15)),$C122*INDEX(SPPR!$E:$X,MATCH($A122,SPPR!$A:$A,0),15),""),"")</f>
        <v/>
      </c>
      <c r="S122">
        <f>IFERROR(IF(ISNUMBER(INDEX(SPPR!$E:$X,MATCH($A122,SPPR!$A:$A,0),16)),$C122*INDEX(SPPR!$E:$X,MATCH($A122,SPPR!$A:$A,0),16),""),"")</f>
        <v/>
      </c>
      <c r="T122">
        <f>IFERROR(IF(ISNUMBER(INDEX(SPPR!$E:$X,MATCH($A122,SPPR!$A:$A,0),17)),$C122*INDEX(SPPR!$E:$X,MATCH($A122,SPPR!$A:$A,0),17),""),"")</f>
        <v/>
      </c>
      <c r="U122">
        <f>IFERROR(IF(ISNUMBER(INDEX(SPPR!$E:$X,MATCH($A122,SPPR!$A:$A,0),18)),$C122*INDEX(SPPR!$E:$X,MATCH($A122,SPPR!$A:$A,0),18),""),"")</f>
        <v/>
      </c>
      <c r="V122">
        <f>IFERROR(IF(ISNUMBER(INDEX(SPPR!$E:$X,MATCH($A122,SPPR!$A:$A,0),19)),$C122*INDEX(SPPR!$E:$X,MATCH($A122,SPPR!$A:$A,0),19),""),"")</f>
        <v/>
      </c>
      <c r="W122">
        <f>IFERROR(IF(ISNUMBER(INDEX(SPPR!$E:$X,MATCH($A122,SPPR!$A:$A,0),20)),$C122*INDEX(SPPR!$E:$X,MATCH($A122,SPPR!$A:$A,0),20),""),"")</f>
        <v/>
      </c>
    </row>
    <row r="123">
      <c r="A123" t="inlineStr">
        <is>
          <t>Gobiidae</t>
        </is>
      </c>
      <c r="B123">
        <f>IFERROR(INDEX(SPPR!$D:$D,MATCH($A123,SPPR!$A:$A,0)),"")</f>
        <v/>
      </c>
      <c r="C123">
        <f>IFERROR(INDEX(Catch!$E:$BV,MATCH($A123,Catch!$A:$A,0),MATCH($B$4,Catch!$E$1:$BV$1,0)),0)</f>
        <v/>
      </c>
      <c r="D123">
        <f>IFERROR(IF(ISNUMBER(INDEX(SPPR!$E:$X,MATCH($A123,SPPR!$A:$A,0),1)),$C123*INDEX(SPPR!$E:$X,MATCH($A123,SPPR!$A:$A,0),1),""),"")</f>
        <v/>
      </c>
      <c r="E123">
        <f>IFERROR(IF(ISNUMBER(INDEX(SPPR!$E:$X,MATCH($A123,SPPR!$A:$A,0),2)),$C123*INDEX(SPPR!$E:$X,MATCH($A123,SPPR!$A:$A,0),2),""),"")</f>
        <v/>
      </c>
      <c r="F123">
        <f>IFERROR(IF(ISNUMBER(INDEX(SPPR!$E:$X,MATCH($A123,SPPR!$A:$A,0),3)),$C123*INDEX(SPPR!$E:$X,MATCH($A123,SPPR!$A:$A,0),3),""),"")</f>
        <v/>
      </c>
      <c r="G123">
        <f>IFERROR(IF(ISNUMBER(INDEX(SPPR!$E:$X,MATCH($A123,SPPR!$A:$A,0),4)),$C123*INDEX(SPPR!$E:$X,MATCH($A123,SPPR!$A:$A,0),4),""),"")</f>
        <v/>
      </c>
      <c r="H123">
        <f>IFERROR(IF(ISNUMBER(INDEX(SPPR!$E:$X,MATCH($A123,SPPR!$A:$A,0),5)),$C123*INDEX(SPPR!$E:$X,MATCH($A123,SPPR!$A:$A,0),5),""),"")</f>
        <v/>
      </c>
      <c r="I123">
        <f>IFERROR(IF(ISNUMBER(INDEX(SPPR!$E:$X,MATCH($A123,SPPR!$A:$A,0),6)),$C123*INDEX(SPPR!$E:$X,MATCH($A123,SPPR!$A:$A,0),6),""),"")</f>
        <v/>
      </c>
      <c r="J123">
        <f>IFERROR(IF(ISNUMBER(INDEX(SPPR!$E:$X,MATCH($A123,SPPR!$A:$A,0),7)),$C123*INDEX(SPPR!$E:$X,MATCH($A123,SPPR!$A:$A,0),7),""),"")</f>
        <v/>
      </c>
      <c r="K123">
        <f>IFERROR(IF(ISNUMBER(INDEX(SPPR!$E:$X,MATCH($A123,SPPR!$A:$A,0),8)),$C123*INDEX(SPPR!$E:$X,MATCH($A123,SPPR!$A:$A,0),8),""),"")</f>
        <v/>
      </c>
      <c r="L123">
        <f>IFERROR(IF(ISNUMBER(INDEX(SPPR!$E:$X,MATCH($A123,SPPR!$A:$A,0),9)),$C123*INDEX(SPPR!$E:$X,MATCH($A123,SPPR!$A:$A,0),9),""),"")</f>
        <v/>
      </c>
      <c r="M123">
        <f>IFERROR(IF(ISNUMBER(INDEX(SPPR!$E:$X,MATCH($A123,SPPR!$A:$A,0),10)),$C123*INDEX(SPPR!$E:$X,MATCH($A123,SPPR!$A:$A,0),10),""),"")</f>
        <v/>
      </c>
      <c r="N123">
        <f>IFERROR(IF(ISNUMBER(INDEX(SPPR!$E:$X,MATCH($A123,SPPR!$A:$A,0),11)),$C123*INDEX(SPPR!$E:$X,MATCH($A123,SPPR!$A:$A,0),11),""),"")</f>
        <v/>
      </c>
      <c r="O123">
        <f>IFERROR(IF(ISNUMBER(INDEX(SPPR!$E:$X,MATCH($A123,SPPR!$A:$A,0),12)),$C123*INDEX(SPPR!$E:$X,MATCH($A123,SPPR!$A:$A,0),12),""),"")</f>
        <v/>
      </c>
      <c r="P123">
        <f>IFERROR(IF(ISNUMBER(INDEX(SPPR!$E:$X,MATCH($A123,SPPR!$A:$A,0),13)),$C123*INDEX(SPPR!$E:$X,MATCH($A123,SPPR!$A:$A,0),13),""),"")</f>
        <v/>
      </c>
      <c r="Q123">
        <f>IFERROR(IF(ISNUMBER(INDEX(SPPR!$E:$X,MATCH($A123,SPPR!$A:$A,0),14)),$C123*INDEX(SPPR!$E:$X,MATCH($A123,SPPR!$A:$A,0),14),""),"")</f>
        <v/>
      </c>
      <c r="R123">
        <f>IFERROR(IF(ISNUMBER(INDEX(SPPR!$E:$X,MATCH($A123,SPPR!$A:$A,0),15)),$C123*INDEX(SPPR!$E:$X,MATCH($A123,SPPR!$A:$A,0),15),""),"")</f>
        <v/>
      </c>
      <c r="S123">
        <f>IFERROR(IF(ISNUMBER(INDEX(SPPR!$E:$X,MATCH($A123,SPPR!$A:$A,0),16)),$C123*INDEX(SPPR!$E:$X,MATCH($A123,SPPR!$A:$A,0),16),""),"")</f>
        <v/>
      </c>
      <c r="T123">
        <f>IFERROR(IF(ISNUMBER(INDEX(SPPR!$E:$X,MATCH($A123,SPPR!$A:$A,0),17)),$C123*INDEX(SPPR!$E:$X,MATCH($A123,SPPR!$A:$A,0),17),""),"")</f>
        <v/>
      </c>
      <c r="U123">
        <f>IFERROR(IF(ISNUMBER(INDEX(SPPR!$E:$X,MATCH($A123,SPPR!$A:$A,0),18)),$C123*INDEX(SPPR!$E:$X,MATCH($A123,SPPR!$A:$A,0),18),""),"")</f>
        <v/>
      </c>
      <c r="V123">
        <f>IFERROR(IF(ISNUMBER(INDEX(SPPR!$E:$X,MATCH($A123,SPPR!$A:$A,0),19)),$C123*INDEX(SPPR!$E:$X,MATCH($A123,SPPR!$A:$A,0),19),""),"")</f>
        <v/>
      </c>
      <c r="W123">
        <f>IFERROR(IF(ISNUMBER(INDEX(SPPR!$E:$X,MATCH($A123,SPPR!$A:$A,0),20)),$C123*INDEX(SPPR!$E:$X,MATCH($A123,SPPR!$A:$A,0),20),""),"")</f>
        <v/>
      </c>
    </row>
    <row r="124">
      <c r="A124" t="inlineStr">
        <is>
          <t>Cephalopoda</t>
        </is>
      </c>
      <c r="B124">
        <f>IFERROR(INDEX(SPPR!$D:$D,MATCH($A124,SPPR!$A:$A,0)),"")</f>
        <v/>
      </c>
      <c r="C124">
        <f>IFERROR(INDEX(Catch!$E:$BV,MATCH($A124,Catch!$A:$A,0),MATCH($B$4,Catch!$E$1:$BV$1,0)),0)</f>
        <v/>
      </c>
      <c r="D124">
        <f>IFERROR(IF(ISNUMBER(INDEX(SPPR!$E:$X,MATCH($A124,SPPR!$A:$A,0),1)),$C124*INDEX(SPPR!$E:$X,MATCH($A124,SPPR!$A:$A,0),1),""),"")</f>
        <v/>
      </c>
      <c r="E124">
        <f>IFERROR(IF(ISNUMBER(INDEX(SPPR!$E:$X,MATCH($A124,SPPR!$A:$A,0),2)),$C124*INDEX(SPPR!$E:$X,MATCH($A124,SPPR!$A:$A,0),2),""),"")</f>
        <v/>
      </c>
      <c r="F124">
        <f>IFERROR(IF(ISNUMBER(INDEX(SPPR!$E:$X,MATCH($A124,SPPR!$A:$A,0),3)),$C124*INDEX(SPPR!$E:$X,MATCH($A124,SPPR!$A:$A,0),3),""),"")</f>
        <v/>
      </c>
      <c r="G124">
        <f>IFERROR(IF(ISNUMBER(INDEX(SPPR!$E:$X,MATCH($A124,SPPR!$A:$A,0),4)),$C124*INDEX(SPPR!$E:$X,MATCH($A124,SPPR!$A:$A,0),4),""),"")</f>
        <v/>
      </c>
      <c r="H124">
        <f>IFERROR(IF(ISNUMBER(INDEX(SPPR!$E:$X,MATCH($A124,SPPR!$A:$A,0),5)),$C124*INDEX(SPPR!$E:$X,MATCH($A124,SPPR!$A:$A,0),5),""),"")</f>
        <v/>
      </c>
      <c r="I124">
        <f>IFERROR(IF(ISNUMBER(INDEX(SPPR!$E:$X,MATCH($A124,SPPR!$A:$A,0),6)),$C124*INDEX(SPPR!$E:$X,MATCH($A124,SPPR!$A:$A,0),6),""),"")</f>
        <v/>
      </c>
      <c r="J124">
        <f>IFERROR(IF(ISNUMBER(INDEX(SPPR!$E:$X,MATCH($A124,SPPR!$A:$A,0),7)),$C124*INDEX(SPPR!$E:$X,MATCH($A124,SPPR!$A:$A,0),7),""),"")</f>
        <v/>
      </c>
      <c r="K124">
        <f>IFERROR(IF(ISNUMBER(INDEX(SPPR!$E:$X,MATCH($A124,SPPR!$A:$A,0),8)),$C124*INDEX(SPPR!$E:$X,MATCH($A124,SPPR!$A:$A,0),8),""),"")</f>
        <v/>
      </c>
      <c r="L124">
        <f>IFERROR(IF(ISNUMBER(INDEX(SPPR!$E:$X,MATCH($A124,SPPR!$A:$A,0),9)),$C124*INDEX(SPPR!$E:$X,MATCH($A124,SPPR!$A:$A,0),9),""),"")</f>
        <v/>
      </c>
      <c r="M124">
        <f>IFERROR(IF(ISNUMBER(INDEX(SPPR!$E:$X,MATCH($A124,SPPR!$A:$A,0),10)),$C124*INDEX(SPPR!$E:$X,MATCH($A124,SPPR!$A:$A,0),10),""),"")</f>
        <v/>
      </c>
      <c r="N124">
        <f>IFERROR(IF(ISNUMBER(INDEX(SPPR!$E:$X,MATCH($A124,SPPR!$A:$A,0),11)),$C124*INDEX(SPPR!$E:$X,MATCH($A124,SPPR!$A:$A,0),11),""),"")</f>
        <v/>
      </c>
      <c r="O124">
        <f>IFERROR(IF(ISNUMBER(INDEX(SPPR!$E:$X,MATCH($A124,SPPR!$A:$A,0),12)),$C124*INDEX(SPPR!$E:$X,MATCH($A124,SPPR!$A:$A,0),12),""),"")</f>
        <v/>
      </c>
      <c r="P124">
        <f>IFERROR(IF(ISNUMBER(INDEX(SPPR!$E:$X,MATCH($A124,SPPR!$A:$A,0),13)),$C124*INDEX(SPPR!$E:$X,MATCH($A124,SPPR!$A:$A,0),13),""),"")</f>
        <v/>
      </c>
      <c r="Q124">
        <f>IFERROR(IF(ISNUMBER(INDEX(SPPR!$E:$X,MATCH($A124,SPPR!$A:$A,0),14)),$C124*INDEX(SPPR!$E:$X,MATCH($A124,SPPR!$A:$A,0),14),""),"")</f>
        <v/>
      </c>
      <c r="R124">
        <f>IFERROR(IF(ISNUMBER(INDEX(SPPR!$E:$X,MATCH($A124,SPPR!$A:$A,0),15)),$C124*INDEX(SPPR!$E:$X,MATCH($A124,SPPR!$A:$A,0),15),""),"")</f>
        <v/>
      </c>
      <c r="S124">
        <f>IFERROR(IF(ISNUMBER(INDEX(SPPR!$E:$X,MATCH($A124,SPPR!$A:$A,0),16)),$C124*INDEX(SPPR!$E:$X,MATCH($A124,SPPR!$A:$A,0),16),""),"")</f>
        <v/>
      </c>
      <c r="T124">
        <f>IFERROR(IF(ISNUMBER(INDEX(SPPR!$E:$X,MATCH($A124,SPPR!$A:$A,0),17)),$C124*INDEX(SPPR!$E:$X,MATCH($A124,SPPR!$A:$A,0),17),""),"")</f>
        <v/>
      </c>
      <c r="U124">
        <f>IFERROR(IF(ISNUMBER(INDEX(SPPR!$E:$X,MATCH($A124,SPPR!$A:$A,0),18)),$C124*INDEX(SPPR!$E:$X,MATCH($A124,SPPR!$A:$A,0),18),""),"")</f>
        <v/>
      </c>
      <c r="V124">
        <f>IFERROR(IF(ISNUMBER(INDEX(SPPR!$E:$X,MATCH($A124,SPPR!$A:$A,0),19)),$C124*INDEX(SPPR!$E:$X,MATCH($A124,SPPR!$A:$A,0),19),""),"")</f>
        <v/>
      </c>
      <c r="W124">
        <f>IFERROR(IF(ISNUMBER(INDEX(SPPR!$E:$X,MATCH($A124,SPPR!$A:$A,0),20)),$C124*INDEX(SPPR!$E:$X,MATCH($A124,SPPR!$A:$A,0),20),""),"")</f>
        <v/>
      </c>
    </row>
    <row r="125">
      <c r="A125" t="inlineStr">
        <is>
          <t>Mollusca</t>
        </is>
      </c>
      <c r="B125">
        <f>IFERROR(INDEX(SPPR!$D:$D,MATCH($A125,SPPR!$A:$A,0)),"")</f>
        <v/>
      </c>
      <c r="C125">
        <f>IFERROR(INDEX(Catch!$E:$BV,MATCH($A125,Catch!$A:$A,0),MATCH($B$4,Catch!$E$1:$BV$1,0)),0)</f>
        <v/>
      </c>
      <c r="D125">
        <f>IFERROR(IF(ISNUMBER(INDEX(SPPR!$E:$X,MATCH($A125,SPPR!$A:$A,0),1)),$C125*INDEX(SPPR!$E:$X,MATCH($A125,SPPR!$A:$A,0),1),""),"")</f>
        <v/>
      </c>
      <c r="E125">
        <f>IFERROR(IF(ISNUMBER(INDEX(SPPR!$E:$X,MATCH($A125,SPPR!$A:$A,0),2)),$C125*INDEX(SPPR!$E:$X,MATCH($A125,SPPR!$A:$A,0),2),""),"")</f>
        <v/>
      </c>
      <c r="F125">
        <f>IFERROR(IF(ISNUMBER(INDEX(SPPR!$E:$X,MATCH($A125,SPPR!$A:$A,0),3)),$C125*INDEX(SPPR!$E:$X,MATCH($A125,SPPR!$A:$A,0),3),""),"")</f>
        <v/>
      </c>
      <c r="G125">
        <f>IFERROR(IF(ISNUMBER(INDEX(SPPR!$E:$X,MATCH($A125,SPPR!$A:$A,0),4)),$C125*INDEX(SPPR!$E:$X,MATCH($A125,SPPR!$A:$A,0),4),""),"")</f>
        <v/>
      </c>
      <c r="H125">
        <f>IFERROR(IF(ISNUMBER(INDEX(SPPR!$E:$X,MATCH($A125,SPPR!$A:$A,0),5)),$C125*INDEX(SPPR!$E:$X,MATCH($A125,SPPR!$A:$A,0),5),""),"")</f>
        <v/>
      </c>
      <c r="I125">
        <f>IFERROR(IF(ISNUMBER(INDEX(SPPR!$E:$X,MATCH($A125,SPPR!$A:$A,0),6)),$C125*INDEX(SPPR!$E:$X,MATCH($A125,SPPR!$A:$A,0),6),""),"")</f>
        <v/>
      </c>
      <c r="J125">
        <f>IFERROR(IF(ISNUMBER(INDEX(SPPR!$E:$X,MATCH($A125,SPPR!$A:$A,0),7)),$C125*INDEX(SPPR!$E:$X,MATCH($A125,SPPR!$A:$A,0),7),""),"")</f>
        <v/>
      </c>
      <c r="K125">
        <f>IFERROR(IF(ISNUMBER(INDEX(SPPR!$E:$X,MATCH($A125,SPPR!$A:$A,0),8)),$C125*INDEX(SPPR!$E:$X,MATCH($A125,SPPR!$A:$A,0),8),""),"")</f>
        <v/>
      </c>
      <c r="L125">
        <f>IFERROR(IF(ISNUMBER(INDEX(SPPR!$E:$X,MATCH($A125,SPPR!$A:$A,0),9)),$C125*INDEX(SPPR!$E:$X,MATCH($A125,SPPR!$A:$A,0),9),""),"")</f>
        <v/>
      </c>
      <c r="M125">
        <f>IFERROR(IF(ISNUMBER(INDEX(SPPR!$E:$X,MATCH($A125,SPPR!$A:$A,0),10)),$C125*INDEX(SPPR!$E:$X,MATCH($A125,SPPR!$A:$A,0),10),""),"")</f>
        <v/>
      </c>
      <c r="N125">
        <f>IFERROR(IF(ISNUMBER(INDEX(SPPR!$E:$X,MATCH($A125,SPPR!$A:$A,0),11)),$C125*INDEX(SPPR!$E:$X,MATCH($A125,SPPR!$A:$A,0),11),""),"")</f>
        <v/>
      </c>
      <c r="O125">
        <f>IFERROR(IF(ISNUMBER(INDEX(SPPR!$E:$X,MATCH($A125,SPPR!$A:$A,0),12)),$C125*INDEX(SPPR!$E:$X,MATCH($A125,SPPR!$A:$A,0),12),""),"")</f>
        <v/>
      </c>
      <c r="P125">
        <f>IFERROR(IF(ISNUMBER(INDEX(SPPR!$E:$X,MATCH($A125,SPPR!$A:$A,0),13)),$C125*INDEX(SPPR!$E:$X,MATCH($A125,SPPR!$A:$A,0),13),""),"")</f>
        <v/>
      </c>
      <c r="Q125">
        <f>IFERROR(IF(ISNUMBER(INDEX(SPPR!$E:$X,MATCH($A125,SPPR!$A:$A,0),14)),$C125*INDEX(SPPR!$E:$X,MATCH($A125,SPPR!$A:$A,0),14),""),"")</f>
        <v/>
      </c>
      <c r="R125">
        <f>IFERROR(IF(ISNUMBER(INDEX(SPPR!$E:$X,MATCH($A125,SPPR!$A:$A,0),15)),$C125*INDEX(SPPR!$E:$X,MATCH($A125,SPPR!$A:$A,0),15),""),"")</f>
        <v/>
      </c>
      <c r="S125">
        <f>IFERROR(IF(ISNUMBER(INDEX(SPPR!$E:$X,MATCH($A125,SPPR!$A:$A,0),16)),$C125*INDEX(SPPR!$E:$X,MATCH($A125,SPPR!$A:$A,0),16),""),"")</f>
        <v/>
      </c>
      <c r="T125">
        <f>IFERROR(IF(ISNUMBER(INDEX(SPPR!$E:$X,MATCH($A125,SPPR!$A:$A,0),17)),$C125*INDEX(SPPR!$E:$X,MATCH($A125,SPPR!$A:$A,0),17),""),"")</f>
        <v/>
      </c>
      <c r="U125">
        <f>IFERROR(IF(ISNUMBER(INDEX(SPPR!$E:$X,MATCH($A125,SPPR!$A:$A,0),18)),$C125*INDEX(SPPR!$E:$X,MATCH($A125,SPPR!$A:$A,0),18),""),"")</f>
        <v/>
      </c>
      <c r="V125">
        <f>IFERROR(IF(ISNUMBER(INDEX(SPPR!$E:$X,MATCH($A125,SPPR!$A:$A,0),19)),$C125*INDEX(SPPR!$E:$X,MATCH($A125,SPPR!$A:$A,0),19),""),"")</f>
        <v/>
      </c>
      <c r="W125">
        <f>IFERROR(IF(ISNUMBER(INDEX(SPPR!$E:$X,MATCH($A125,SPPR!$A:$A,0),20)),$C125*INDEX(SPPR!$E:$X,MATCH($A125,SPPR!$A:$A,0),20),""),"")</f>
        <v/>
      </c>
    </row>
    <row r="126">
      <c r="A126" t="inlineStr">
        <is>
          <t>Gastropoda</t>
        </is>
      </c>
      <c r="B126">
        <f>IFERROR(INDEX(SPPR!$D:$D,MATCH($A126,SPPR!$A:$A,0)),"")</f>
        <v/>
      </c>
      <c r="C126">
        <f>IFERROR(INDEX(Catch!$E:$BV,MATCH($A126,Catch!$A:$A,0),MATCH($B$4,Catch!$E$1:$BV$1,0)),0)</f>
        <v/>
      </c>
      <c r="D126">
        <f>IFERROR(IF(ISNUMBER(INDEX(SPPR!$E:$X,MATCH($A126,SPPR!$A:$A,0),1)),$C126*INDEX(SPPR!$E:$X,MATCH($A126,SPPR!$A:$A,0),1),""),"")</f>
        <v/>
      </c>
      <c r="E126">
        <f>IFERROR(IF(ISNUMBER(INDEX(SPPR!$E:$X,MATCH($A126,SPPR!$A:$A,0),2)),$C126*INDEX(SPPR!$E:$X,MATCH($A126,SPPR!$A:$A,0),2),""),"")</f>
        <v/>
      </c>
      <c r="F126">
        <f>IFERROR(IF(ISNUMBER(INDEX(SPPR!$E:$X,MATCH($A126,SPPR!$A:$A,0),3)),$C126*INDEX(SPPR!$E:$X,MATCH($A126,SPPR!$A:$A,0),3),""),"")</f>
        <v/>
      </c>
      <c r="G126">
        <f>IFERROR(IF(ISNUMBER(INDEX(SPPR!$E:$X,MATCH($A126,SPPR!$A:$A,0),4)),$C126*INDEX(SPPR!$E:$X,MATCH($A126,SPPR!$A:$A,0),4),""),"")</f>
        <v/>
      </c>
      <c r="H126">
        <f>IFERROR(IF(ISNUMBER(INDEX(SPPR!$E:$X,MATCH($A126,SPPR!$A:$A,0),5)),$C126*INDEX(SPPR!$E:$X,MATCH($A126,SPPR!$A:$A,0),5),""),"")</f>
        <v/>
      </c>
      <c r="I126">
        <f>IFERROR(IF(ISNUMBER(INDEX(SPPR!$E:$X,MATCH($A126,SPPR!$A:$A,0),6)),$C126*INDEX(SPPR!$E:$X,MATCH($A126,SPPR!$A:$A,0),6),""),"")</f>
        <v/>
      </c>
      <c r="J126">
        <f>IFERROR(IF(ISNUMBER(INDEX(SPPR!$E:$X,MATCH($A126,SPPR!$A:$A,0),7)),$C126*INDEX(SPPR!$E:$X,MATCH($A126,SPPR!$A:$A,0),7),""),"")</f>
        <v/>
      </c>
      <c r="K126">
        <f>IFERROR(IF(ISNUMBER(INDEX(SPPR!$E:$X,MATCH($A126,SPPR!$A:$A,0),8)),$C126*INDEX(SPPR!$E:$X,MATCH($A126,SPPR!$A:$A,0),8),""),"")</f>
        <v/>
      </c>
      <c r="L126">
        <f>IFERROR(IF(ISNUMBER(INDEX(SPPR!$E:$X,MATCH($A126,SPPR!$A:$A,0),9)),$C126*INDEX(SPPR!$E:$X,MATCH($A126,SPPR!$A:$A,0),9),""),"")</f>
        <v/>
      </c>
      <c r="M126">
        <f>IFERROR(IF(ISNUMBER(INDEX(SPPR!$E:$X,MATCH($A126,SPPR!$A:$A,0),10)),$C126*INDEX(SPPR!$E:$X,MATCH($A126,SPPR!$A:$A,0),10),""),"")</f>
        <v/>
      </c>
      <c r="N126">
        <f>IFERROR(IF(ISNUMBER(INDEX(SPPR!$E:$X,MATCH($A126,SPPR!$A:$A,0),11)),$C126*INDEX(SPPR!$E:$X,MATCH($A126,SPPR!$A:$A,0),11),""),"")</f>
        <v/>
      </c>
      <c r="O126">
        <f>IFERROR(IF(ISNUMBER(INDEX(SPPR!$E:$X,MATCH($A126,SPPR!$A:$A,0),12)),$C126*INDEX(SPPR!$E:$X,MATCH($A126,SPPR!$A:$A,0),12),""),"")</f>
        <v/>
      </c>
      <c r="P126">
        <f>IFERROR(IF(ISNUMBER(INDEX(SPPR!$E:$X,MATCH($A126,SPPR!$A:$A,0),13)),$C126*INDEX(SPPR!$E:$X,MATCH($A126,SPPR!$A:$A,0),13),""),"")</f>
        <v/>
      </c>
      <c r="Q126">
        <f>IFERROR(IF(ISNUMBER(INDEX(SPPR!$E:$X,MATCH($A126,SPPR!$A:$A,0),14)),$C126*INDEX(SPPR!$E:$X,MATCH($A126,SPPR!$A:$A,0),14),""),"")</f>
        <v/>
      </c>
      <c r="R126">
        <f>IFERROR(IF(ISNUMBER(INDEX(SPPR!$E:$X,MATCH($A126,SPPR!$A:$A,0),15)),$C126*INDEX(SPPR!$E:$X,MATCH($A126,SPPR!$A:$A,0),15),""),"")</f>
        <v/>
      </c>
      <c r="S126">
        <f>IFERROR(IF(ISNUMBER(INDEX(SPPR!$E:$X,MATCH($A126,SPPR!$A:$A,0),16)),$C126*INDEX(SPPR!$E:$X,MATCH($A126,SPPR!$A:$A,0),16),""),"")</f>
        <v/>
      </c>
      <c r="T126">
        <f>IFERROR(IF(ISNUMBER(INDEX(SPPR!$E:$X,MATCH($A126,SPPR!$A:$A,0),17)),$C126*INDEX(SPPR!$E:$X,MATCH($A126,SPPR!$A:$A,0),17),""),"")</f>
        <v/>
      </c>
      <c r="U126">
        <f>IFERROR(IF(ISNUMBER(INDEX(SPPR!$E:$X,MATCH($A126,SPPR!$A:$A,0),18)),$C126*INDEX(SPPR!$E:$X,MATCH($A126,SPPR!$A:$A,0),18),""),"")</f>
        <v/>
      </c>
      <c r="V126">
        <f>IFERROR(IF(ISNUMBER(INDEX(SPPR!$E:$X,MATCH($A126,SPPR!$A:$A,0),19)),$C126*INDEX(SPPR!$E:$X,MATCH($A126,SPPR!$A:$A,0),19),""),"")</f>
        <v/>
      </c>
      <c r="W126">
        <f>IFERROR(IF(ISNUMBER(INDEX(SPPR!$E:$X,MATCH($A126,SPPR!$A:$A,0),20)),$C126*INDEX(SPPR!$E:$X,MATCH($A126,SPPR!$A:$A,0),20),""),"")</f>
        <v/>
      </c>
    </row>
    <row r="127">
      <c r="A127" t="inlineStr">
        <is>
          <t>Necora puber</t>
        </is>
      </c>
      <c r="B127">
        <f>IFERROR(INDEX(SPPR!$D:$D,MATCH($A127,SPPR!$A:$A,0)),"")</f>
        <v/>
      </c>
      <c r="C127">
        <f>IFERROR(INDEX(Catch!$E:$BV,MATCH($A127,Catch!$A:$A,0),MATCH($B$4,Catch!$E$1:$BV$1,0)),0)</f>
        <v/>
      </c>
      <c r="D127">
        <f>IFERROR(IF(ISNUMBER(INDEX(SPPR!$E:$X,MATCH($A127,SPPR!$A:$A,0),1)),$C127*INDEX(SPPR!$E:$X,MATCH($A127,SPPR!$A:$A,0),1),""),"")</f>
        <v/>
      </c>
      <c r="E127">
        <f>IFERROR(IF(ISNUMBER(INDEX(SPPR!$E:$X,MATCH($A127,SPPR!$A:$A,0),2)),$C127*INDEX(SPPR!$E:$X,MATCH($A127,SPPR!$A:$A,0),2),""),"")</f>
        <v/>
      </c>
      <c r="F127">
        <f>IFERROR(IF(ISNUMBER(INDEX(SPPR!$E:$X,MATCH($A127,SPPR!$A:$A,0),3)),$C127*INDEX(SPPR!$E:$X,MATCH($A127,SPPR!$A:$A,0),3),""),"")</f>
        <v/>
      </c>
      <c r="G127">
        <f>IFERROR(IF(ISNUMBER(INDEX(SPPR!$E:$X,MATCH($A127,SPPR!$A:$A,0),4)),$C127*INDEX(SPPR!$E:$X,MATCH($A127,SPPR!$A:$A,0),4),""),"")</f>
        <v/>
      </c>
      <c r="H127">
        <f>IFERROR(IF(ISNUMBER(INDEX(SPPR!$E:$X,MATCH($A127,SPPR!$A:$A,0),5)),$C127*INDEX(SPPR!$E:$X,MATCH($A127,SPPR!$A:$A,0),5),""),"")</f>
        <v/>
      </c>
      <c r="I127">
        <f>IFERROR(IF(ISNUMBER(INDEX(SPPR!$E:$X,MATCH($A127,SPPR!$A:$A,0),6)),$C127*INDEX(SPPR!$E:$X,MATCH($A127,SPPR!$A:$A,0),6),""),"")</f>
        <v/>
      </c>
      <c r="J127">
        <f>IFERROR(IF(ISNUMBER(INDEX(SPPR!$E:$X,MATCH($A127,SPPR!$A:$A,0),7)),$C127*INDEX(SPPR!$E:$X,MATCH($A127,SPPR!$A:$A,0),7),""),"")</f>
        <v/>
      </c>
      <c r="K127">
        <f>IFERROR(IF(ISNUMBER(INDEX(SPPR!$E:$X,MATCH($A127,SPPR!$A:$A,0),8)),$C127*INDEX(SPPR!$E:$X,MATCH($A127,SPPR!$A:$A,0),8),""),"")</f>
        <v/>
      </c>
      <c r="L127">
        <f>IFERROR(IF(ISNUMBER(INDEX(SPPR!$E:$X,MATCH($A127,SPPR!$A:$A,0),9)),$C127*INDEX(SPPR!$E:$X,MATCH($A127,SPPR!$A:$A,0),9),""),"")</f>
        <v/>
      </c>
      <c r="M127">
        <f>IFERROR(IF(ISNUMBER(INDEX(SPPR!$E:$X,MATCH($A127,SPPR!$A:$A,0),10)),$C127*INDEX(SPPR!$E:$X,MATCH($A127,SPPR!$A:$A,0),10),""),"")</f>
        <v/>
      </c>
      <c r="N127">
        <f>IFERROR(IF(ISNUMBER(INDEX(SPPR!$E:$X,MATCH($A127,SPPR!$A:$A,0),11)),$C127*INDEX(SPPR!$E:$X,MATCH($A127,SPPR!$A:$A,0),11),""),"")</f>
        <v/>
      </c>
      <c r="O127">
        <f>IFERROR(IF(ISNUMBER(INDEX(SPPR!$E:$X,MATCH($A127,SPPR!$A:$A,0),12)),$C127*INDEX(SPPR!$E:$X,MATCH($A127,SPPR!$A:$A,0),12),""),"")</f>
        <v/>
      </c>
      <c r="P127">
        <f>IFERROR(IF(ISNUMBER(INDEX(SPPR!$E:$X,MATCH($A127,SPPR!$A:$A,0),13)),$C127*INDEX(SPPR!$E:$X,MATCH($A127,SPPR!$A:$A,0),13),""),"")</f>
        <v/>
      </c>
      <c r="Q127">
        <f>IFERROR(IF(ISNUMBER(INDEX(SPPR!$E:$X,MATCH($A127,SPPR!$A:$A,0),14)),$C127*INDEX(SPPR!$E:$X,MATCH($A127,SPPR!$A:$A,0),14),""),"")</f>
        <v/>
      </c>
      <c r="R127">
        <f>IFERROR(IF(ISNUMBER(INDEX(SPPR!$E:$X,MATCH($A127,SPPR!$A:$A,0),15)),$C127*INDEX(SPPR!$E:$X,MATCH($A127,SPPR!$A:$A,0),15),""),"")</f>
        <v/>
      </c>
      <c r="S127">
        <f>IFERROR(IF(ISNUMBER(INDEX(SPPR!$E:$X,MATCH($A127,SPPR!$A:$A,0),16)),$C127*INDEX(SPPR!$E:$X,MATCH($A127,SPPR!$A:$A,0),16),""),"")</f>
        <v/>
      </c>
      <c r="T127">
        <f>IFERROR(IF(ISNUMBER(INDEX(SPPR!$E:$X,MATCH($A127,SPPR!$A:$A,0),17)),$C127*INDEX(SPPR!$E:$X,MATCH($A127,SPPR!$A:$A,0),17),""),"")</f>
        <v/>
      </c>
      <c r="U127">
        <f>IFERROR(IF(ISNUMBER(INDEX(SPPR!$E:$X,MATCH($A127,SPPR!$A:$A,0),18)),$C127*INDEX(SPPR!$E:$X,MATCH($A127,SPPR!$A:$A,0),18),""),"")</f>
        <v/>
      </c>
      <c r="V127">
        <f>IFERROR(IF(ISNUMBER(INDEX(SPPR!$E:$X,MATCH($A127,SPPR!$A:$A,0),19)),$C127*INDEX(SPPR!$E:$X,MATCH($A127,SPPR!$A:$A,0),19),""),"")</f>
        <v/>
      </c>
      <c r="W127">
        <f>IFERROR(IF(ISNUMBER(INDEX(SPPR!$E:$X,MATCH($A127,SPPR!$A:$A,0),20)),$C127*INDEX(SPPR!$E:$X,MATCH($A127,SPPR!$A:$A,0),20),""),"")</f>
        <v/>
      </c>
    </row>
    <row r="128">
      <c r="A128" t="inlineStr">
        <is>
          <t>Pectinidae</t>
        </is>
      </c>
      <c r="B128">
        <f>IFERROR(INDEX(SPPR!$D:$D,MATCH($A128,SPPR!$A:$A,0)),"")</f>
        <v/>
      </c>
      <c r="C128">
        <f>IFERROR(INDEX(Catch!$E:$BV,MATCH($A128,Catch!$A:$A,0),MATCH($B$4,Catch!$E$1:$BV$1,0)),0)</f>
        <v/>
      </c>
      <c r="D128">
        <f>IFERROR(IF(ISNUMBER(INDEX(SPPR!$E:$X,MATCH($A128,SPPR!$A:$A,0),1)),$C128*INDEX(SPPR!$E:$X,MATCH($A128,SPPR!$A:$A,0),1),""),"")</f>
        <v/>
      </c>
      <c r="E128">
        <f>IFERROR(IF(ISNUMBER(INDEX(SPPR!$E:$X,MATCH($A128,SPPR!$A:$A,0),2)),$C128*INDEX(SPPR!$E:$X,MATCH($A128,SPPR!$A:$A,0),2),""),"")</f>
        <v/>
      </c>
      <c r="F128">
        <f>IFERROR(IF(ISNUMBER(INDEX(SPPR!$E:$X,MATCH($A128,SPPR!$A:$A,0),3)),$C128*INDEX(SPPR!$E:$X,MATCH($A128,SPPR!$A:$A,0),3),""),"")</f>
        <v/>
      </c>
      <c r="G128">
        <f>IFERROR(IF(ISNUMBER(INDEX(SPPR!$E:$X,MATCH($A128,SPPR!$A:$A,0),4)),$C128*INDEX(SPPR!$E:$X,MATCH($A128,SPPR!$A:$A,0),4),""),"")</f>
        <v/>
      </c>
      <c r="H128">
        <f>IFERROR(IF(ISNUMBER(INDEX(SPPR!$E:$X,MATCH($A128,SPPR!$A:$A,0),5)),$C128*INDEX(SPPR!$E:$X,MATCH($A128,SPPR!$A:$A,0),5),""),"")</f>
        <v/>
      </c>
      <c r="I128">
        <f>IFERROR(IF(ISNUMBER(INDEX(SPPR!$E:$X,MATCH($A128,SPPR!$A:$A,0),6)),$C128*INDEX(SPPR!$E:$X,MATCH($A128,SPPR!$A:$A,0),6),""),"")</f>
        <v/>
      </c>
      <c r="J128">
        <f>IFERROR(IF(ISNUMBER(INDEX(SPPR!$E:$X,MATCH($A128,SPPR!$A:$A,0),7)),$C128*INDEX(SPPR!$E:$X,MATCH($A128,SPPR!$A:$A,0),7),""),"")</f>
        <v/>
      </c>
      <c r="K128">
        <f>IFERROR(IF(ISNUMBER(INDEX(SPPR!$E:$X,MATCH($A128,SPPR!$A:$A,0),8)),$C128*INDEX(SPPR!$E:$X,MATCH($A128,SPPR!$A:$A,0),8),""),"")</f>
        <v/>
      </c>
      <c r="L128">
        <f>IFERROR(IF(ISNUMBER(INDEX(SPPR!$E:$X,MATCH($A128,SPPR!$A:$A,0),9)),$C128*INDEX(SPPR!$E:$X,MATCH($A128,SPPR!$A:$A,0),9),""),"")</f>
        <v/>
      </c>
      <c r="M128">
        <f>IFERROR(IF(ISNUMBER(INDEX(SPPR!$E:$X,MATCH($A128,SPPR!$A:$A,0),10)),$C128*INDEX(SPPR!$E:$X,MATCH($A128,SPPR!$A:$A,0),10),""),"")</f>
        <v/>
      </c>
      <c r="N128">
        <f>IFERROR(IF(ISNUMBER(INDEX(SPPR!$E:$X,MATCH($A128,SPPR!$A:$A,0),11)),$C128*INDEX(SPPR!$E:$X,MATCH($A128,SPPR!$A:$A,0),11),""),"")</f>
        <v/>
      </c>
      <c r="O128">
        <f>IFERROR(IF(ISNUMBER(INDEX(SPPR!$E:$X,MATCH($A128,SPPR!$A:$A,0),12)),$C128*INDEX(SPPR!$E:$X,MATCH($A128,SPPR!$A:$A,0),12),""),"")</f>
        <v/>
      </c>
      <c r="P128">
        <f>IFERROR(IF(ISNUMBER(INDEX(SPPR!$E:$X,MATCH($A128,SPPR!$A:$A,0),13)),$C128*INDEX(SPPR!$E:$X,MATCH($A128,SPPR!$A:$A,0),13),""),"")</f>
        <v/>
      </c>
      <c r="Q128">
        <f>IFERROR(IF(ISNUMBER(INDEX(SPPR!$E:$X,MATCH($A128,SPPR!$A:$A,0),14)),$C128*INDEX(SPPR!$E:$X,MATCH($A128,SPPR!$A:$A,0),14),""),"")</f>
        <v/>
      </c>
      <c r="R128">
        <f>IFERROR(IF(ISNUMBER(INDEX(SPPR!$E:$X,MATCH($A128,SPPR!$A:$A,0),15)),$C128*INDEX(SPPR!$E:$X,MATCH($A128,SPPR!$A:$A,0),15),""),"")</f>
        <v/>
      </c>
      <c r="S128">
        <f>IFERROR(IF(ISNUMBER(INDEX(SPPR!$E:$X,MATCH($A128,SPPR!$A:$A,0),16)),$C128*INDEX(SPPR!$E:$X,MATCH($A128,SPPR!$A:$A,0),16),""),"")</f>
        <v/>
      </c>
      <c r="T128">
        <f>IFERROR(IF(ISNUMBER(INDEX(SPPR!$E:$X,MATCH($A128,SPPR!$A:$A,0),17)),$C128*INDEX(SPPR!$E:$X,MATCH($A128,SPPR!$A:$A,0),17),""),"")</f>
        <v/>
      </c>
      <c r="U128">
        <f>IFERROR(IF(ISNUMBER(INDEX(SPPR!$E:$X,MATCH($A128,SPPR!$A:$A,0),18)),$C128*INDEX(SPPR!$E:$X,MATCH($A128,SPPR!$A:$A,0),18),""),"")</f>
        <v/>
      </c>
      <c r="V128">
        <f>IFERROR(IF(ISNUMBER(INDEX(SPPR!$E:$X,MATCH($A128,SPPR!$A:$A,0),19)),$C128*INDEX(SPPR!$E:$X,MATCH($A128,SPPR!$A:$A,0),19),""),"")</f>
        <v/>
      </c>
      <c r="W128">
        <f>IFERROR(IF(ISNUMBER(INDEX(SPPR!$E:$X,MATCH($A128,SPPR!$A:$A,0),20)),$C128*INDEX(SPPR!$E:$X,MATCH($A128,SPPR!$A:$A,0),20),""),"")</f>
        <v/>
      </c>
    </row>
    <row r="129">
      <c r="A129" t="inlineStr">
        <is>
          <t>Arnoglossus laterna</t>
        </is>
      </c>
      <c r="B129">
        <f>IFERROR(INDEX(SPPR!$D:$D,MATCH($A129,SPPR!$A:$A,0)),"")</f>
        <v/>
      </c>
      <c r="C129">
        <f>IFERROR(INDEX(Catch!$E:$BV,MATCH($A129,Catch!$A:$A,0),MATCH($B$4,Catch!$E$1:$BV$1,0)),0)</f>
        <v/>
      </c>
      <c r="D129">
        <f>IFERROR(IF(ISNUMBER(INDEX(SPPR!$E:$X,MATCH($A129,SPPR!$A:$A,0),1)),$C129*INDEX(SPPR!$E:$X,MATCH($A129,SPPR!$A:$A,0),1),""),"")</f>
        <v/>
      </c>
      <c r="E129">
        <f>IFERROR(IF(ISNUMBER(INDEX(SPPR!$E:$X,MATCH($A129,SPPR!$A:$A,0),2)),$C129*INDEX(SPPR!$E:$X,MATCH($A129,SPPR!$A:$A,0),2),""),"")</f>
        <v/>
      </c>
      <c r="F129">
        <f>IFERROR(IF(ISNUMBER(INDEX(SPPR!$E:$X,MATCH($A129,SPPR!$A:$A,0),3)),$C129*INDEX(SPPR!$E:$X,MATCH($A129,SPPR!$A:$A,0),3),""),"")</f>
        <v/>
      </c>
      <c r="G129">
        <f>IFERROR(IF(ISNUMBER(INDEX(SPPR!$E:$X,MATCH($A129,SPPR!$A:$A,0),4)),$C129*INDEX(SPPR!$E:$X,MATCH($A129,SPPR!$A:$A,0),4),""),"")</f>
        <v/>
      </c>
      <c r="H129">
        <f>IFERROR(IF(ISNUMBER(INDEX(SPPR!$E:$X,MATCH($A129,SPPR!$A:$A,0),5)),$C129*INDEX(SPPR!$E:$X,MATCH($A129,SPPR!$A:$A,0),5),""),"")</f>
        <v/>
      </c>
      <c r="I129">
        <f>IFERROR(IF(ISNUMBER(INDEX(SPPR!$E:$X,MATCH($A129,SPPR!$A:$A,0),6)),$C129*INDEX(SPPR!$E:$X,MATCH($A129,SPPR!$A:$A,0),6),""),"")</f>
        <v/>
      </c>
      <c r="J129">
        <f>IFERROR(IF(ISNUMBER(INDEX(SPPR!$E:$X,MATCH($A129,SPPR!$A:$A,0),7)),$C129*INDEX(SPPR!$E:$X,MATCH($A129,SPPR!$A:$A,0),7),""),"")</f>
        <v/>
      </c>
      <c r="K129">
        <f>IFERROR(IF(ISNUMBER(INDEX(SPPR!$E:$X,MATCH($A129,SPPR!$A:$A,0),8)),$C129*INDEX(SPPR!$E:$X,MATCH($A129,SPPR!$A:$A,0),8),""),"")</f>
        <v/>
      </c>
      <c r="L129">
        <f>IFERROR(IF(ISNUMBER(INDEX(SPPR!$E:$X,MATCH($A129,SPPR!$A:$A,0),9)),$C129*INDEX(SPPR!$E:$X,MATCH($A129,SPPR!$A:$A,0),9),""),"")</f>
        <v/>
      </c>
      <c r="M129">
        <f>IFERROR(IF(ISNUMBER(INDEX(SPPR!$E:$X,MATCH($A129,SPPR!$A:$A,0),10)),$C129*INDEX(SPPR!$E:$X,MATCH($A129,SPPR!$A:$A,0),10),""),"")</f>
        <v/>
      </c>
      <c r="N129">
        <f>IFERROR(IF(ISNUMBER(INDEX(SPPR!$E:$X,MATCH($A129,SPPR!$A:$A,0),11)),$C129*INDEX(SPPR!$E:$X,MATCH($A129,SPPR!$A:$A,0),11),""),"")</f>
        <v/>
      </c>
      <c r="O129">
        <f>IFERROR(IF(ISNUMBER(INDEX(SPPR!$E:$X,MATCH($A129,SPPR!$A:$A,0),12)),$C129*INDEX(SPPR!$E:$X,MATCH($A129,SPPR!$A:$A,0),12),""),"")</f>
        <v/>
      </c>
      <c r="P129">
        <f>IFERROR(IF(ISNUMBER(INDEX(SPPR!$E:$X,MATCH($A129,SPPR!$A:$A,0),13)),$C129*INDEX(SPPR!$E:$X,MATCH($A129,SPPR!$A:$A,0),13),""),"")</f>
        <v/>
      </c>
      <c r="Q129">
        <f>IFERROR(IF(ISNUMBER(INDEX(SPPR!$E:$X,MATCH($A129,SPPR!$A:$A,0),14)),$C129*INDEX(SPPR!$E:$X,MATCH($A129,SPPR!$A:$A,0),14),""),"")</f>
        <v/>
      </c>
      <c r="R129">
        <f>IFERROR(IF(ISNUMBER(INDEX(SPPR!$E:$X,MATCH($A129,SPPR!$A:$A,0),15)),$C129*INDEX(SPPR!$E:$X,MATCH($A129,SPPR!$A:$A,0),15),""),"")</f>
        <v/>
      </c>
      <c r="S129">
        <f>IFERROR(IF(ISNUMBER(INDEX(SPPR!$E:$X,MATCH($A129,SPPR!$A:$A,0),16)),$C129*INDEX(SPPR!$E:$X,MATCH($A129,SPPR!$A:$A,0),16),""),"")</f>
        <v/>
      </c>
      <c r="T129">
        <f>IFERROR(IF(ISNUMBER(INDEX(SPPR!$E:$X,MATCH($A129,SPPR!$A:$A,0),17)),$C129*INDEX(SPPR!$E:$X,MATCH($A129,SPPR!$A:$A,0),17),""),"")</f>
        <v/>
      </c>
      <c r="U129">
        <f>IFERROR(IF(ISNUMBER(INDEX(SPPR!$E:$X,MATCH($A129,SPPR!$A:$A,0),18)),$C129*INDEX(SPPR!$E:$X,MATCH($A129,SPPR!$A:$A,0),18),""),"")</f>
        <v/>
      </c>
      <c r="V129">
        <f>IFERROR(IF(ISNUMBER(INDEX(SPPR!$E:$X,MATCH($A129,SPPR!$A:$A,0),19)),$C129*INDEX(SPPR!$E:$X,MATCH($A129,SPPR!$A:$A,0),19),""),"")</f>
        <v/>
      </c>
      <c r="W129">
        <f>IFERROR(IF(ISNUMBER(INDEX(SPPR!$E:$X,MATCH($A129,SPPR!$A:$A,0),20)),$C129*INDEX(SPPR!$E:$X,MATCH($A129,SPPR!$A:$A,0),20),""),"")</f>
        <v/>
      </c>
    </row>
    <row r="130">
      <c r="A130" t="inlineStr">
        <is>
          <t>Salmo trutta</t>
        </is>
      </c>
      <c r="B130">
        <f>IFERROR(INDEX(SPPR!$D:$D,MATCH($A130,SPPR!$A:$A,0)),"")</f>
        <v/>
      </c>
      <c r="C130">
        <f>IFERROR(INDEX(Catch!$E:$BV,MATCH($A130,Catch!$A:$A,0),MATCH($B$4,Catch!$E$1:$BV$1,0)),0)</f>
        <v/>
      </c>
      <c r="D130">
        <f>IFERROR(IF(ISNUMBER(INDEX(SPPR!$E:$X,MATCH($A130,SPPR!$A:$A,0),1)),$C130*INDEX(SPPR!$E:$X,MATCH($A130,SPPR!$A:$A,0),1),""),"")</f>
        <v/>
      </c>
      <c r="E130">
        <f>IFERROR(IF(ISNUMBER(INDEX(SPPR!$E:$X,MATCH($A130,SPPR!$A:$A,0),2)),$C130*INDEX(SPPR!$E:$X,MATCH($A130,SPPR!$A:$A,0),2),""),"")</f>
        <v/>
      </c>
      <c r="F130">
        <f>IFERROR(IF(ISNUMBER(INDEX(SPPR!$E:$X,MATCH($A130,SPPR!$A:$A,0),3)),$C130*INDEX(SPPR!$E:$X,MATCH($A130,SPPR!$A:$A,0),3),""),"")</f>
        <v/>
      </c>
      <c r="G130">
        <f>IFERROR(IF(ISNUMBER(INDEX(SPPR!$E:$X,MATCH($A130,SPPR!$A:$A,0),4)),$C130*INDEX(SPPR!$E:$X,MATCH($A130,SPPR!$A:$A,0),4),""),"")</f>
        <v/>
      </c>
      <c r="H130">
        <f>IFERROR(IF(ISNUMBER(INDEX(SPPR!$E:$X,MATCH($A130,SPPR!$A:$A,0),5)),$C130*INDEX(SPPR!$E:$X,MATCH($A130,SPPR!$A:$A,0),5),""),"")</f>
        <v/>
      </c>
      <c r="I130">
        <f>IFERROR(IF(ISNUMBER(INDEX(SPPR!$E:$X,MATCH($A130,SPPR!$A:$A,0),6)),$C130*INDEX(SPPR!$E:$X,MATCH($A130,SPPR!$A:$A,0),6),""),"")</f>
        <v/>
      </c>
      <c r="J130">
        <f>IFERROR(IF(ISNUMBER(INDEX(SPPR!$E:$X,MATCH($A130,SPPR!$A:$A,0),7)),$C130*INDEX(SPPR!$E:$X,MATCH($A130,SPPR!$A:$A,0),7),""),"")</f>
        <v/>
      </c>
      <c r="K130">
        <f>IFERROR(IF(ISNUMBER(INDEX(SPPR!$E:$X,MATCH($A130,SPPR!$A:$A,0),8)),$C130*INDEX(SPPR!$E:$X,MATCH($A130,SPPR!$A:$A,0),8),""),"")</f>
        <v/>
      </c>
      <c r="L130">
        <f>IFERROR(IF(ISNUMBER(INDEX(SPPR!$E:$X,MATCH($A130,SPPR!$A:$A,0),9)),$C130*INDEX(SPPR!$E:$X,MATCH($A130,SPPR!$A:$A,0),9),""),"")</f>
        <v/>
      </c>
      <c r="M130">
        <f>IFERROR(IF(ISNUMBER(INDEX(SPPR!$E:$X,MATCH($A130,SPPR!$A:$A,0),10)),$C130*INDEX(SPPR!$E:$X,MATCH($A130,SPPR!$A:$A,0),10),""),"")</f>
        <v/>
      </c>
      <c r="N130">
        <f>IFERROR(IF(ISNUMBER(INDEX(SPPR!$E:$X,MATCH($A130,SPPR!$A:$A,0),11)),$C130*INDEX(SPPR!$E:$X,MATCH($A130,SPPR!$A:$A,0),11),""),"")</f>
        <v/>
      </c>
      <c r="O130">
        <f>IFERROR(IF(ISNUMBER(INDEX(SPPR!$E:$X,MATCH($A130,SPPR!$A:$A,0),12)),$C130*INDEX(SPPR!$E:$X,MATCH($A130,SPPR!$A:$A,0),12),""),"")</f>
        <v/>
      </c>
      <c r="P130">
        <f>IFERROR(IF(ISNUMBER(INDEX(SPPR!$E:$X,MATCH($A130,SPPR!$A:$A,0),13)),$C130*INDEX(SPPR!$E:$X,MATCH($A130,SPPR!$A:$A,0),13),""),"")</f>
        <v/>
      </c>
      <c r="Q130">
        <f>IFERROR(IF(ISNUMBER(INDEX(SPPR!$E:$X,MATCH($A130,SPPR!$A:$A,0),14)),$C130*INDEX(SPPR!$E:$X,MATCH($A130,SPPR!$A:$A,0),14),""),"")</f>
        <v/>
      </c>
      <c r="R130">
        <f>IFERROR(IF(ISNUMBER(INDEX(SPPR!$E:$X,MATCH($A130,SPPR!$A:$A,0),15)),$C130*INDEX(SPPR!$E:$X,MATCH($A130,SPPR!$A:$A,0),15),""),"")</f>
        <v/>
      </c>
      <c r="S130">
        <f>IFERROR(IF(ISNUMBER(INDEX(SPPR!$E:$X,MATCH($A130,SPPR!$A:$A,0),16)),$C130*INDEX(SPPR!$E:$X,MATCH($A130,SPPR!$A:$A,0),16),""),"")</f>
        <v/>
      </c>
      <c r="T130">
        <f>IFERROR(IF(ISNUMBER(INDEX(SPPR!$E:$X,MATCH($A130,SPPR!$A:$A,0),17)),$C130*INDEX(SPPR!$E:$X,MATCH($A130,SPPR!$A:$A,0),17),""),"")</f>
        <v/>
      </c>
      <c r="U130">
        <f>IFERROR(IF(ISNUMBER(INDEX(SPPR!$E:$X,MATCH($A130,SPPR!$A:$A,0),18)),$C130*INDEX(SPPR!$E:$X,MATCH($A130,SPPR!$A:$A,0),18),""),"")</f>
        <v/>
      </c>
      <c r="V130">
        <f>IFERROR(IF(ISNUMBER(INDEX(SPPR!$E:$X,MATCH($A130,SPPR!$A:$A,0),19)),$C130*INDEX(SPPR!$E:$X,MATCH($A130,SPPR!$A:$A,0),19),""),"")</f>
        <v/>
      </c>
      <c r="W130">
        <f>IFERROR(IF(ISNUMBER(INDEX(SPPR!$E:$X,MATCH($A130,SPPR!$A:$A,0),20)),$C130*INDEX(SPPR!$E:$X,MATCH($A130,SPPR!$A:$A,0),20),""),"")</f>
        <v/>
      </c>
    </row>
    <row r="131">
      <c r="A131" t="inlineStr">
        <is>
          <t>Zoarces viviparus</t>
        </is>
      </c>
      <c r="B131">
        <f>IFERROR(INDEX(SPPR!$D:$D,MATCH($A131,SPPR!$A:$A,0)),"")</f>
        <v/>
      </c>
      <c r="C131">
        <f>IFERROR(INDEX(Catch!$E:$BV,MATCH($A131,Catch!$A:$A,0),MATCH($B$4,Catch!$E$1:$BV$1,0)),0)</f>
        <v/>
      </c>
      <c r="D131">
        <f>IFERROR(IF(ISNUMBER(INDEX(SPPR!$E:$X,MATCH($A131,SPPR!$A:$A,0),1)),$C131*INDEX(SPPR!$E:$X,MATCH($A131,SPPR!$A:$A,0),1),""),"")</f>
        <v/>
      </c>
      <c r="E131">
        <f>IFERROR(IF(ISNUMBER(INDEX(SPPR!$E:$X,MATCH($A131,SPPR!$A:$A,0),2)),$C131*INDEX(SPPR!$E:$X,MATCH($A131,SPPR!$A:$A,0),2),""),"")</f>
        <v/>
      </c>
      <c r="F131">
        <f>IFERROR(IF(ISNUMBER(INDEX(SPPR!$E:$X,MATCH($A131,SPPR!$A:$A,0),3)),$C131*INDEX(SPPR!$E:$X,MATCH($A131,SPPR!$A:$A,0),3),""),"")</f>
        <v/>
      </c>
      <c r="G131">
        <f>IFERROR(IF(ISNUMBER(INDEX(SPPR!$E:$X,MATCH($A131,SPPR!$A:$A,0),4)),$C131*INDEX(SPPR!$E:$X,MATCH($A131,SPPR!$A:$A,0),4),""),"")</f>
        <v/>
      </c>
      <c r="H131">
        <f>IFERROR(IF(ISNUMBER(INDEX(SPPR!$E:$X,MATCH($A131,SPPR!$A:$A,0),5)),$C131*INDEX(SPPR!$E:$X,MATCH($A131,SPPR!$A:$A,0),5),""),"")</f>
        <v/>
      </c>
      <c r="I131">
        <f>IFERROR(IF(ISNUMBER(INDEX(SPPR!$E:$X,MATCH($A131,SPPR!$A:$A,0),6)),$C131*INDEX(SPPR!$E:$X,MATCH($A131,SPPR!$A:$A,0),6),""),"")</f>
        <v/>
      </c>
      <c r="J131">
        <f>IFERROR(IF(ISNUMBER(INDEX(SPPR!$E:$X,MATCH($A131,SPPR!$A:$A,0),7)),$C131*INDEX(SPPR!$E:$X,MATCH($A131,SPPR!$A:$A,0),7),""),"")</f>
        <v/>
      </c>
      <c r="K131">
        <f>IFERROR(IF(ISNUMBER(INDEX(SPPR!$E:$X,MATCH($A131,SPPR!$A:$A,0),8)),$C131*INDEX(SPPR!$E:$X,MATCH($A131,SPPR!$A:$A,0),8),""),"")</f>
        <v/>
      </c>
      <c r="L131">
        <f>IFERROR(IF(ISNUMBER(INDEX(SPPR!$E:$X,MATCH($A131,SPPR!$A:$A,0),9)),$C131*INDEX(SPPR!$E:$X,MATCH($A131,SPPR!$A:$A,0),9),""),"")</f>
        <v/>
      </c>
      <c r="M131">
        <f>IFERROR(IF(ISNUMBER(INDEX(SPPR!$E:$X,MATCH($A131,SPPR!$A:$A,0),10)),$C131*INDEX(SPPR!$E:$X,MATCH($A131,SPPR!$A:$A,0),10),""),"")</f>
        <v/>
      </c>
      <c r="N131">
        <f>IFERROR(IF(ISNUMBER(INDEX(SPPR!$E:$X,MATCH($A131,SPPR!$A:$A,0),11)),$C131*INDEX(SPPR!$E:$X,MATCH($A131,SPPR!$A:$A,0),11),""),"")</f>
        <v/>
      </c>
      <c r="O131">
        <f>IFERROR(IF(ISNUMBER(INDEX(SPPR!$E:$X,MATCH($A131,SPPR!$A:$A,0),12)),$C131*INDEX(SPPR!$E:$X,MATCH($A131,SPPR!$A:$A,0),12),""),"")</f>
        <v/>
      </c>
      <c r="P131">
        <f>IFERROR(IF(ISNUMBER(INDEX(SPPR!$E:$X,MATCH($A131,SPPR!$A:$A,0),13)),$C131*INDEX(SPPR!$E:$X,MATCH($A131,SPPR!$A:$A,0),13),""),"")</f>
        <v/>
      </c>
      <c r="Q131">
        <f>IFERROR(IF(ISNUMBER(INDEX(SPPR!$E:$X,MATCH($A131,SPPR!$A:$A,0),14)),$C131*INDEX(SPPR!$E:$X,MATCH($A131,SPPR!$A:$A,0),14),""),"")</f>
        <v/>
      </c>
      <c r="R131">
        <f>IFERROR(IF(ISNUMBER(INDEX(SPPR!$E:$X,MATCH($A131,SPPR!$A:$A,0),15)),$C131*INDEX(SPPR!$E:$X,MATCH($A131,SPPR!$A:$A,0),15),""),"")</f>
        <v/>
      </c>
      <c r="S131">
        <f>IFERROR(IF(ISNUMBER(INDEX(SPPR!$E:$X,MATCH($A131,SPPR!$A:$A,0),16)),$C131*INDEX(SPPR!$E:$X,MATCH($A131,SPPR!$A:$A,0),16),""),"")</f>
        <v/>
      </c>
      <c r="T131">
        <f>IFERROR(IF(ISNUMBER(INDEX(SPPR!$E:$X,MATCH($A131,SPPR!$A:$A,0),17)),$C131*INDEX(SPPR!$E:$X,MATCH($A131,SPPR!$A:$A,0),17),""),"")</f>
        <v/>
      </c>
      <c r="U131">
        <f>IFERROR(IF(ISNUMBER(INDEX(SPPR!$E:$X,MATCH($A131,SPPR!$A:$A,0),18)),$C131*INDEX(SPPR!$E:$X,MATCH($A131,SPPR!$A:$A,0),18),""),"")</f>
        <v/>
      </c>
      <c r="V131">
        <f>IFERROR(IF(ISNUMBER(INDEX(SPPR!$E:$X,MATCH($A131,SPPR!$A:$A,0),19)),$C131*INDEX(SPPR!$E:$X,MATCH($A131,SPPR!$A:$A,0),19),""),"")</f>
        <v/>
      </c>
      <c r="W131">
        <f>IFERROR(IF(ISNUMBER(INDEX(SPPR!$E:$X,MATCH($A131,SPPR!$A:$A,0),20)),$C131*INDEX(SPPR!$E:$X,MATCH($A131,SPPR!$A:$A,0),20),""),"")</f>
        <v/>
      </c>
    </row>
    <row r="132">
      <c r="A132" t="inlineStr">
        <is>
          <t>Centroscymnus coelolepis</t>
        </is>
      </c>
      <c r="B132">
        <f>IFERROR(INDEX(SPPR!$D:$D,MATCH($A132,SPPR!$A:$A,0)),"")</f>
        <v/>
      </c>
      <c r="C132">
        <f>IFERROR(INDEX(Catch!$E:$BV,MATCH($A132,Catch!$A:$A,0),MATCH($B$4,Catch!$E$1:$BV$1,0)),0)</f>
        <v/>
      </c>
      <c r="D132">
        <f>IFERROR(IF(ISNUMBER(INDEX(SPPR!$E:$X,MATCH($A132,SPPR!$A:$A,0),1)),$C132*INDEX(SPPR!$E:$X,MATCH($A132,SPPR!$A:$A,0),1),""),"")</f>
        <v/>
      </c>
      <c r="E132">
        <f>IFERROR(IF(ISNUMBER(INDEX(SPPR!$E:$X,MATCH($A132,SPPR!$A:$A,0),2)),$C132*INDEX(SPPR!$E:$X,MATCH($A132,SPPR!$A:$A,0),2),""),"")</f>
        <v/>
      </c>
      <c r="F132">
        <f>IFERROR(IF(ISNUMBER(INDEX(SPPR!$E:$X,MATCH($A132,SPPR!$A:$A,0),3)),$C132*INDEX(SPPR!$E:$X,MATCH($A132,SPPR!$A:$A,0),3),""),"")</f>
        <v/>
      </c>
      <c r="G132">
        <f>IFERROR(IF(ISNUMBER(INDEX(SPPR!$E:$X,MATCH($A132,SPPR!$A:$A,0),4)),$C132*INDEX(SPPR!$E:$X,MATCH($A132,SPPR!$A:$A,0),4),""),"")</f>
        <v/>
      </c>
      <c r="H132">
        <f>IFERROR(IF(ISNUMBER(INDEX(SPPR!$E:$X,MATCH($A132,SPPR!$A:$A,0),5)),$C132*INDEX(SPPR!$E:$X,MATCH($A132,SPPR!$A:$A,0),5),""),"")</f>
        <v/>
      </c>
      <c r="I132">
        <f>IFERROR(IF(ISNUMBER(INDEX(SPPR!$E:$X,MATCH($A132,SPPR!$A:$A,0),6)),$C132*INDEX(SPPR!$E:$X,MATCH($A132,SPPR!$A:$A,0),6),""),"")</f>
        <v/>
      </c>
      <c r="J132">
        <f>IFERROR(IF(ISNUMBER(INDEX(SPPR!$E:$X,MATCH($A132,SPPR!$A:$A,0),7)),$C132*INDEX(SPPR!$E:$X,MATCH($A132,SPPR!$A:$A,0),7),""),"")</f>
        <v/>
      </c>
      <c r="K132">
        <f>IFERROR(IF(ISNUMBER(INDEX(SPPR!$E:$X,MATCH($A132,SPPR!$A:$A,0),8)),$C132*INDEX(SPPR!$E:$X,MATCH($A132,SPPR!$A:$A,0),8),""),"")</f>
        <v/>
      </c>
      <c r="L132">
        <f>IFERROR(IF(ISNUMBER(INDEX(SPPR!$E:$X,MATCH($A132,SPPR!$A:$A,0),9)),$C132*INDEX(SPPR!$E:$X,MATCH($A132,SPPR!$A:$A,0),9),""),"")</f>
        <v/>
      </c>
      <c r="M132">
        <f>IFERROR(IF(ISNUMBER(INDEX(SPPR!$E:$X,MATCH($A132,SPPR!$A:$A,0),10)),$C132*INDEX(SPPR!$E:$X,MATCH($A132,SPPR!$A:$A,0),10),""),"")</f>
        <v/>
      </c>
      <c r="N132">
        <f>IFERROR(IF(ISNUMBER(INDEX(SPPR!$E:$X,MATCH($A132,SPPR!$A:$A,0),11)),$C132*INDEX(SPPR!$E:$X,MATCH($A132,SPPR!$A:$A,0),11),""),"")</f>
        <v/>
      </c>
      <c r="O132">
        <f>IFERROR(IF(ISNUMBER(INDEX(SPPR!$E:$X,MATCH($A132,SPPR!$A:$A,0),12)),$C132*INDEX(SPPR!$E:$X,MATCH($A132,SPPR!$A:$A,0),12),""),"")</f>
        <v/>
      </c>
      <c r="P132">
        <f>IFERROR(IF(ISNUMBER(INDEX(SPPR!$E:$X,MATCH($A132,SPPR!$A:$A,0),13)),$C132*INDEX(SPPR!$E:$X,MATCH($A132,SPPR!$A:$A,0),13),""),"")</f>
        <v/>
      </c>
      <c r="Q132">
        <f>IFERROR(IF(ISNUMBER(INDEX(SPPR!$E:$X,MATCH($A132,SPPR!$A:$A,0),14)),$C132*INDEX(SPPR!$E:$X,MATCH($A132,SPPR!$A:$A,0),14),""),"")</f>
        <v/>
      </c>
      <c r="R132">
        <f>IFERROR(IF(ISNUMBER(INDEX(SPPR!$E:$X,MATCH($A132,SPPR!$A:$A,0),15)),$C132*INDEX(SPPR!$E:$X,MATCH($A132,SPPR!$A:$A,0),15),""),"")</f>
        <v/>
      </c>
      <c r="S132">
        <f>IFERROR(IF(ISNUMBER(INDEX(SPPR!$E:$X,MATCH($A132,SPPR!$A:$A,0),16)),$C132*INDEX(SPPR!$E:$X,MATCH($A132,SPPR!$A:$A,0),16),""),"")</f>
        <v/>
      </c>
      <c r="T132">
        <f>IFERROR(IF(ISNUMBER(INDEX(SPPR!$E:$X,MATCH($A132,SPPR!$A:$A,0),17)),$C132*INDEX(SPPR!$E:$X,MATCH($A132,SPPR!$A:$A,0),17),""),"")</f>
        <v/>
      </c>
      <c r="U132">
        <f>IFERROR(IF(ISNUMBER(INDEX(SPPR!$E:$X,MATCH($A132,SPPR!$A:$A,0),18)),$C132*INDEX(SPPR!$E:$X,MATCH($A132,SPPR!$A:$A,0),18),""),"")</f>
        <v/>
      </c>
      <c r="V132">
        <f>IFERROR(IF(ISNUMBER(INDEX(SPPR!$E:$X,MATCH($A132,SPPR!$A:$A,0),19)),$C132*INDEX(SPPR!$E:$X,MATCH($A132,SPPR!$A:$A,0),19),""),"")</f>
        <v/>
      </c>
      <c r="W132">
        <f>IFERROR(IF(ISNUMBER(INDEX(SPPR!$E:$X,MATCH($A132,SPPR!$A:$A,0),20)),$C132*INDEX(SPPR!$E:$X,MATCH($A132,SPPR!$A:$A,0),20),""),"")</f>
        <v/>
      </c>
    </row>
    <row r="133">
      <c r="A133" t="inlineStr">
        <is>
          <t>Leucoraja naevus</t>
        </is>
      </c>
      <c r="B133">
        <f>IFERROR(INDEX(SPPR!$D:$D,MATCH($A133,SPPR!$A:$A,0)),"")</f>
        <v/>
      </c>
      <c r="C133">
        <f>IFERROR(INDEX(Catch!$E:$BV,MATCH($A133,Catch!$A:$A,0),MATCH($B$4,Catch!$E$1:$BV$1,0)),0)</f>
        <v/>
      </c>
      <c r="D133">
        <f>IFERROR(IF(ISNUMBER(INDEX(SPPR!$E:$X,MATCH($A133,SPPR!$A:$A,0),1)),$C133*INDEX(SPPR!$E:$X,MATCH($A133,SPPR!$A:$A,0),1),""),"")</f>
        <v/>
      </c>
      <c r="E133">
        <f>IFERROR(IF(ISNUMBER(INDEX(SPPR!$E:$X,MATCH($A133,SPPR!$A:$A,0),2)),$C133*INDEX(SPPR!$E:$X,MATCH($A133,SPPR!$A:$A,0),2),""),"")</f>
        <v/>
      </c>
      <c r="F133">
        <f>IFERROR(IF(ISNUMBER(INDEX(SPPR!$E:$X,MATCH($A133,SPPR!$A:$A,0),3)),$C133*INDEX(SPPR!$E:$X,MATCH($A133,SPPR!$A:$A,0),3),""),"")</f>
        <v/>
      </c>
      <c r="G133">
        <f>IFERROR(IF(ISNUMBER(INDEX(SPPR!$E:$X,MATCH($A133,SPPR!$A:$A,0),4)),$C133*INDEX(SPPR!$E:$X,MATCH($A133,SPPR!$A:$A,0),4),""),"")</f>
        <v/>
      </c>
      <c r="H133">
        <f>IFERROR(IF(ISNUMBER(INDEX(SPPR!$E:$X,MATCH($A133,SPPR!$A:$A,0),5)),$C133*INDEX(SPPR!$E:$X,MATCH($A133,SPPR!$A:$A,0),5),""),"")</f>
        <v/>
      </c>
      <c r="I133">
        <f>IFERROR(IF(ISNUMBER(INDEX(SPPR!$E:$X,MATCH($A133,SPPR!$A:$A,0),6)),$C133*INDEX(SPPR!$E:$X,MATCH($A133,SPPR!$A:$A,0),6),""),"")</f>
        <v/>
      </c>
      <c r="J133">
        <f>IFERROR(IF(ISNUMBER(INDEX(SPPR!$E:$X,MATCH($A133,SPPR!$A:$A,0),7)),$C133*INDEX(SPPR!$E:$X,MATCH($A133,SPPR!$A:$A,0),7),""),"")</f>
        <v/>
      </c>
      <c r="K133">
        <f>IFERROR(IF(ISNUMBER(INDEX(SPPR!$E:$X,MATCH($A133,SPPR!$A:$A,0),8)),$C133*INDEX(SPPR!$E:$X,MATCH($A133,SPPR!$A:$A,0),8),""),"")</f>
        <v/>
      </c>
      <c r="L133">
        <f>IFERROR(IF(ISNUMBER(INDEX(SPPR!$E:$X,MATCH($A133,SPPR!$A:$A,0),9)),$C133*INDEX(SPPR!$E:$X,MATCH($A133,SPPR!$A:$A,0),9),""),"")</f>
        <v/>
      </c>
      <c r="M133">
        <f>IFERROR(IF(ISNUMBER(INDEX(SPPR!$E:$X,MATCH($A133,SPPR!$A:$A,0),10)),$C133*INDEX(SPPR!$E:$X,MATCH($A133,SPPR!$A:$A,0),10),""),"")</f>
        <v/>
      </c>
      <c r="N133">
        <f>IFERROR(IF(ISNUMBER(INDEX(SPPR!$E:$X,MATCH($A133,SPPR!$A:$A,0),11)),$C133*INDEX(SPPR!$E:$X,MATCH($A133,SPPR!$A:$A,0),11),""),"")</f>
        <v/>
      </c>
      <c r="O133">
        <f>IFERROR(IF(ISNUMBER(INDEX(SPPR!$E:$X,MATCH($A133,SPPR!$A:$A,0),12)),$C133*INDEX(SPPR!$E:$X,MATCH($A133,SPPR!$A:$A,0),12),""),"")</f>
        <v/>
      </c>
      <c r="P133">
        <f>IFERROR(IF(ISNUMBER(INDEX(SPPR!$E:$X,MATCH($A133,SPPR!$A:$A,0),13)),$C133*INDEX(SPPR!$E:$X,MATCH($A133,SPPR!$A:$A,0),13),""),"")</f>
        <v/>
      </c>
      <c r="Q133">
        <f>IFERROR(IF(ISNUMBER(INDEX(SPPR!$E:$X,MATCH($A133,SPPR!$A:$A,0),14)),$C133*INDEX(SPPR!$E:$X,MATCH($A133,SPPR!$A:$A,0),14),""),"")</f>
        <v/>
      </c>
      <c r="R133">
        <f>IFERROR(IF(ISNUMBER(INDEX(SPPR!$E:$X,MATCH($A133,SPPR!$A:$A,0),15)),$C133*INDEX(SPPR!$E:$X,MATCH($A133,SPPR!$A:$A,0),15),""),"")</f>
        <v/>
      </c>
      <c r="S133">
        <f>IFERROR(IF(ISNUMBER(INDEX(SPPR!$E:$X,MATCH($A133,SPPR!$A:$A,0),16)),$C133*INDEX(SPPR!$E:$X,MATCH($A133,SPPR!$A:$A,0),16),""),"")</f>
        <v/>
      </c>
      <c r="T133">
        <f>IFERROR(IF(ISNUMBER(INDEX(SPPR!$E:$X,MATCH($A133,SPPR!$A:$A,0),17)),$C133*INDEX(SPPR!$E:$X,MATCH($A133,SPPR!$A:$A,0),17),""),"")</f>
        <v/>
      </c>
      <c r="U133">
        <f>IFERROR(IF(ISNUMBER(INDEX(SPPR!$E:$X,MATCH($A133,SPPR!$A:$A,0),18)),$C133*INDEX(SPPR!$E:$X,MATCH($A133,SPPR!$A:$A,0),18),""),"")</f>
        <v/>
      </c>
      <c r="V133">
        <f>IFERROR(IF(ISNUMBER(INDEX(SPPR!$E:$X,MATCH($A133,SPPR!$A:$A,0),19)),$C133*INDEX(SPPR!$E:$X,MATCH($A133,SPPR!$A:$A,0),19),""),"")</f>
        <v/>
      </c>
      <c r="W133">
        <f>IFERROR(IF(ISNUMBER(INDEX(SPPR!$E:$X,MATCH($A133,SPPR!$A:$A,0),20)),$C133*INDEX(SPPR!$E:$X,MATCH($A133,SPPR!$A:$A,0),20),""),"")</f>
        <v/>
      </c>
    </row>
    <row r="134">
      <c r="A134" t="inlineStr">
        <is>
          <t>Trisopterus minutus</t>
        </is>
      </c>
      <c r="B134">
        <f>IFERROR(INDEX(SPPR!$D:$D,MATCH($A134,SPPR!$A:$A,0)),"")</f>
        <v/>
      </c>
      <c r="C134">
        <f>IFERROR(INDEX(Catch!$E:$BV,MATCH($A134,Catch!$A:$A,0),MATCH($B$4,Catch!$E$1:$BV$1,0)),0)</f>
        <v/>
      </c>
      <c r="D134">
        <f>IFERROR(IF(ISNUMBER(INDEX(SPPR!$E:$X,MATCH($A134,SPPR!$A:$A,0),1)),$C134*INDEX(SPPR!$E:$X,MATCH($A134,SPPR!$A:$A,0),1),""),"")</f>
        <v/>
      </c>
      <c r="E134">
        <f>IFERROR(IF(ISNUMBER(INDEX(SPPR!$E:$X,MATCH($A134,SPPR!$A:$A,0),2)),$C134*INDEX(SPPR!$E:$X,MATCH($A134,SPPR!$A:$A,0),2),""),"")</f>
        <v/>
      </c>
      <c r="F134">
        <f>IFERROR(IF(ISNUMBER(INDEX(SPPR!$E:$X,MATCH($A134,SPPR!$A:$A,0),3)),$C134*INDEX(SPPR!$E:$X,MATCH($A134,SPPR!$A:$A,0),3),""),"")</f>
        <v/>
      </c>
      <c r="G134">
        <f>IFERROR(IF(ISNUMBER(INDEX(SPPR!$E:$X,MATCH($A134,SPPR!$A:$A,0),4)),$C134*INDEX(SPPR!$E:$X,MATCH($A134,SPPR!$A:$A,0),4),""),"")</f>
        <v/>
      </c>
      <c r="H134">
        <f>IFERROR(IF(ISNUMBER(INDEX(SPPR!$E:$X,MATCH($A134,SPPR!$A:$A,0),5)),$C134*INDEX(SPPR!$E:$X,MATCH($A134,SPPR!$A:$A,0),5),""),"")</f>
        <v/>
      </c>
      <c r="I134">
        <f>IFERROR(IF(ISNUMBER(INDEX(SPPR!$E:$X,MATCH($A134,SPPR!$A:$A,0),6)),$C134*INDEX(SPPR!$E:$X,MATCH($A134,SPPR!$A:$A,0),6),""),"")</f>
        <v/>
      </c>
      <c r="J134">
        <f>IFERROR(IF(ISNUMBER(INDEX(SPPR!$E:$X,MATCH($A134,SPPR!$A:$A,0),7)),$C134*INDEX(SPPR!$E:$X,MATCH($A134,SPPR!$A:$A,0),7),""),"")</f>
        <v/>
      </c>
      <c r="K134">
        <f>IFERROR(IF(ISNUMBER(INDEX(SPPR!$E:$X,MATCH($A134,SPPR!$A:$A,0),8)),$C134*INDEX(SPPR!$E:$X,MATCH($A134,SPPR!$A:$A,0),8),""),"")</f>
        <v/>
      </c>
      <c r="L134">
        <f>IFERROR(IF(ISNUMBER(INDEX(SPPR!$E:$X,MATCH($A134,SPPR!$A:$A,0),9)),$C134*INDEX(SPPR!$E:$X,MATCH($A134,SPPR!$A:$A,0),9),""),"")</f>
        <v/>
      </c>
      <c r="M134">
        <f>IFERROR(IF(ISNUMBER(INDEX(SPPR!$E:$X,MATCH($A134,SPPR!$A:$A,0),10)),$C134*INDEX(SPPR!$E:$X,MATCH($A134,SPPR!$A:$A,0),10),""),"")</f>
        <v/>
      </c>
      <c r="N134">
        <f>IFERROR(IF(ISNUMBER(INDEX(SPPR!$E:$X,MATCH($A134,SPPR!$A:$A,0),11)),$C134*INDEX(SPPR!$E:$X,MATCH($A134,SPPR!$A:$A,0),11),""),"")</f>
        <v/>
      </c>
      <c r="O134">
        <f>IFERROR(IF(ISNUMBER(INDEX(SPPR!$E:$X,MATCH($A134,SPPR!$A:$A,0),12)),$C134*INDEX(SPPR!$E:$X,MATCH($A134,SPPR!$A:$A,0),12),""),"")</f>
        <v/>
      </c>
      <c r="P134">
        <f>IFERROR(IF(ISNUMBER(INDEX(SPPR!$E:$X,MATCH($A134,SPPR!$A:$A,0),13)),$C134*INDEX(SPPR!$E:$X,MATCH($A134,SPPR!$A:$A,0),13),""),"")</f>
        <v/>
      </c>
      <c r="Q134">
        <f>IFERROR(IF(ISNUMBER(INDEX(SPPR!$E:$X,MATCH($A134,SPPR!$A:$A,0),14)),$C134*INDEX(SPPR!$E:$X,MATCH($A134,SPPR!$A:$A,0),14),""),"")</f>
        <v/>
      </c>
      <c r="R134">
        <f>IFERROR(IF(ISNUMBER(INDEX(SPPR!$E:$X,MATCH($A134,SPPR!$A:$A,0),15)),$C134*INDEX(SPPR!$E:$X,MATCH($A134,SPPR!$A:$A,0),15),""),"")</f>
        <v/>
      </c>
      <c r="S134">
        <f>IFERROR(IF(ISNUMBER(INDEX(SPPR!$E:$X,MATCH($A134,SPPR!$A:$A,0),16)),$C134*INDEX(SPPR!$E:$X,MATCH($A134,SPPR!$A:$A,0),16),""),"")</f>
        <v/>
      </c>
      <c r="T134">
        <f>IFERROR(IF(ISNUMBER(INDEX(SPPR!$E:$X,MATCH($A134,SPPR!$A:$A,0),17)),$C134*INDEX(SPPR!$E:$X,MATCH($A134,SPPR!$A:$A,0),17),""),"")</f>
        <v/>
      </c>
      <c r="U134">
        <f>IFERROR(IF(ISNUMBER(INDEX(SPPR!$E:$X,MATCH($A134,SPPR!$A:$A,0),18)),$C134*INDEX(SPPR!$E:$X,MATCH($A134,SPPR!$A:$A,0),18),""),"")</f>
        <v/>
      </c>
      <c r="V134">
        <f>IFERROR(IF(ISNUMBER(INDEX(SPPR!$E:$X,MATCH($A134,SPPR!$A:$A,0),19)),$C134*INDEX(SPPR!$E:$X,MATCH($A134,SPPR!$A:$A,0),19),""),"")</f>
        <v/>
      </c>
      <c r="W134">
        <f>IFERROR(IF(ISNUMBER(INDEX(SPPR!$E:$X,MATCH($A134,SPPR!$A:$A,0),20)),$C134*INDEX(SPPR!$E:$X,MATCH($A134,SPPR!$A:$A,0),20),""),"")</f>
        <v/>
      </c>
    </row>
    <row r="135">
      <c r="A135" t="inlineStr">
        <is>
          <t>Chondrichthyes</t>
        </is>
      </c>
      <c r="B135">
        <f>IFERROR(INDEX(SPPR!$D:$D,MATCH($A135,SPPR!$A:$A,0)),"")</f>
        <v/>
      </c>
      <c r="C135">
        <f>IFERROR(INDEX(Catch!$E:$BV,MATCH($A135,Catch!$A:$A,0),MATCH($B$4,Catch!$E$1:$BV$1,0)),0)</f>
        <v/>
      </c>
      <c r="D135">
        <f>IFERROR(IF(ISNUMBER(INDEX(SPPR!$E:$X,MATCH($A135,SPPR!$A:$A,0),1)),$C135*INDEX(SPPR!$E:$X,MATCH($A135,SPPR!$A:$A,0),1),""),"")</f>
        <v/>
      </c>
      <c r="E135">
        <f>IFERROR(IF(ISNUMBER(INDEX(SPPR!$E:$X,MATCH($A135,SPPR!$A:$A,0),2)),$C135*INDEX(SPPR!$E:$X,MATCH($A135,SPPR!$A:$A,0),2),""),"")</f>
        <v/>
      </c>
      <c r="F135">
        <f>IFERROR(IF(ISNUMBER(INDEX(SPPR!$E:$X,MATCH($A135,SPPR!$A:$A,0),3)),$C135*INDEX(SPPR!$E:$X,MATCH($A135,SPPR!$A:$A,0),3),""),"")</f>
        <v/>
      </c>
      <c r="G135">
        <f>IFERROR(IF(ISNUMBER(INDEX(SPPR!$E:$X,MATCH($A135,SPPR!$A:$A,0),4)),$C135*INDEX(SPPR!$E:$X,MATCH($A135,SPPR!$A:$A,0),4),""),"")</f>
        <v/>
      </c>
      <c r="H135">
        <f>IFERROR(IF(ISNUMBER(INDEX(SPPR!$E:$X,MATCH($A135,SPPR!$A:$A,0),5)),$C135*INDEX(SPPR!$E:$X,MATCH($A135,SPPR!$A:$A,0),5),""),"")</f>
        <v/>
      </c>
      <c r="I135">
        <f>IFERROR(IF(ISNUMBER(INDEX(SPPR!$E:$X,MATCH($A135,SPPR!$A:$A,0),6)),$C135*INDEX(SPPR!$E:$X,MATCH($A135,SPPR!$A:$A,0),6),""),"")</f>
        <v/>
      </c>
      <c r="J135">
        <f>IFERROR(IF(ISNUMBER(INDEX(SPPR!$E:$X,MATCH($A135,SPPR!$A:$A,0),7)),$C135*INDEX(SPPR!$E:$X,MATCH($A135,SPPR!$A:$A,0),7),""),"")</f>
        <v/>
      </c>
      <c r="K135">
        <f>IFERROR(IF(ISNUMBER(INDEX(SPPR!$E:$X,MATCH($A135,SPPR!$A:$A,0),8)),$C135*INDEX(SPPR!$E:$X,MATCH($A135,SPPR!$A:$A,0),8),""),"")</f>
        <v/>
      </c>
      <c r="L135">
        <f>IFERROR(IF(ISNUMBER(INDEX(SPPR!$E:$X,MATCH($A135,SPPR!$A:$A,0),9)),$C135*INDEX(SPPR!$E:$X,MATCH($A135,SPPR!$A:$A,0),9),""),"")</f>
        <v/>
      </c>
      <c r="M135">
        <f>IFERROR(IF(ISNUMBER(INDEX(SPPR!$E:$X,MATCH($A135,SPPR!$A:$A,0),10)),$C135*INDEX(SPPR!$E:$X,MATCH($A135,SPPR!$A:$A,0),10),""),"")</f>
        <v/>
      </c>
      <c r="N135">
        <f>IFERROR(IF(ISNUMBER(INDEX(SPPR!$E:$X,MATCH($A135,SPPR!$A:$A,0),11)),$C135*INDEX(SPPR!$E:$X,MATCH($A135,SPPR!$A:$A,0),11),""),"")</f>
        <v/>
      </c>
      <c r="O135">
        <f>IFERROR(IF(ISNUMBER(INDEX(SPPR!$E:$X,MATCH($A135,SPPR!$A:$A,0),12)),$C135*INDEX(SPPR!$E:$X,MATCH($A135,SPPR!$A:$A,0),12),""),"")</f>
        <v/>
      </c>
      <c r="P135">
        <f>IFERROR(IF(ISNUMBER(INDEX(SPPR!$E:$X,MATCH($A135,SPPR!$A:$A,0),13)),$C135*INDEX(SPPR!$E:$X,MATCH($A135,SPPR!$A:$A,0),13),""),"")</f>
        <v/>
      </c>
      <c r="Q135">
        <f>IFERROR(IF(ISNUMBER(INDEX(SPPR!$E:$X,MATCH($A135,SPPR!$A:$A,0),14)),$C135*INDEX(SPPR!$E:$X,MATCH($A135,SPPR!$A:$A,0),14),""),"")</f>
        <v/>
      </c>
      <c r="R135">
        <f>IFERROR(IF(ISNUMBER(INDEX(SPPR!$E:$X,MATCH($A135,SPPR!$A:$A,0),15)),$C135*INDEX(SPPR!$E:$X,MATCH($A135,SPPR!$A:$A,0),15),""),"")</f>
        <v/>
      </c>
      <c r="S135">
        <f>IFERROR(IF(ISNUMBER(INDEX(SPPR!$E:$X,MATCH($A135,SPPR!$A:$A,0),16)),$C135*INDEX(SPPR!$E:$X,MATCH($A135,SPPR!$A:$A,0),16),""),"")</f>
        <v/>
      </c>
      <c r="T135">
        <f>IFERROR(IF(ISNUMBER(INDEX(SPPR!$E:$X,MATCH($A135,SPPR!$A:$A,0),17)),$C135*INDEX(SPPR!$E:$X,MATCH($A135,SPPR!$A:$A,0),17),""),"")</f>
        <v/>
      </c>
      <c r="U135">
        <f>IFERROR(IF(ISNUMBER(INDEX(SPPR!$E:$X,MATCH($A135,SPPR!$A:$A,0),18)),$C135*INDEX(SPPR!$E:$X,MATCH($A135,SPPR!$A:$A,0),18),""),"")</f>
        <v/>
      </c>
      <c r="V135">
        <f>IFERROR(IF(ISNUMBER(INDEX(SPPR!$E:$X,MATCH($A135,SPPR!$A:$A,0),19)),$C135*INDEX(SPPR!$E:$X,MATCH($A135,SPPR!$A:$A,0),19),""),"")</f>
        <v/>
      </c>
      <c r="W135">
        <f>IFERROR(IF(ISNUMBER(INDEX(SPPR!$E:$X,MATCH($A135,SPPR!$A:$A,0),20)),$C135*INDEX(SPPR!$E:$X,MATCH($A135,SPPR!$A:$A,0),20),""),"")</f>
        <v/>
      </c>
    </row>
    <row r="136">
      <c r="A136" t="inlineStr">
        <is>
          <t>Macrourus berglax</t>
        </is>
      </c>
      <c r="B136">
        <f>IFERROR(INDEX(SPPR!$D:$D,MATCH($A136,SPPR!$A:$A,0)),"")</f>
        <v/>
      </c>
      <c r="C136">
        <f>IFERROR(INDEX(Catch!$E:$BV,MATCH($A136,Catch!$A:$A,0),MATCH($B$4,Catch!$E$1:$BV$1,0)),0)</f>
        <v/>
      </c>
      <c r="D136">
        <f>IFERROR(IF(ISNUMBER(INDEX(SPPR!$E:$X,MATCH($A136,SPPR!$A:$A,0),1)),$C136*INDEX(SPPR!$E:$X,MATCH($A136,SPPR!$A:$A,0),1),""),"")</f>
        <v/>
      </c>
      <c r="E136">
        <f>IFERROR(IF(ISNUMBER(INDEX(SPPR!$E:$X,MATCH($A136,SPPR!$A:$A,0),2)),$C136*INDEX(SPPR!$E:$X,MATCH($A136,SPPR!$A:$A,0),2),""),"")</f>
        <v/>
      </c>
      <c r="F136">
        <f>IFERROR(IF(ISNUMBER(INDEX(SPPR!$E:$X,MATCH($A136,SPPR!$A:$A,0),3)),$C136*INDEX(SPPR!$E:$X,MATCH($A136,SPPR!$A:$A,0),3),""),"")</f>
        <v/>
      </c>
      <c r="G136">
        <f>IFERROR(IF(ISNUMBER(INDEX(SPPR!$E:$X,MATCH($A136,SPPR!$A:$A,0),4)),$C136*INDEX(SPPR!$E:$X,MATCH($A136,SPPR!$A:$A,0),4),""),"")</f>
        <v/>
      </c>
      <c r="H136">
        <f>IFERROR(IF(ISNUMBER(INDEX(SPPR!$E:$X,MATCH($A136,SPPR!$A:$A,0),5)),$C136*INDEX(SPPR!$E:$X,MATCH($A136,SPPR!$A:$A,0),5),""),"")</f>
        <v/>
      </c>
      <c r="I136">
        <f>IFERROR(IF(ISNUMBER(INDEX(SPPR!$E:$X,MATCH($A136,SPPR!$A:$A,0),6)),$C136*INDEX(SPPR!$E:$X,MATCH($A136,SPPR!$A:$A,0),6),""),"")</f>
        <v/>
      </c>
      <c r="J136">
        <f>IFERROR(IF(ISNUMBER(INDEX(SPPR!$E:$X,MATCH($A136,SPPR!$A:$A,0),7)),$C136*INDEX(SPPR!$E:$X,MATCH($A136,SPPR!$A:$A,0),7),""),"")</f>
        <v/>
      </c>
      <c r="K136">
        <f>IFERROR(IF(ISNUMBER(INDEX(SPPR!$E:$X,MATCH($A136,SPPR!$A:$A,0),8)),$C136*INDEX(SPPR!$E:$X,MATCH($A136,SPPR!$A:$A,0),8),""),"")</f>
        <v/>
      </c>
      <c r="L136">
        <f>IFERROR(IF(ISNUMBER(INDEX(SPPR!$E:$X,MATCH($A136,SPPR!$A:$A,0),9)),$C136*INDEX(SPPR!$E:$X,MATCH($A136,SPPR!$A:$A,0),9),""),"")</f>
        <v/>
      </c>
      <c r="M136">
        <f>IFERROR(IF(ISNUMBER(INDEX(SPPR!$E:$X,MATCH($A136,SPPR!$A:$A,0),10)),$C136*INDEX(SPPR!$E:$X,MATCH($A136,SPPR!$A:$A,0),10),""),"")</f>
        <v/>
      </c>
      <c r="N136">
        <f>IFERROR(IF(ISNUMBER(INDEX(SPPR!$E:$X,MATCH($A136,SPPR!$A:$A,0),11)),$C136*INDEX(SPPR!$E:$X,MATCH($A136,SPPR!$A:$A,0),11),""),"")</f>
        <v/>
      </c>
      <c r="O136">
        <f>IFERROR(IF(ISNUMBER(INDEX(SPPR!$E:$X,MATCH($A136,SPPR!$A:$A,0),12)),$C136*INDEX(SPPR!$E:$X,MATCH($A136,SPPR!$A:$A,0),12),""),"")</f>
        <v/>
      </c>
      <c r="P136">
        <f>IFERROR(IF(ISNUMBER(INDEX(SPPR!$E:$X,MATCH($A136,SPPR!$A:$A,0),13)),$C136*INDEX(SPPR!$E:$X,MATCH($A136,SPPR!$A:$A,0),13),""),"")</f>
        <v/>
      </c>
      <c r="Q136">
        <f>IFERROR(IF(ISNUMBER(INDEX(SPPR!$E:$X,MATCH($A136,SPPR!$A:$A,0),14)),$C136*INDEX(SPPR!$E:$X,MATCH($A136,SPPR!$A:$A,0),14),""),"")</f>
        <v/>
      </c>
      <c r="R136">
        <f>IFERROR(IF(ISNUMBER(INDEX(SPPR!$E:$X,MATCH($A136,SPPR!$A:$A,0),15)),$C136*INDEX(SPPR!$E:$X,MATCH($A136,SPPR!$A:$A,0),15),""),"")</f>
        <v/>
      </c>
      <c r="S136">
        <f>IFERROR(IF(ISNUMBER(INDEX(SPPR!$E:$X,MATCH($A136,SPPR!$A:$A,0),16)),$C136*INDEX(SPPR!$E:$X,MATCH($A136,SPPR!$A:$A,0),16),""),"")</f>
        <v/>
      </c>
      <c r="T136">
        <f>IFERROR(IF(ISNUMBER(INDEX(SPPR!$E:$X,MATCH($A136,SPPR!$A:$A,0),17)),$C136*INDEX(SPPR!$E:$X,MATCH($A136,SPPR!$A:$A,0),17),""),"")</f>
        <v/>
      </c>
      <c r="U136">
        <f>IFERROR(IF(ISNUMBER(INDEX(SPPR!$E:$X,MATCH($A136,SPPR!$A:$A,0),18)),$C136*INDEX(SPPR!$E:$X,MATCH($A136,SPPR!$A:$A,0),18),""),"")</f>
        <v/>
      </c>
      <c r="V136">
        <f>IFERROR(IF(ISNUMBER(INDEX(SPPR!$E:$X,MATCH($A136,SPPR!$A:$A,0),19)),$C136*INDEX(SPPR!$E:$X,MATCH($A136,SPPR!$A:$A,0),19),""),"")</f>
        <v/>
      </c>
      <c r="W136">
        <f>IFERROR(IF(ISNUMBER(INDEX(SPPR!$E:$X,MATCH($A136,SPPR!$A:$A,0),20)),$C136*INDEX(SPPR!$E:$X,MATCH($A136,SPPR!$A:$A,0),20),""),"")</f>
        <v/>
      </c>
    </row>
    <row r="137">
      <c r="A137" t="inlineStr">
        <is>
          <t>Malacostraca</t>
        </is>
      </c>
      <c r="B137">
        <f>IFERROR(INDEX(SPPR!$D:$D,MATCH($A137,SPPR!$A:$A,0)),"")</f>
        <v/>
      </c>
      <c r="C137">
        <f>IFERROR(INDEX(Catch!$E:$BV,MATCH($A137,Catch!$A:$A,0),MATCH($B$4,Catch!$E$1:$BV$1,0)),0)</f>
        <v/>
      </c>
      <c r="D137">
        <f>IFERROR(IF(ISNUMBER(INDEX(SPPR!$E:$X,MATCH($A137,SPPR!$A:$A,0),1)),$C137*INDEX(SPPR!$E:$X,MATCH($A137,SPPR!$A:$A,0),1),""),"")</f>
        <v/>
      </c>
      <c r="E137">
        <f>IFERROR(IF(ISNUMBER(INDEX(SPPR!$E:$X,MATCH($A137,SPPR!$A:$A,0),2)),$C137*INDEX(SPPR!$E:$X,MATCH($A137,SPPR!$A:$A,0),2),""),"")</f>
        <v/>
      </c>
      <c r="F137">
        <f>IFERROR(IF(ISNUMBER(INDEX(SPPR!$E:$X,MATCH($A137,SPPR!$A:$A,0),3)),$C137*INDEX(SPPR!$E:$X,MATCH($A137,SPPR!$A:$A,0),3),""),"")</f>
        <v/>
      </c>
      <c r="G137">
        <f>IFERROR(IF(ISNUMBER(INDEX(SPPR!$E:$X,MATCH($A137,SPPR!$A:$A,0),4)),$C137*INDEX(SPPR!$E:$X,MATCH($A137,SPPR!$A:$A,0),4),""),"")</f>
        <v/>
      </c>
      <c r="H137">
        <f>IFERROR(IF(ISNUMBER(INDEX(SPPR!$E:$X,MATCH($A137,SPPR!$A:$A,0),5)),$C137*INDEX(SPPR!$E:$X,MATCH($A137,SPPR!$A:$A,0),5),""),"")</f>
        <v/>
      </c>
      <c r="I137">
        <f>IFERROR(IF(ISNUMBER(INDEX(SPPR!$E:$X,MATCH($A137,SPPR!$A:$A,0),6)),$C137*INDEX(SPPR!$E:$X,MATCH($A137,SPPR!$A:$A,0),6),""),"")</f>
        <v/>
      </c>
      <c r="J137">
        <f>IFERROR(IF(ISNUMBER(INDEX(SPPR!$E:$X,MATCH($A137,SPPR!$A:$A,0),7)),$C137*INDEX(SPPR!$E:$X,MATCH($A137,SPPR!$A:$A,0),7),""),"")</f>
        <v/>
      </c>
      <c r="K137">
        <f>IFERROR(IF(ISNUMBER(INDEX(SPPR!$E:$X,MATCH($A137,SPPR!$A:$A,0),8)),$C137*INDEX(SPPR!$E:$X,MATCH($A137,SPPR!$A:$A,0),8),""),"")</f>
        <v/>
      </c>
      <c r="L137">
        <f>IFERROR(IF(ISNUMBER(INDEX(SPPR!$E:$X,MATCH($A137,SPPR!$A:$A,0),9)),$C137*INDEX(SPPR!$E:$X,MATCH($A137,SPPR!$A:$A,0),9),""),"")</f>
        <v/>
      </c>
      <c r="M137">
        <f>IFERROR(IF(ISNUMBER(INDEX(SPPR!$E:$X,MATCH($A137,SPPR!$A:$A,0),10)),$C137*INDEX(SPPR!$E:$X,MATCH($A137,SPPR!$A:$A,0),10),""),"")</f>
        <v/>
      </c>
      <c r="N137">
        <f>IFERROR(IF(ISNUMBER(INDEX(SPPR!$E:$X,MATCH($A137,SPPR!$A:$A,0),11)),$C137*INDEX(SPPR!$E:$X,MATCH($A137,SPPR!$A:$A,0),11),""),"")</f>
        <v/>
      </c>
      <c r="O137">
        <f>IFERROR(IF(ISNUMBER(INDEX(SPPR!$E:$X,MATCH($A137,SPPR!$A:$A,0),12)),$C137*INDEX(SPPR!$E:$X,MATCH($A137,SPPR!$A:$A,0),12),""),"")</f>
        <v/>
      </c>
      <c r="P137">
        <f>IFERROR(IF(ISNUMBER(INDEX(SPPR!$E:$X,MATCH($A137,SPPR!$A:$A,0),13)),$C137*INDEX(SPPR!$E:$X,MATCH($A137,SPPR!$A:$A,0),13),""),"")</f>
        <v/>
      </c>
      <c r="Q137">
        <f>IFERROR(IF(ISNUMBER(INDEX(SPPR!$E:$X,MATCH($A137,SPPR!$A:$A,0),14)),$C137*INDEX(SPPR!$E:$X,MATCH($A137,SPPR!$A:$A,0),14),""),"")</f>
        <v/>
      </c>
      <c r="R137">
        <f>IFERROR(IF(ISNUMBER(INDEX(SPPR!$E:$X,MATCH($A137,SPPR!$A:$A,0),15)),$C137*INDEX(SPPR!$E:$X,MATCH($A137,SPPR!$A:$A,0),15),""),"")</f>
        <v/>
      </c>
      <c r="S137">
        <f>IFERROR(IF(ISNUMBER(INDEX(SPPR!$E:$X,MATCH($A137,SPPR!$A:$A,0),16)),$C137*INDEX(SPPR!$E:$X,MATCH($A137,SPPR!$A:$A,0),16),""),"")</f>
        <v/>
      </c>
      <c r="T137">
        <f>IFERROR(IF(ISNUMBER(INDEX(SPPR!$E:$X,MATCH($A137,SPPR!$A:$A,0),17)),$C137*INDEX(SPPR!$E:$X,MATCH($A137,SPPR!$A:$A,0),17),""),"")</f>
        <v/>
      </c>
      <c r="U137">
        <f>IFERROR(IF(ISNUMBER(INDEX(SPPR!$E:$X,MATCH($A137,SPPR!$A:$A,0),18)),$C137*INDEX(SPPR!$E:$X,MATCH($A137,SPPR!$A:$A,0),18),""),"")</f>
        <v/>
      </c>
      <c r="V137">
        <f>IFERROR(IF(ISNUMBER(INDEX(SPPR!$E:$X,MATCH($A137,SPPR!$A:$A,0),19)),$C137*INDEX(SPPR!$E:$X,MATCH($A137,SPPR!$A:$A,0),19),""),"")</f>
        <v/>
      </c>
      <c r="W137">
        <f>IFERROR(IF(ISNUMBER(INDEX(SPPR!$E:$X,MATCH($A137,SPPR!$A:$A,0),20)),$C137*INDEX(SPPR!$E:$X,MATCH($A137,SPPR!$A:$A,0),20),""),"")</f>
        <v/>
      </c>
    </row>
    <row r="138">
      <c r="A138" t="inlineStr">
        <is>
          <t>Raja brachyura</t>
        </is>
      </c>
      <c r="B138">
        <f>IFERROR(INDEX(SPPR!$D:$D,MATCH($A138,SPPR!$A:$A,0)),"")</f>
        <v/>
      </c>
      <c r="C138">
        <f>IFERROR(INDEX(Catch!$E:$BV,MATCH($A138,Catch!$A:$A,0),MATCH($B$4,Catch!$E$1:$BV$1,0)),0)</f>
        <v/>
      </c>
      <c r="D138">
        <f>IFERROR(IF(ISNUMBER(INDEX(SPPR!$E:$X,MATCH($A138,SPPR!$A:$A,0),1)),$C138*INDEX(SPPR!$E:$X,MATCH($A138,SPPR!$A:$A,0),1),""),"")</f>
        <v/>
      </c>
      <c r="E138">
        <f>IFERROR(IF(ISNUMBER(INDEX(SPPR!$E:$X,MATCH($A138,SPPR!$A:$A,0),2)),$C138*INDEX(SPPR!$E:$X,MATCH($A138,SPPR!$A:$A,0),2),""),"")</f>
        <v/>
      </c>
      <c r="F138">
        <f>IFERROR(IF(ISNUMBER(INDEX(SPPR!$E:$X,MATCH($A138,SPPR!$A:$A,0),3)),$C138*INDEX(SPPR!$E:$X,MATCH($A138,SPPR!$A:$A,0),3),""),"")</f>
        <v/>
      </c>
      <c r="G138">
        <f>IFERROR(IF(ISNUMBER(INDEX(SPPR!$E:$X,MATCH($A138,SPPR!$A:$A,0),4)),$C138*INDEX(SPPR!$E:$X,MATCH($A138,SPPR!$A:$A,0),4),""),"")</f>
        <v/>
      </c>
      <c r="H138">
        <f>IFERROR(IF(ISNUMBER(INDEX(SPPR!$E:$X,MATCH($A138,SPPR!$A:$A,0),5)),$C138*INDEX(SPPR!$E:$X,MATCH($A138,SPPR!$A:$A,0),5),""),"")</f>
        <v/>
      </c>
      <c r="I138">
        <f>IFERROR(IF(ISNUMBER(INDEX(SPPR!$E:$X,MATCH($A138,SPPR!$A:$A,0),6)),$C138*INDEX(SPPR!$E:$X,MATCH($A138,SPPR!$A:$A,0),6),""),"")</f>
        <v/>
      </c>
      <c r="J138">
        <f>IFERROR(IF(ISNUMBER(INDEX(SPPR!$E:$X,MATCH($A138,SPPR!$A:$A,0),7)),$C138*INDEX(SPPR!$E:$X,MATCH($A138,SPPR!$A:$A,0),7),""),"")</f>
        <v/>
      </c>
      <c r="K138">
        <f>IFERROR(IF(ISNUMBER(INDEX(SPPR!$E:$X,MATCH($A138,SPPR!$A:$A,0),8)),$C138*INDEX(SPPR!$E:$X,MATCH($A138,SPPR!$A:$A,0),8),""),"")</f>
        <v/>
      </c>
      <c r="L138">
        <f>IFERROR(IF(ISNUMBER(INDEX(SPPR!$E:$X,MATCH($A138,SPPR!$A:$A,0),9)),$C138*INDEX(SPPR!$E:$X,MATCH($A138,SPPR!$A:$A,0),9),""),"")</f>
        <v/>
      </c>
      <c r="M138">
        <f>IFERROR(IF(ISNUMBER(INDEX(SPPR!$E:$X,MATCH($A138,SPPR!$A:$A,0),10)),$C138*INDEX(SPPR!$E:$X,MATCH($A138,SPPR!$A:$A,0),10),""),"")</f>
        <v/>
      </c>
      <c r="N138">
        <f>IFERROR(IF(ISNUMBER(INDEX(SPPR!$E:$X,MATCH($A138,SPPR!$A:$A,0),11)),$C138*INDEX(SPPR!$E:$X,MATCH($A138,SPPR!$A:$A,0),11),""),"")</f>
        <v/>
      </c>
      <c r="O138">
        <f>IFERROR(IF(ISNUMBER(INDEX(SPPR!$E:$X,MATCH($A138,SPPR!$A:$A,0),12)),$C138*INDEX(SPPR!$E:$X,MATCH($A138,SPPR!$A:$A,0),12),""),"")</f>
        <v/>
      </c>
      <c r="P138">
        <f>IFERROR(IF(ISNUMBER(INDEX(SPPR!$E:$X,MATCH($A138,SPPR!$A:$A,0),13)),$C138*INDEX(SPPR!$E:$X,MATCH($A138,SPPR!$A:$A,0),13),""),"")</f>
        <v/>
      </c>
      <c r="Q138">
        <f>IFERROR(IF(ISNUMBER(INDEX(SPPR!$E:$X,MATCH($A138,SPPR!$A:$A,0),14)),$C138*INDEX(SPPR!$E:$X,MATCH($A138,SPPR!$A:$A,0),14),""),"")</f>
        <v/>
      </c>
      <c r="R138">
        <f>IFERROR(IF(ISNUMBER(INDEX(SPPR!$E:$X,MATCH($A138,SPPR!$A:$A,0),15)),$C138*INDEX(SPPR!$E:$X,MATCH($A138,SPPR!$A:$A,0),15),""),"")</f>
        <v/>
      </c>
      <c r="S138">
        <f>IFERROR(IF(ISNUMBER(INDEX(SPPR!$E:$X,MATCH($A138,SPPR!$A:$A,0),16)),$C138*INDEX(SPPR!$E:$X,MATCH($A138,SPPR!$A:$A,0),16),""),"")</f>
        <v/>
      </c>
      <c r="T138">
        <f>IFERROR(IF(ISNUMBER(INDEX(SPPR!$E:$X,MATCH($A138,SPPR!$A:$A,0),17)),$C138*INDEX(SPPR!$E:$X,MATCH($A138,SPPR!$A:$A,0),17),""),"")</f>
        <v/>
      </c>
      <c r="U138">
        <f>IFERROR(IF(ISNUMBER(INDEX(SPPR!$E:$X,MATCH($A138,SPPR!$A:$A,0),18)),$C138*INDEX(SPPR!$E:$X,MATCH($A138,SPPR!$A:$A,0),18),""),"")</f>
        <v/>
      </c>
      <c r="V138">
        <f>IFERROR(IF(ISNUMBER(INDEX(SPPR!$E:$X,MATCH($A138,SPPR!$A:$A,0),19)),$C138*INDEX(SPPR!$E:$X,MATCH($A138,SPPR!$A:$A,0),19),""),"")</f>
        <v/>
      </c>
      <c r="W138">
        <f>IFERROR(IF(ISNUMBER(INDEX(SPPR!$E:$X,MATCH($A138,SPPR!$A:$A,0),20)),$C138*INDEX(SPPR!$E:$X,MATCH($A138,SPPR!$A:$A,0),20),""),"")</f>
        <v/>
      </c>
    </row>
    <row r="139">
      <c r="A139" t="inlineStr">
        <is>
          <t>Spisula solida</t>
        </is>
      </c>
      <c r="B139">
        <f>IFERROR(INDEX(SPPR!$D:$D,MATCH($A139,SPPR!$A:$A,0)),"")</f>
        <v/>
      </c>
      <c r="C139">
        <f>IFERROR(INDEX(Catch!$E:$BV,MATCH($A139,Catch!$A:$A,0),MATCH($B$4,Catch!$E$1:$BV$1,0)),0)</f>
        <v/>
      </c>
      <c r="D139">
        <f>IFERROR(IF(ISNUMBER(INDEX(SPPR!$E:$X,MATCH($A139,SPPR!$A:$A,0),1)),$C139*INDEX(SPPR!$E:$X,MATCH($A139,SPPR!$A:$A,0),1),""),"")</f>
        <v/>
      </c>
      <c r="E139">
        <f>IFERROR(IF(ISNUMBER(INDEX(SPPR!$E:$X,MATCH($A139,SPPR!$A:$A,0),2)),$C139*INDEX(SPPR!$E:$X,MATCH($A139,SPPR!$A:$A,0),2),""),"")</f>
        <v/>
      </c>
      <c r="F139">
        <f>IFERROR(IF(ISNUMBER(INDEX(SPPR!$E:$X,MATCH($A139,SPPR!$A:$A,0),3)),$C139*INDEX(SPPR!$E:$X,MATCH($A139,SPPR!$A:$A,0),3),""),"")</f>
        <v/>
      </c>
      <c r="G139">
        <f>IFERROR(IF(ISNUMBER(INDEX(SPPR!$E:$X,MATCH($A139,SPPR!$A:$A,0),4)),$C139*INDEX(SPPR!$E:$X,MATCH($A139,SPPR!$A:$A,0),4),""),"")</f>
        <v/>
      </c>
      <c r="H139">
        <f>IFERROR(IF(ISNUMBER(INDEX(SPPR!$E:$X,MATCH($A139,SPPR!$A:$A,0),5)),$C139*INDEX(SPPR!$E:$X,MATCH($A139,SPPR!$A:$A,0),5),""),"")</f>
        <v/>
      </c>
      <c r="I139">
        <f>IFERROR(IF(ISNUMBER(INDEX(SPPR!$E:$X,MATCH($A139,SPPR!$A:$A,0),6)),$C139*INDEX(SPPR!$E:$X,MATCH($A139,SPPR!$A:$A,0),6),""),"")</f>
        <v/>
      </c>
      <c r="J139">
        <f>IFERROR(IF(ISNUMBER(INDEX(SPPR!$E:$X,MATCH($A139,SPPR!$A:$A,0),7)),$C139*INDEX(SPPR!$E:$X,MATCH($A139,SPPR!$A:$A,0),7),""),"")</f>
        <v/>
      </c>
      <c r="K139">
        <f>IFERROR(IF(ISNUMBER(INDEX(SPPR!$E:$X,MATCH($A139,SPPR!$A:$A,0),8)),$C139*INDEX(SPPR!$E:$X,MATCH($A139,SPPR!$A:$A,0),8),""),"")</f>
        <v/>
      </c>
      <c r="L139">
        <f>IFERROR(IF(ISNUMBER(INDEX(SPPR!$E:$X,MATCH($A139,SPPR!$A:$A,0),9)),$C139*INDEX(SPPR!$E:$X,MATCH($A139,SPPR!$A:$A,0),9),""),"")</f>
        <v/>
      </c>
      <c r="M139">
        <f>IFERROR(IF(ISNUMBER(INDEX(SPPR!$E:$X,MATCH($A139,SPPR!$A:$A,0),10)),$C139*INDEX(SPPR!$E:$X,MATCH($A139,SPPR!$A:$A,0),10),""),"")</f>
        <v/>
      </c>
      <c r="N139">
        <f>IFERROR(IF(ISNUMBER(INDEX(SPPR!$E:$X,MATCH($A139,SPPR!$A:$A,0),11)),$C139*INDEX(SPPR!$E:$X,MATCH($A139,SPPR!$A:$A,0),11),""),"")</f>
        <v/>
      </c>
      <c r="O139">
        <f>IFERROR(IF(ISNUMBER(INDEX(SPPR!$E:$X,MATCH($A139,SPPR!$A:$A,0),12)),$C139*INDEX(SPPR!$E:$X,MATCH($A139,SPPR!$A:$A,0),12),""),"")</f>
        <v/>
      </c>
      <c r="P139">
        <f>IFERROR(IF(ISNUMBER(INDEX(SPPR!$E:$X,MATCH($A139,SPPR!$A:$A,0),13)),$C139*INDEX(SPPR!$E:$X,MATCH($A139,SPPR!$A:$A,0),13),""),"")</f>
        <v/>
      </c>
      <c r="Q139">
        <f>IFERROR(IF(ISNUMBER(INDEX(SPPR!$E:$X,MATCH($A139,SPPR!$A:$A,0),14)),$C139*INDEX(SPPR!$E:$X,MATCH($A139,SPPR!$A:$A,0),14),""),"")</f>
        <v/>
      </c>
      <c r="R139">
        <f>IFERROR(IF(ISNUMBER(INDEX(SPPR!$E:$X,MATCH($A139,SPPR!$A:$A,0),15)),$C139*INDEX(SPPR!$E:$X,MATCH($A139,SPPR!$A:$A,0),15),""),"")</f>
        <v/>
      </c>
      <c r="S139">
        <f>IFERROR(IF(ISNUMBER(INDEX(SPPR!$E:$X,MATCH($A139,SPPR!$A:$A,0),16)),$C139*INDEX(SPPR!$E:$X,MATCH($A139,SPPR!$A:$A,0),16),""),"")</f>
        <v/>
      </c>
      <c r="T139">
        <f>IFERROR(IF(ISNUMBER(INDEX(SPPR!$E:$X,MATCH($A139,SPPR!$A:$A,0),17)),$C139*INDEX(SPPR!$E:$X,MATCH($A139,SPPR!$A:$A,0),17),""),"")</f>
        <v/>
      </c>
      <c r="U139">
        <f>IFERROR(IF(ISNUMBER(INDEX(SPPR!$E:$X,MATCH($A139,SPPR!$A:$A,0),18)),$C139*INDEX(SPPR!$E:$X,MATCH($A139,SPPR!$A:$A,0),18),""),"")</f>
        <v/>
      </c>
      <c r="V139">
        <f>IFERROR(IF(ISNUMBER(INDEX(SPPR!$E:$X,MATCH($A139,SPPR!$A:$A,0),19)),$C139*INDEX(SPPR!$E:$X,MATCH($A139,SPPR!$A:$A,0),19),""),"")</f>
        <v/>
      </c>
      <c r="W139">
        <f>IFERROR(IF(ISNUMBER(INDEX(SPPR!$E:$X,MATCH($A139,SPPR!$A:$A,0),20)),$C139*INDEX(SPPR!$E:$X,MATCH($A139,SPPR!$A:$A,0),20),""),"")</f>
        <v/>
      </c>
    </row>
    <row r="140">
      <c r="A140" t="inlineStr">
        <is>
          <t>Aphanopus carbo</t>
        </is>
      </c>
      <c r="B140">
        <f>IFERROR(INDEX(SPPR!$D:$D,MATCH($A140,SPPR!$A:$A,0)),"")</f>
        <v/>
      </c>
      <c r="C140">
        <f>IFERROR(INDEX(Catch!$E:$BV,MATCH($A140,Catch!$A:$A,0),MATCH($B$4,Catch!$E$1:$BV$1,0)),0)</f>
        <v/>
      </c>
      <c r="D140">
        <f>IFERROR(IF(ISNUMBER(INDEX(SPPR!$E:$X,MATCH($A140,SPPR!$A:$A,0),1)),$C140*INDEX(SPPR!$E:$X,MATCH($A140,SPPR!$A:$A,0),1),""),"")</f>
        <v/>
      </c>
      <c r="E140">
        <f>IFERROR(IF(ISNUMBER(INDEX(SPPR!$E:$X,MATCH($A140,SPPR!$A:$A,0),2)),$C140*INDEX(SPPR!$E:$X,MATCH($A140,SPPR!$A:$A,0),2),""),"")</f>
        <v/>
      </c>
      <c r="F140">
        <f>IFERROR(IF(ISNUMBER(INDEX(SPPR!$E:$X,MATCH($A140,SPPR!$A:$A,0),3)),$C140*INDEX(SPPR!$E:$X,MATCH($A140,SPPR!$A:$A,0),3),""),"")</f>
        <v/>
      </c>
      <c r="G140">
        <f>IFERROR(IF(ISNUMBER(INDEX(SPPR!$E:$X,MATCH($A140,SPPR!$A:$A,0),4)),$C140*INDEX(SPPR!$E:$X,MATCH($A140,SPPR!$A:$A,0),4),""),"")</f>
        <v/>
      </c>
      <c r="H140">
        <f>IFERROR(IF(ISNUMBER(INDEX(SPPR!$E:$X,MATCH($A140,SPPR!$A:$A,0),5)),$C140*INDEX(SPPR!$E:$X,MATCH($A140,SPPR!$A:$A,0),5),""),"")</f>
        <v/>
      </c>
      <c r="I140">
        <f>IFERROR(IF(ISNUMBER(INDEX(SPPR!$E:$X,MATCH($A140,SPPR!$A:$A,0),6)),$C140*INDEX(SPPR!$E:$X,MATCH($A140,SPPR!$A:$A,0),6),""),"")</f>
        <v/>
      </c>
      <c r="J140">
        <f>IFERROR(IF(ISNUMBER(INDEX(SPPR!$E:$X,MATCH($A140,SPPR!$A:$A,0),7)),$C140*INDEX(SPPR!$E:$X,MATCH($A140,SPPR!$A:$A,0),7),""),"")</f>
        <v/>
      </c>
      <c r="K140">
        <f>IFERROR(IF(ISNUMBER(INDEX(SPPR!$E:$X,MATCH($A140,SPPR!$A:$A,0),8)),$C140*INDEX(SPPR!$E:$X,MATCH($A140,SPPR!$A:$A,0),8),""),"")</f>
        <v/>
      </c>
      <c r="L140">
        <f>IFERROR(IF(ISNUMBER(INDEX(SPPR!$E:$X,MATCH($A140,SPPR!$A:$A,0),9)),$C140*INDEX(SPPR!$E:$X,MATCH($A140,SPPR!$A:$A,0),9),""),"")</f>
        <v/>
      </c>
      <c r="M140">
        <f>IFERROR(IF(ISNUMBER(INDEX(SPPR!$E:$X,MATCH($A140,SPPR!$A:$A,0),10)),$C140*INDEX(SPPR!$E:$X,MATCH($A140,SPPR!$A:$A,0),10),""),"")</f>
        <v/>
      </c>
      <c r="N140">
        <f>IFERROR(IF(ISNUMBER(INDEX(SPPR!$E:$X,MATCH($A140,SPPR!$A:$A,0),11)),$C140*INDEX(SPPR!$E:$X,MATCH($A140,SPPR!$A:$A,0),11),""),"")</f>
        <v/>
      </c>
      <c r="O140">
        <f>IFERROR(IF(ISNUMBER(INDEX(SPPR!$E:$X,MATCH($A140,SPPR!$A:$A,0),12)),$C140*INDEX(SPPR!$E:$X,MATCH($A140,SPPR!$A:$A,0),12),""),"")</f>
        <v/>
      </c>
      <c r="P140">
        <f>IFERROR(IF(ISNUMBER(INDEX(SPPR!$E:$X,MATCH($A140,SPPR!$A:$A,0),13)),$C140*INDEX(SPPR!$E:$X,MATCH($A140,SPPR!$A:$A,0),13),""),"")</f>
        <v/>
      </c>
      <c r="Q140">
        <f>IFERROR(IF(ISNUMBER(INDEX(SPPR!$E:$X,MATCH($A140,SPPR!$A:$A,0),14)),$C140*INDEX(SPPR!$E:$X,MATCH($A140,SPPR!$A:$A,0),14),""),"")</f>
        <v/>
      </c>
      <c r="R140">
        <f>IFERROR(IF(ISNUMBER(INDEX(SPPR!$E:$X,MATCH($A140,SPPR!$A:$A,0),15)),$C140*INDEX(SPPR!$E:$X,MATCH($A140,SPPR!$A:$A,0),15),""),"")</f>
        <v/>
      </c>
      <c r="S140">
        <f>IFERROR(IF(ISNUMBER(INDEX(SPPR!$E:$X,MATCH($A140,SPPR!$A:$A,0),16)),$C140*INDEX(SPPR!$E:$X,MATCH($A140,SPPR!$A:$A,0),16),""),"")</f>
        <v/>
      </c>
      <c r="T140">
        <f>IFERROR(IF(ISNUMBER(INDEX(SPPR!$E:$X,MATCH($A140,SPPR!$A:$A,0),17)),$C140*INDEX(SPPR!$E:$X,MATCH($A140,SPPR!$A:$A,0),17),""),"")</f>
        <v/>
      </c>
      <c r="U140">
        <f>IFERROR(IF(ISNUMBER(INDEX(SPPR!$E:$X,MATCH($A140,SPPR!$A:$A,0),18)),$C140*INDEX(SPPR!$E:$X,MATCH($A140,SPPR!$A:$A,0),18),""),"")</f>
        <v/>
      </c>
      <c r="V140">
        <f>IFERROR(IF(ISNUMBER(INDEX(SPPR!$E:$X,MATCH($A140,SPPR!$A:$A,0),19)),$C140*INDEX(SPPR!$E:$X,MATCH($A140,SPPR!$A:$A,0),19),""),"")</f>
        <v/>
      </c>
      <c r="W140">
        <f>IFERROR(IF(ISNUMBER(INDEX(SPPR!$E:$X,MATCH($A140,SPPR!$A:$A,0),20)),$C140*INDEX(SPPR!$E:$X,MATCH($A140,SPPR!$A:$A,0),20),""),"")</f>
        <v/>
      </c>
    </row>
    <row r="141">
      <c r="A141" t="inlineStr">
        <is>
          <t>Sebastes</t>
        </is>
      </c>
      <c r="B141">
        <f>IFERROR(INDEX(SPPR!$D:$D,MATCH($A141,SPPR!$A:$A,0)),"")</f>
        <v/>
      </c>
      <c r="C141">
        <f>IFERROR(INDEX(Catch!$E:$BV,MATCH($A141,Catch!$A:$A,0),MATCH($B$4,Catch!$E$1:$BV$1,0)),0)</f>
        <v/>
      </c>
      <c r="D141">
        <f>IFERROR(IF(ISNUMBER(INDEX(SPPR!$E:$X,MATCH($A141,SPPR!$A:$A,0),1)),$C141*INDEX(SPPR!$E:$X,MATCH($A141,SPPR!$A:$A,0),1),""),"")</f>
        <v/>
      </c>
      <c r="E141">
        <f>IFERROR(IF(ISNUMBER(INDEX(SPPR!$E:$X,MATCH($A141,SPPR!$A:$A,0),2)),$C141*INDEX(SPPR!$E:$X,MATCH($A141,SPPR!$A:$A,0),2),""),"")</f>
        <v/>
      </c>
      <c r="F141">
        <f>IFERROR(IF(ISNUMBER(INDEX(SPPR!$E:$X,MATCH($A141,SPPR!$A:$A,0),3)),$C141*INDEX(SPPR!$E:$X,MATCH($A141,SPPR!$A:$A,0),3),""),"")</f>
        <v/>
      </c>
      <c r="G141">
        <f>IFERROR(IF(ISNUMBER(INDEX(SPPR!$E:$X,MATCH($A141,SPPR!$A:$A,0),4)),$C141*INDEX(SPPR!$E:$X,MATCH($A141,SPPR!$A:$A,0),4),""),"")</f>
        <v/>
      </c>
      <c r="H141">
        <f>IFERROR(IF(ISNUMBER(INDEX(SPPR!$E:$X,MATCH($A141,SPPR!$A:$A,0),5)),$C141*INDEX(SPPR!$E:$X,MATCH($A141,SPPR!$A:$A,0),5),""),"")</f>
        <v/>
      </c>
      <c r="I141">
        <f>IFERROR(IF(ISNUMBER(INDEX(SPPR!$E:$X,MATCH($A141,SPPR!$A:$A,0),6)),$C141*INDEX(SPPR!$E:$X,MATCH($A141,SPPR!$A:$A,0),6),""),"")</f>
        <v/>
      </c>
      <c r="J141">
        <f>IFERROR(IF(ISNUMBER(INDEX(SPPR!$E:$X,MATCH($A141,SPPR!$A:$A,0),7)),$C141*INDEX(SPPR!$E:$X,MATCH($A141,SPPR!$A:$A,0),7),""),"")</f>
        <v/>
      </c>
      <c r="K141">
        <f>IFERROR(IF(ISNUMBER(INDEX(SPPR!$E:$X,MATCH($A141,SPPR!$A:$A,0),8)),$C141*INDEX(SPPR!$E:$X,MATCH($A141,SPPR!$A:$A,0),8),""),"")</f>
        <v/>
      </c>
      <c r="L141">
        <f>IFERROR(IF(ISNUMBER(INDEX(SPPR!$E:$X,MATCH($A141,SPPR!$A:$A,0),9)),$C141*INDEX(SPPR!$E:$X,MATCH($A141,SPPR!$A:$A,0),9),""),"")</f>
        <v/>
      </c>
      <c r="M141">
        <f>IFERROR(IF(ISNUMBER(INDEX(SPPR!$E:$X,MATCH($A141,SPPR!$A:$A,0),10)),$C141*INDEX(SPPR!$E:$X,MATCH($A141,SPPR!$A:$A,0),10),""),"")</f>
        <v/>
      </c>
      <c r="N141">
        <f>IFERROR(IF(ISNUMBER(INDEX(SPPR!$E:$X,MATCH($A141,SPPR!$A:$A,0),11)),$C141*INDEX(SPPR!$E:$X,MATCH($A141,SPPR!$A:$A,0),11),""),"")</f>
        <v/>
      </c>
      <c r="O141">
        <f>IFERROR(IF(ISNUMBER(INDEX(SPPR!$E:$X,MATCH($A141,SPPR!$A:$A,0),12)),$C141*INDEX(SPPR!$E:$X,MATCH($A141,SPPR!$A:$A,0),12),""),"")</f>
        <v/>
      </c>
      <c r="P141">
        <f>IFERROR(IF(ISNUMBER(INDEX(SPPR!$E:$X,MATCH($A141,SPPR!$A:$A,0),13)),$C141*INDEX(SPPR!$E:$X,MATCH($A141,SPPR!$A:$A,0),13),""),"")</f>
        <v/>
      </c>
      <c r="Q141">
        <f>IFERROR(IF(ISNUMBER(INDEX(SPPR!$E:$X,MATCH($A141,SPPR!$A:$A,0),14)),$C141*INDEX(SPPR!$E:$X,MATCH($A141,SPPR!$A:$A,0),14),""),"")</f>
        <v/>
      </c>
      <c r="R141">
        <f>IFERROR(IF(ISNUMBER(INDEX(SPPR!$E:$X,MATCH($A141,SPPR!$A:$A,0),15)),$C141*INDEX(SPPR!$E:$X,MATCH($A141,SPPR!$A:$A,0),15),""),"")</f>
        <v/>
      </c>
      <c r="S141">
        <f>IFERROR(IF(ISNUMBER(INDEX(SPPR!$E:$X,MATCH($A141,SPPR!$A:$A,0),16)),$C141*INDEX(SPPR!$E:$X,MATCH($A141,SPPR!$A:$A,0),16),""),"")</f>
        <v/>
      </c>
      <c r="T141">
        <f>IFERROR(IF(ISNUMBER(INDEX(SPPR!$E:$X,MATCH($A141,SPPR!$A:$A,0),17)),$C141*INDEX(SPPR!$E:$X,MATCH($A141,SPPR!$A:$A,0),17),""),"")</f>
        <v/>
      </c>
      <c r="U141">
        <f>IFERROR(IF(ISNUMBER(INDEX(SPPR!$E:$X,MATCH($A141,SPPR!$A:$A,0),18)),$C141*INDEX(SPPR!$E:$X,MATCH($A141,SPPR!$A:$A,0),18),""),"")</f>
        <v/>
      </c>
      <c r="V141">
        <f>IFERROR(IF(ISNUMBER(INDEX(SPPR!$E:$X,MATCH($A141,SPPR!$A:$A,0),19)),$C141*INDEX(SPPR!$E:$X,MATCH($A141,SPPR!$A:$A,0),19),""),"")</f>
        <v/>
      </c>
      <c r="W141">
        <f>IFERROR(IF(ISNUMBER(INDEX(SPPR!$E:$X,MATCH($A141,SPPR!$A:$A,0),20)),$C141*INDEX(SPPR!$E:$X,MATCH($A141,SPPR!$A:$A,0),20),""),"")</f>
        <v/>
      </c>
    </row>
    <row r="142">
      <c r="A142" t="inlineStr">
        <is>
          <t>Trigla</t>
        </is>
      </c>
      <c r="B142">
        <f>IFERROR(INDEX(SPPR!$D:$D,MATCH($A142,SPPR!$A:$A,0)),"")</f>
        <v/>
      </c>
      <c r="C142">
        <f>IFERROR(INDEX(Catch!$E:$BV,MATCH($A142,Catch!$A:$A,0),MATCH($B$4,Catch!$E$1:$BV$1,0)),0)</f>
        <v/>
      </c>
      <c r="D142">
        <f>IFERROR(IF(ISNUMBER(INDEX(SPPR!$E:$X,MATCH($A142,SPPR!$A:$A,0),1)),$C142*INDEX(SPPR!$E:$X,MATCH($A142,SPPR!$A:$A,0),1),""),"")</f>
        <v/>
      </c>
      <c r="E142">
        <f>IFERROR(IF(ISNUMBER(INDEX(SPPR!$E:$X,MATCH($A142,SPPR!$A:$A,0),2)),$C142*INDEX(SPPR!$E:$X,MATCH($A142,SPPR!$A:$A,0),2),""),"")</f>
        <v/>
      </c>
      <c r="F142">
        <f>IFERROR(IF(ISNUMBER(INDEX(SPPR!$E:$X,MATCH($A142,SPPR!$A:$A,0),3)),$C142*INDEX(SPPR!$E:$X,MATCH($A142,SPPR!$A:$A,0),3),""),"")</f>
        <v/>
      </c>
      <c r="G142">
        <f>IFERROR(IF(ISNUMBER(INDEX(SPPR!$E:$X,MATCH($A142,SPPR!$A:$A,0),4)),$C142*INDEX(SPPR!$E:$X,MATCH($A142,SPPR!$A:$A,0),4),""),"")</f>
        <v/>
      </c>
      <c r="H142">
        <f>IFERROR(IF(ISNUMBER(INDEX(SPPR!$E:$X,MATCH($A142,SPPR!$A:$A,0),5)),$C142*INDEX(SPPR!$E:$X,MATCH($A142,SPPR!$A:$A,0),5),""),"")</f>
        <v/>
      </c>
      <c r="I142">
        <f>IFERROR(IF(ISNUMBER(INDEX(SPPR!$E:$X,MATCH($A142,SPPR!$A:$A,0),6)),$C142*INDEX(SPPR!$E:$X,MATCH($A142,SPPR!$A:$A,0),6),""),"")</f>
        <v/>
      </c>
      <c r="J142">
        <f>IFERROR(IF(ISNUMBER(INDEX(SPPR!$E:$X,MATCH($A142,SPPR!$A:$A,0),7)),$C142*INDEX(SPPR!$E:$X,MATCH($A142,SPPR!$A:$A,0),7),""),"")</f>
        <v/>
      </c>
      <c r="K142">
        <f>IFERROR(IF(ISNUMBER(INDEX(SPPR!$E:$X,MATCH($A142,SPPR!$A:$A,0),8)),$C142*INDEX(SPPR!$E:$X,MATCH($A142,SPPR!$A:$A,0),8),""),"")</f>
        <v/>
      </c>
      <c r="L142">
        <f>IFERROR(IF(ISNUMBER(INDEX(SPPR!$E:$X,MATCH($A142,SPPR!$A:$A,0),9)),$C142*INDEX(SPPR!$E:$X,MATCH($A142,SPPR!$A:$A,0),9),""),"")</f>
        <v/>
      </c>
      <c r="M142">
        <f>IFERROR(IF(ISNUMBER(INDEX(SPPR!$E:$X,MATCH($A142,SPPR!$A:$A,0),10)),$C142*INDEX(SPPR!$E:$X,MATCH($A142,SPPR!$A:$A,0),10),""),"")</f>
        <v/>
      </c>
      <c r="N142">
        <f>IFERROR(IF(ISNUMBER(INDEX(SPPR!$E:$X,MATCH($A142,SPPR!$A:$A,0),11)),$C142*INDEX(SPPR!$E:$X,MATCH($A142,SPPR!$A:$A,0),11),""),"")</f>
        <v/>
      </c>
      <c r="O142">
        <f>IFERROR(IF(ISNUMBER(INDEX(SPPR!$E:$X,MATCH($A142,SPPR!$A:$A,0),12)),$C142*INDEX(SPPR!$E:$X,MATCH($A142,SPPR!$A:$A,0),12),""),"")</f>
        <v/>
      </c>
      <c r="P142">
        <f>IFERROR(IF(ISNUMBER(INDEX(SPPR!$E:$X,MATCH($A142,SPPR!$A:$A,0),13)),$C142*INDEX(SPPR!$E:$X,MATCH($A142,SPPR!$A:$A,0),13),""),"")</f>
        <v/>
      </c>
      <c r="Q142">
        <f>IFERROR(IF(ISNUMBER(INDEX(SPPR!$E:$X,MATCH($A142,SPPR!$A:$A,0),14)),$C142*INDEX(SPPR!$E:$X,MATCH($A142,SPPR!$A:$A,0),14),""),"")</f>
        <v/>
      </c>
      <c r="R142">
        <f>IFERROR(IF(ISNUMBER(INDEX(SPPR!$E:$X,MATCH($A142,SPPR!$A:$A,0),15)),$C142*INDEX(SPPR!$E:$X,MATCH($A142,SPPR!$A:$A,0),15),""),"")</f>
        <v/>
      </c>
      <c r="S142">
        <f>IFERROR(IF(ISNUMBER(INDEX(SPPR!$E:$X,MATCH($A142,SPPR!$A:$A,0),16)),$C142*INDEX(SPPR!$E:$X,MATCH($A142,SPPR!$A:$A,0),16),""),"")</f>
        <v/>
      </c>
      <c r="T142">
        <f>IFERROR(IF(ISNUMBER(INDEX(SPPR!$E:$X,MATCH($A142,SPPR!$A:$A,0),17)),$C142*INDEX(SPPR!$E:$X,MATCH($A142,SPPR!$A:$A,0),17),""),"")</f>
        <v/>
      </c>
      <c r="U142">
        <f>IFERROR(IF(ISNUMBER(INDEX(SPPR!$E:$X,MATCH($A142,SPPR!$A:$A,0),18)),$C142*INDEX(SPPR!$E:$X,MATCH($A142,SPPR!$A:$A,0),18),""),"")</f>
        <v/>
      </c>
      <c r="V142">
        <f>IFERROR(IF(ISNUMBER(INDEX(SPPR!$E:$X,MATCH($A142,SPPR!$A:$A,0),19)),$C142*INDEX(SPPR!$E:$X,MATCH($A142,SPPR!$A:$A,0),19),""),"")</f>
        <v/>
      </c>
      <c r="W142">
        <f>IFERROR(IF(ISNUMBER(INDEX(SPPR!$E:$X,MATCH($A142,SPPR!$A:$A,0),20)),$C142*INDEX(SPPR!$E:$X,MATCH($A142,SPPR!$A:$A,0),20),""),"")</f>
        <v/>
      </c>
    </row>
    <row r="143">
      <c r="A143" t="inlineStr">
        <is>
          <t>Sparidae</t>
        </is>
      </c>
      <c r="B143">
        <f>IFERROR(INDEX(SPPR!$D:$D,MATCH($A143,SPPR!$A:$A,0)),"")</f>
        <v/>
      </c>
      <c r="C143">
        <f>IFERROR(INDEX(Catch!$E:$BV,MATCH($A143,Catch!$A:$A,0),MATCH($B$4,Catch!$E$1:$BV$1,0)),0)</f>
        <v/>
      </c>
      <c r="D143">
        <f>IFERROR(IF(ISNUMBER(INDEX(SPPR!$E:$X,MATCH($A143,SPPR!$A:$A,0),1)),$C143*INDEX(SPPR!$E:$X,MATCH($A143,SPPR!$A:$A,0),1),""),"")</f>
        <v/>
      </c>
      <c r="E143">
        <f>IFERROR(IF(ISNUMBER(INDEX(SPPR!$E:$X,MATCH($A143,SPPR!$A:$A,0),2)),$C143*INDEX(SPPR!$E:$X,MATCH($A143,SPPR!$A:$A,0),2),""),"")</f>
        <v/>
      </c>
      <c r="F143">
        <f>IFERROR(IF(ISNUMBER(INDEX(SPPR!$E:$X,MATCH($A143,SPPR!$A:$A,0),3)),$C143*INDEX(SPPR!$E:$X,MATCH($A143,SPPR!$A:$A,0),3),""),"")</f>
        <v/>
      </c>
      <c r="G143">
        <f>IFERROR(IF(ISNUMBER(INDEX(SPPR!$E:$X,MATCH($A143,SPPR!$A:$A,0),4)),$C143*INDEX(SPPR!$E:$X,MATCH($A143,SPPR!$A:$A,0),4),""),"")</f>
        <v/>
      </c>
      <c r="H143">
        <f>IFERROR(IF(ISNUMBER(INDEX(SPPR!$E:$X,MATCH($A143,SPPR!$A:$A,0),5)),$C143*INDEX(SPPR!$E:$X,MATCH($A143,SPPR!$A:$A,0),5),""),"")</f>
        <v/>
      </c>
      <c r="I143">
        <f>IFERROR(IF(ISNUMBER(INDEX(SPPR!$E:$X,MATCH($A143,SPPR!$A:$A,0),6)),$C143*INDEX(SPPR!$E:$X,MATCH($A143,SPPR!$A:$A,0),6),""),"")</f>
        <v/>
      </c>
      <c r="J143">
        <f>IFERROR(IF(ISNUMBER(INDEX(SPPR!$E:$X,MATCH($A143,SPPR!$A:$A,0),7)),$C143*INDEX(SPPR!$E:$X,MATCH($A143,SPPR!$A:$A,0),7),""),"")</f>
        <v/>
      </c>
      <c r="K143">
        <f>IFERROR(IF(ISNUMBER(INDEX(SPPR!$E:$X,MATCH($A143,SPPR!$A:$A,0),8)),$C143*INDEX(SPPR!$E:$X,MATCH($A143,SPPR!$A:$A,0),8),""),"")</f>
        <v/>
      </c>
      <c r="L143">
        <f>IFERROR(IF(ISNUMBER(INDEX(SPPR!$E:$X,MATCH($A143,SPPR!$A:$A,0),9)),$C143*INDEX(SPPR!$E:$X,MATCH($A143,SPPR!$A:$A,0),9),""),"")</f>
        <v/>
      </c>
      <c r="M143">
        <f>IFERROR(IF(ISNUMBER(INDEX(SPPR!$E:$X,MATCH($A143,SPPR!$A:$A,0),10)),$C143*INDEX(SPPR!$E:$X,MATCH($A143,SPPR!$A:$A,0),10),""),"")</f>
        <v/>
      </c>
      <c r="N143">
        <f>IFERROR(IF(ISNUMBER(INDEX(SPPR!$E:$X,MATCH($A143,SPPR!$A:$A,0),11)),$C143*INDEX(SPPR!$E:$X,MATCH($A143,SPPR!$A:$A,0),11),""),"")</f>
        <v/>
      </c>
      <c r="O143">
        <f>IFERROR(IF(ISNUMBER(INDEX(SPPR!$E:$X,MATCH($A143,SPPR!$A:$A,0),12)),$C143*INDEX(SPPR!$E:$X,MATCH($A143,SPPR!$A:$A,0),12),""),"")</f>
        <v/>
      </c>
      <c r="P143">
        <f>IFERROR(IF(ISNUMBER(INDEX(SPPR!$E:$X,MATCH($A143,SPPR!$A:$A,0),13)),$C143*INDEX(SPPR!$E:$X,MATCH($A143,SPPR!$A:$A,0),13),""),"")</f>
        <v/>
      </c>
      <c r="Q143">
        <f>IFERROR(IF(ISNUMBER(INDEX(SPPR!$E:$X,MATCH($A143,SPPR!$A:$A,0),14)),$C143*INDEX(SPPR!$E:$X,MATCH($A143,SPPR!$A:$A,0),14),""),"")</f>
        <v/>
      </c>
      <c r="R143">
        <f>IFERROR(IF(ISNUMBER(INDEX(SPPR!$E:$X,MATCH($A143,SPPR!$A:$A,0),15)),$C143*INDEX(SPPR!$E:$X,MATCH($A143,SPPR!$A:$A,0),15),""),"")</f>
        <v/>
      </c>
      <c r="S143">
        <f>IFERROR(IF(ISNUMBER(INDEX(SPPR!$E:$X,MATCH($A143,SPPR!$A:$A,0),16)),$C143*INDEX(SPPR!$E:$X,MATCH($A143,SPPR!$A:$A,0),16),""),"")</f>
        <v/>
      </c>
      <c r="T143">
        <f>IFERROR(IF(ISNUMBER(INDEX(SPPR!$E:$X,MATCH($A143,SPPR!$A:$A,0),17)),$C143*INDEX(SPPR!$E:$X,MATCH($A143,SPPR!$A:$A,0),17),""),"")</f>
        <v/>
      </c>
      <c r="U143">
        <f>IFERROR(IF(ISNUMBER(INDEX(SPPR!$E:$X,MATCH($A143,SPPR!$A:$A,0),18)),$C143*INDEX(SPPR!$E:$X,MATCH($A143,SPPR!$A:$A,0),18),""),"")</f>
        <v/>
      </c>
      <c r="V143">
        <f>IFERROR(IF(ISNUMBER(INDEX(SPPR!$E:$X,MATCH($A143,SPPR!$A:$A,0),19)),$C143*INDEX(SPPR!$E:$X,MATCH($A143,SPPR!$A:$A,0),19),""),"")</f>
        <v/>
      </c>
      <c r="W143">
        <f>IFERROR(IF(ISNUMBER(INDEX(SPPR!$E:$X,MATCH($A143,SPPR!$A:$A,0),20)),$C143*INDEX(SPPR!$E:$X,MATCH($A143,SPPR!$A:$A,0),20),""),"")</f>
        <v/>
      </c>
    </row>
    <row r="144">
      <c r="A144" t="inlineStr">
        <is>
          <t>Mullus barbatus</t>
        </is>
      </c>
      <c r="B144">
        <f>IFERROR(INDEX(SPPR!$D:$D,MATCH($A144,SPPR!$A:$A,0)),"")</f>
        <v/>
      </c>
      <c r="C144">
        <f>IFERROR(INDEX(Catch!$E:$BV,MATCH($A144,Catch!$A:$A,0),MATCH($B$4,Catch!$E$1:$BV$1,0)),0)</f>
        <v/>
      </c>
      <c r="D144">
        <f>IFERROR(IF(ISNUMBER(INDEX(SPPR!$E:$X,MATCH($A144,SPPR!$A:$A,0),1)),$C144*INDEX(SPPR!$E:$X,MATCH($A144,SPPR!$A:$A,0),1),""),"")</f>
        <v/>
      </c>
      <c r="E144">
        <f>IFERROR(IF(ISNUMBER(INDEX(SPPR!$E:$X,MATCH($A144,SPPR!$A:$A,0),2)),$C144*INDEX(SPPR!$E:$X,MATCH($A144,SPPR!$A:$A,0),2),""),"")</f>
        <v/>
      </c>
      <c r="F144">
        <f>IFERROR(IF(ISNUMBER(INDEX(SPPR!$E:$X,MATCH($A144,SPPR!$A:$A,0),3)),$C144*INDEX(SPPR!$E:$X,MATCH($A144,SPPR!$A:$A,0),3),""),"")</f>
        <v/>
      </c>
      <c r="G144">
        <f>IFERROR(IF(ISNUMBER(INDEX(SPPR!$E:$X,MATCH($A144,SPPR!$A:$A,0),4)),$C144*INDEX(SPPR!$E:$X,MATCH($A144,SPPR!$A:$A,0),4),""),"")</f>
        <v/>
      </c>
      <c r="H144">
        <f>IFERROR(IF(ISNUMBER(INDEX(SPPR!$E:$X,MATCH($A144,SPPR!$A:$A,0),5)),$C144*INDEX(SPPR!$E:$X,MATCH($A144,SPPR!$A:$A,0),5),""),"")</f>
        <v/>
      </c>
      <c r="I144">
        <f>IFERROR(IF(ISNUMBER(INDEX(SPPR!$E:$X,MATCH($A144,SPPR!$A:$A,0),6)),$C144*INDEX(SPPR!$E:$X,MATCH($A144,SPPR!$A:$A,0),6),""),"")</f>
        <v/>
      </c>
      <c r="J144">
        <f>IFERROR(IF(ISNUMBER(INDEX(SPPR!$E:$X,MATCH($A144,SPPR!$A:$A,0),7)),$C144*INDEX(SPPR!$E:$X,MATCH($A144,SPPR!$A:$A,0),7),""),"")</f>
        <v/>
      </c>
      <c r="K144">
        <f>IFERROR(IF(ISNUMBER(INDEX(SPPR!$E:$X,MATCH($A144,SPPR!$A:$A,0),8)),$C144*INDEX(SPPR!$E:$X,MATCH($A144,SPPR!$A:$A,0),8),""),"")</f>
        <v/>
      </c>
      <c r="L144">
        <f>IFERROR(IF(ISNUMBER(INDEX(SPPR!$E:$X,MATCH($A144,SPPR!$A:$A,0),9)),$C144*INDEX(SPPR!$E:$X,MATCH($A144,SPPR!$A:$A,0),9),""),"")</f>
        <v/>
      </c>
      <c r="M144">
        <f>IFERROR(IF(ISNUMBER(INDEX(SPPR!$E:$X,MATCH($A144,SPPR!$A:$A,0),10)),$C144*INDEX(SPPR!$E:$X,MATCH($A144,SPPR!$A:$A,0),10),""),"")</f>
        <v/>
      </c>
      <c r="N144">
        <f>IFERROR(IF(ISNUMBER(INDEX(SPPR!$E:$X,MATCH($A144,SPPR!$A:$A,0),11)),$C144*INDEX(SPPR!$E:$X,MATCH($A144,SPPR!$A:$A,0),11),""),"")</f>
        <v/>
      </c>
      <c r="O144">
        <f>IFERROR(IF(ISNUMBER(INDEX(SPPR!$E:$X,MATCH($A144,SPPR!$A:$A,0),12)),$C144*INDEX(SPPR!$E:$X,MATCH($A144,SPPR!$A:$A,0),12),""),"")</f>
        <v/>
      </c>
      <c r="P144">
        <f>IFERROR(IF(ISNUMBER(INDEX(SPPR!$E:$X,MATCH($A144,SPPR!$A:$A,0),13)),$C144*INDEX(SPPR!$E:$X,MATCH($A144,SPPR!$A:$A,0),13),""),"")</f>
        <v/>
      </c>
      <c r="Q144">
        <f>IFERROR(IF(ISNUMBER(INDEX(SPPR!$E:$X,MATCH($A144,SPPR!$A:$A,0),14)),$C144*INDEX(SPPR!$E:$X,MATCH($A144,SPPR!$A:$A,0),14),""),"")</f>
        <v/>
      </c>
      <c r="R144">
        <f>IFERROR(IF(ISNUMBER(INDEX(SPPR!$E:$X,MATCH($A144,SPPR!$A:$A,0),15)),$C144*INDEX(SPPR!$E:$X,MATCH($A144,SPPR!$A:$A,0),15),""),"")</f>
        <v/>
      </c>
      <c r="S144">
        <f>IFERROR(IF(ISNUMBER(INDEX(SPPR!$E:$X,MATCH($A144,SPPR!$A:$A,0),16)),$C144*INDEX(SPPR!$E:$X,MATCH($A144,SPPR!$A:$A,0),16),""),"")</f>
        <v/>
      </c>
      <c r="T144">
        <f>IFERROR(IF(ISNUMBER(INDEX(SPPR!$E:$X,MATCH($A144,SPPR!$A:$A,0),17)),$C144*INDEX(SPPR!$E:$X,MATCH($A144,SPPR!$A:$A,0),17),""),"")</f>
        <v/>
      </c>
      <c r="U144">
        <f>IFERROR(IF(ISNUMBER(INDEX(SPPR!$E:$X,MATCH($A144,SPPR!$A:$A,0),18)),$C144*INDEX(SPPR!$E:$X,MATCH($A144,SPPR!$A:$A,0),18),""),"")</f>
        <v/>
      </c>
      <c r="V144">
        <f>IFERROR(IF(ISNUMBER(INDEX(SPPR!$E:$X,MATCH($A144,SPPR!$A:$A,0),19)),$C144*INDEX(SPPR!$E:$X,MATCH($A144,SPPR!$A:$A,0),19),""),"")</f>
        <v/>
      </c>
      <c r="W144">
        <f>IFERROR(IF(ISNUMBER(INDEX(SPPR!$E:$X,MATCH($A144,SPPR!$A:$A,0),20)),$C144*INDEX(SPPR!$E:$X,MATCH($A144,SPPR!$A:$A,0),20),""),"")</f>
        <v/>
      </c>
    </row>
    <row r="145">
      <c r="A145" t="inlineStr">
        <is>
          <t>Teuthida</t>
        </is>
      </c>
      <c r="B145">
        <f>IFERROR(INDEX(SPPR!$D:$D,MATCH($A145,SPPR!$A:$A,0)),"")</f>
        <v/>
      </c>
      <c r="C145">
        <f>IFERROR(INDEX(Catch!$E:$BV,MATCH($A145,Catch!$A:$A,0),MATCH($B$4,Catch!$E$1:$BV$1,0)),0)</f>
        <v/>
      </c>
      <c r="D145">
        <f>IFERROR(IF(ISNUMBER(INDEX(SPPR!$E:$X,MATCH($A145,SPPR!$A:$A,0),1)),$C145*INDEX(SPPR!$E:$X,MATCH($A145,SPPR!$A:$A,0),1),""),"")</f>
        <v/>
      </c>
      <c r="E145">
        <f>IFERROR(IF(ISNUMBER(INDEX(SPPR!$E:$X,MATCH($A145,SPPR!$A:$A,0),2)),$C145*INDEX(SPPR!$E:$X,MATCH($A145,SPPR!$A:$A,0),2),""),"")</f>
        <v/>
      </c>
      <c r="F145">
        <f>IFERROR(IF(ISNUMBER(INDEX(SPPR!$E:$X,MATCH($A145,SPPR!$A:$A,0),3)),$C145*INDEX(SPPR!$E:$X,MATCH($A145,SPPR!$A:$A,0),3),""),"")</f>
        <v/>
      </c>
      <c r="G145">
        <f>IFERROR(IF(ISNUMBER(INDEX(SPPR!$E:$X,MATCH($A145,SPPR!$A:$A,0),4)),$C145*INDEX(SPPR!$E:$X,MATCH($A145,SPPR!$A:$A,0),4),""),"")</f>
        <v/>
      </c>
      <c r="H145">
        <f>IFERROR(IF(ISNUMBER(INDEX(SPPR!$E:$X,MATCH($A145,SPPR!$A:$A,0),5)),$C145*INDEX(SPPR!$E:$X,MATCH($A145,SPPR!$A:$A,0),5),""),"")</f>
        <v/>
      </c>
      <c r="I145">
        <f>IFERROR(IF(ISNUMBER(INDEX(SPPR!$E:$X,MATCH($A145,SPPR!$A:$A,0),6)),$C145*INDEX(SPPR!$E:$X,MATCH($A145,SPPR!$A:$A,0),6),""),"")</f>
        <v/>
      </c>
      <c r="J145">
        <f>IFERROR(IF(ISNUMBER(INDEX(SPPR!$E:$X,MATCH($A145,SPPR!$A:$A,0),7)),$C145*INDEX(SPPR!$E:$X,MATCH($A145,SPPR!$A:$A,0),7),""),"")</f>
        <v/>
      </c>
      <c r="K145">
        <f>IFERROR(IF(ISNUMBER(INDEX(SPPR!$E:$X,MATCH($A145,SPPR!$A:$A,0),8)),$C145*INDEX(SPPR!$E:$X,MATCH($A145,SPPR!$A:$A,0),8),""),"")</f>
        <v/>
      </c>
      <c r="L145">
        <f>IFERROR(IF(ISNUMBER(INDEX(SPPR!$E:$X,MATCH($A145,SPPR!$A:$A,0),9)),$C145*INDEX(SPPR!$E:$X,MATCH($A145,SPPR!$A:$A,0),9),""),"")</f>
        <v/>
      </c>
      <c r="M145">
        <f>IFERROR(IF(ISNUMBER(INDEX(SPPR!$E:$X,MATCH($A145,SPPR!$A:$A,0),10)),$C145*INDEX(SPPR!$E:$X,MATCH($A145,SPPR!$A:$A,0),10),""),"")</f>
        <v/>
      </c>
      <c r="N145">
        <f>IFERROR(IF(ISNUMBER(INDEX(SPPR!$E:$X,MATCH($A145,SPPR!$A:$A,0),11)),$C145*INDEX(SPPR!$E:$X,MATCH($A145,SPPR!$A:$A,0),11),""),"")</f>
        <v/>
      </c>
      <c r="O145">
        <f>IFERROR(IF(ISNUMBER(INDEX(SPPR!$E:$X,MATCH($A145,SPPR!$A:$A,0),12)),$C145*INDEX(SPPR!$E:$X,MATCH($A145,SPPR!$A:$A,0),12),""),"")</f>
        <v/>
      </c>
      <c r="P145">
        <f>IFERROR(IF(ISNUMBER(INDEX(SPPR!$E:$X,MATCH($A145,SPPR!$A:$A,0),13)),$C145*INDEX(SPPR!$E:$X,MATCH($A145,SPPR!$A:$A,0),13),""),"")</f>
        <v/>
      </c>
      <c r="Q145">
        <f>IFERROR(IF(ISNUMBER(INDEX(SPPR!$E:$X,MATCH($A145,SPPR!$A:$A,0),14)),$C145*INDEX(SPPR!$E:$X,MATCH($A145,SPPR!$A:$A,0),14),""),"")</f>
        <v/>
      </c>
      <c r="R145">
        <f>IFERROR(IF(ISNUMBER(INDEX(SPPR!$E:$X,MATCH($A145,SPPR!$A:$A,0),15)),$C145*INDEX(SPPR!$E:$X,MATCH($A145,SPPR!$A:$A,0),15),""),"")</f>
        <v/>
      </c>
      <c r="S145">
        <f>IFERROR(IF(ISNUMBER(INDEX(SPPR!$E:$X,MATCH($A145,SPPR!$A:$A,0),16)),$C145*INDEX(SPPR!$E:$X,MATCH($A145,SPPR!$A:$A,0),16),""),"")</f>
        <v/>
      </c>
      <c r="T145">
        <f>IFERROR(IF(ISNUMBER(INDEX(SPPR!$E:$X,MATCH($A145,SPPR!$A:$A,0),17)),$C145*INDEX(SPPR!$E:$X,MATCH($A145,SPPR!$A:$A,0),17),""),"")</f>
        <v/>
      </c>
      <c r="U145">
        <f>IFERROR(IF(ISNUMBER(INDEX(SPPR!$E:$X,MATCH($A145,SPPR!$A:$A,0),18)),$C145*INDEX(SPPR!$E:$X,MATCH($A145,SPPR!$A:$A,0),18),""),"")</f>
        <v/>
      </c>
      <c r="V145">
        <f>IFERROR(IF(ISNUMBER(INDEX(SPPR!$E:$X,MATCH($A145,SPPR!$A:$A,0),19)),$C145*INDEX(SPPR!$E:$X,MATCH($A145,SPPR!$A:$A,0),19),""),"")</f>
        <v/>
      </c>
      <c r="W145">
        <f>IFERROR(IF(ISNUMBER(INDEX(SPPR!$E:$X,MATCH($A145,SPPR!$A:$A,0),20)),$C145*INDEX(SPPR!$E:$X,MATCH($A145,SPPR!$A:$A,0),20),""),"")</f>
        <v/>
      </c>
    </row>
    <row r="146">
      <c r="A146" t="inlineStr">
        <is>
          <t>Trachurus</t>
        </is>
      </c>
      <c r="B146">
        <f>IFERROR(INDEX(SPPR!$D:$D,MATCH($A146,SPPR!$A:$A,0)),"")</f>
        <v/>
      </c>
      <c r="C146">
        <f>IFERROR(INDEX(Catch!$E:$BV,MATCH($A146,Catch!$A:$A,0),MATCH($B$4,Catch!$E$1:$BV$1,0)),0)</f>
        <v/>
      </c>
      <c r="D146">
        <f>IFERROR(IF(ISNUMBER(INDEX(SPPR!$E:$X,MATCH($A146,SPPR!$A:$A,0),1)),$C146*INDEX(SPPR!$E:$X,MATCH($A146,SPPR!$A:$A,0),1),""),"")</f>
        <v/>
      </c>
      <c r="E146">
        <f>IFERROR(IF(ISNUMBER(INDEX(SPPR!$E:$X,MATCH($A146,SPPR!$A:$A,0),2)),$C146*INDEX(SPPR!$E:$X,MATCH($A146,SPPR!$A:$A,0),2),""),"")</f>
        <v/>
      </c>
      <c r="F146">
        <f>IFERROR(IF(ISNUMBER(INDEX(SPPR!$E:$X,MATCH($A146,SPPR!$A:$A,0),3)),$C146*INDEX(SPPR!$E:$X,MATCH($A146,SPPR!$A:$A,0),3),""),"")</f>
        <v/>
      </c>
      <c r="G146">
        <f>IFERROR(IF(ISNUMBER(INDEX(SPPR!$E:$X,MATCH($A146,SPPR!$A:$A,0),4)),$C146*INDEX(SPPR!$E:$X,MATCH($A146,SPPR!$A:$A,0),4),""),"")</f>
        <v/>
      </c>
      <c r="H146">
        <f>IFERROR(IF(ISNUMBER(INDEX(SPPR!$E:$X,MATCH($A146,SPPR!$A:$A,0),5)),$C146*INDEX(SPPR!$E:$X,MATCH($A146,SPPR!$A:$A,0),5),""),"")</f>
        <v/>
      </c>
      <c r="I146">
        <f>IFERROR(IF(ISNUMBER(INDEX(SPPR!$E:$X,MATCH($A146,SPPR!$A:$A,0),6)),$C146*INDEX(SPPR!$E:$X,MATCH($A146,SPPR!$A:$A,0),6),""),"")</f>
        <v/>
      </c>
      <c r="J146">
        <f>IFERROR(IF(ISNUMBER(INDEX(SPPR!$E:$X,MATCH($A146,SPPR!$A:$A,0),7)),$C146*INDEX(SPPR!$E:$X,MATCH($A146,SPPR!$A:$A,0),7),""),"")</f>
        <v/>
      </c>
      <c r="K146">
        <f>IFERROR(IF(ISNUMBER(INDEX(SPPR!$E:$X,MATCH($A146,SPPR!$A:$A,0),8)),$C146*INDEX(SPPR!$E:$X,MATCH($A146,SPPR!$A:$A,0),8),""),"")</f>
        <v/>
      </c>
      <c r="L146">
        <f>IFERROR(IF(ISNUMBER(INDEX(SPPR!$E:$X,MATCH($A146,SPPR!$A:$A,0),9)),$C146*INDEX(SPPR!$E:$X,MATCH($A146,SPPR!$A:$A,0),9),""),"")</f>
        <v/>
      </c>
      <c r="M146">
        <f>IFERROR(IF(ISNUMBER(INDEX(SPPR!$E:$X,MATCH($A146,SPPR!$A:$A,0),10)),$C146*INDEX(SPPR!$E:$X,MATCH($A146,SPPR!$A:$A,0),10),""),"")</f>
        <v/>
      </c>
      <c r="N146">
        <f>IFERROR(IF(ISNUMBER(INDEX(SPPR!$E:$X,MATCH($A146,SPPR!$A:$A,0),11)),$C146*INDEX(SPPR!$E:$X,MATCH($A146,SPPR!$A:$A,0),11),""),"")</f>
        <v/>
      </c>
      <c r="O146">
        <f>IFERROR(IF(ISNUMBER(INDEX(SPPR!$E:$X,MATCH($A146,SPPR!$A:$A,0),12)),$C146*INDEX(SPPR!$E:$X,MATCH($A146,SPPR!$A:$A,0),12),""),"")</f>
        <v/>
      </c>
      <c r="P146">
        <f>IFERROR(IF(ISNUMBER(INDEX(SPPR!$E:$X,MATCH($A146,SPPR!$A:$A,0),13)),$C146*INDEX(SPPR!$E:$X,MATCH($A146,SPPR!$A:$A,0),13),""),"")</f>
        <v/>
      </c>
      <c r="Q146">
        <f>IFERROR(IF(ISNUMBER(INDEX(SPPR!$E:$X,MATCH($A146,SPPR!$A:$A,0),14)),$C146*INDEX(SPPR!$E:$X,MATCH($A146,SPPR!$A:$A,0),14),""),"")</f>
        <v/>
      </c>
      <c r="R146">
        <f>IFERROR(IF(ISNUMBER(INDEX(SPPR!$E:$X,MATCH($A146,SPPR!$A:$A,0),15)),$C146*INDEX(SPPR!$E:$X,MATCH($A146,SPPR!$A:$A,0),15),""),"")</f>
        <v/>
      </c>
      <c r="S146">
        <f>IFERROR(IF(ISNUMBER(INDEX(SPPR!$E:$X,MATCH($A146,SPPR!$A:$A,0),16)),$C146*INDEX(SPPR!$E:$X,MATCH($A146,SPPR!$A:$A,0),16),""),"")</f>
        <v/>
      </c>
      <c r="T146">
        <f>IFERROR(IF(ISNUMBER(INDEX(SPPR!$E:$X,MATCH($A146,SPPR!$A:$A,0),17)),$C146*INDEX(SPPR!$E:$X,MATCH($A146,SPPR!$A:$A,0),17),""),"")</f>
        <v/>
      </c>
      <c r="U146">
        <f>IFERROR(IF(ISNUMBER(INDEX(SPPR!$E:$X,MATCH($A146,SPPR!$A:$A,0),18)),$C146*INDEX(SPPR!$E:$X,MATCH($A146,SPPR!$A:$A,0),18),""),"")</f>
        <v/>
      </c>
      <c r="V146">
        <f>IFERROR(IF(ISNUMBER(INDEX(SPPR!$E:$X,MATCH($A146,SPPR!$A:$A,0),19)),$C146*INDEX(SPPR!$E:$X,MATCH($A146,SPPR!$A:$A,0),19),""),"")</f>
        <v/>
      </c>
      <c r="W146">
        <f>IFERROR(IF(ISNUMBER(INDEX(SPPR!$E:$X,MATCH($A146,SPPR!$A:$A,0),20)),$C146*INDEX(SPPR!$E:$X,MATCH($A146,SPPR!$A:$A,0),20),""),"")</f>
        <v/>
      </c>
    </row>
    <row r="147">
      <c r="A147" t="inlineStr">
        <is>
          <t>Argentina silus</t>
        </is>
      </c>
      <c r="B147">
        <f>IFERROR(INDEX(SPPR!$D:$D,MATCH($A147,SPPR!$A:$A,0)),"")</f>
        <v/>
      </c>
      <c r="C147">
        <f>IFERROR(INDEX(Catch!$E:$BV,MATCH($A147,Catch!$A:$A,0),MATCH($B$4,Catch!$E$1:$BV$1,0)),0)</f>
        <v/>
      </c>
      <c r="D147">
        <f>IFERROR(IF(ISNUMBER(INDEX(SPPR!$E:$X,MATCH($A147,SPPR!$A:$A,0),1)),$C147*INDEX(SPPR!$E:$X,MATCH($A147,SPPR!$A:$A,0),1),""),"")</f>
        <v/>
      </c>
      <c r="E147">
        <f>IFERROR(IF(ISNUMBER(INDEX(SPPR!$E:$X,MATCH($A147,SPPR!$A:$A,0),2)),$C147*INDEX(SPPR!$E:$X,MATCH($A147,SPPR!$A:$A,0),2),""),"")</f>
        <v/>
      </c>
      <c r="F147">
        <f>IFERROR(IF(ISNUMBER(INDEX(SPPR!$E:$X,MATCH($A147,SPPR!$A:$A,0),3)),$C147*INDEX(SPPR!$E:$X,MATCH($A147,SPPR!$A:$A,0),3),""),"")</f>
        <v/>
      </c>
      <c r="G147">
        <f>IFERROR(IF(ISNUMBER(INDEX(SPPR!$E:$X,MATCH($A147,SPPR!$A:$A,0),4)),$C147*INDEX(SPPR!$E:$X,MATCH($A147,SPPR!$A:$A,0),4),""),"")</f>
        <v/>
      </c>
      <c r="H147">
        <f>IFERROR(IF(ISNUMBER(INDEX(SPPR!$E:$X,MATCH($A147,SPPR!$A:$A,0),5)),$C147*INDEX(SPPR!$E:$X,MATCH($A147,SPPR!$A:$A,0),5),""),"")</f>
        <v/>
      </c>
      <c r="I147">
        <f>IFERROR(IF(ISNUMBER(INDEX(SPPR!$E:$X,MATCH($A147,SPPR!$A:$A,0),6)),$C147*INDEX(SPPR!$E:$X,MATCH($A147,SPPR!$A:$A,0),6),""),"")</f>
        <v/>
      </c>
      <c r="J147">
        <f>IFERROR(IF(ISNUMBER(INDEX(SPPR!$E:$X,MATCH($A147,SPPR!$A:$A,0),7)),$C147*INDEX(SPPR!$E:$X,MATCH($A147,SPPR!$A:$A,0),7),""),"")</f>
        <v/>
      </c>
      <c r="K147">
        <f>IFERROR(IF(ISNUMBER(INDEX(SPPR!$E:$X,MATCH($A147,SPPR!$A:$A,0),8)),$C147*INDEX(SPPR!$E:$X,MATCH($A147,SPPR!$A:$A,0),8),""),"")</f>
        <v/>
      </c>
      <c r="L147">
        <f>IFERROR(IF(ISNUMBER(INDEX(SPPR!$E:$X,MATCH($A147,SPPR!$A:$A,0),9)),$C147*INDEX(SPPR!$E:$X,MATCH($A147,SPPR!$A:$A,0),9),""),"")</f>
        <v/>
      </c>
      <c r="M147">
        <f>IFERROR(IF(ISNUMBER(INDEX(SPPR!$E:$X,MATCH($A147,SPPR!$A:$A,0),10)),$C147*INDEX(SPPR!$E:$X,MATCH($A147,SPPR!$A:$A,0),10),""),"")</f>
        <v/>
      </c>
      <c r="N147">
        <f>IFERROR(IF(ISNUMBER(INDEX(SPPR!$E:$X,MATCH($A147,SPPR!$A:$A,0),11)),$C147*INDEX(SPPR!$E:$X,MATCH($A147,SPPR!$A:$A,0),11),""),"")</f>
        <v/>
      </c>
      <c r="O147">
        <f>IFERROR(IF(ISNUMBER(INDEX(SPPR!$E:$X,MATCH($A147,SPPR!$A:$A,0),12)),$C147*INDEX(SPPR!$E:$X,MATCH($A147,SPPR!$A:$A,0),12),""),"")</f>
        <v/>
      </c>
      <c r="P147">
        <f>IFERROR(IF(ISNUMBER(INDEX(SPPR!$E:$X,MATCH($A147,SPPR!$A:$A,0),13)),$C147*INDEX(SPPR!$E:$X,MATCH($A147,SPPR!$A:$A,0),13),""),"")</f>
        <v/>
      </c>
      <c r="Q147">
        <f>IFERROR(IF(ISNUMBER(INDEX(SPPR!$E:$X,MATCH($A147,SPPR!$A:$A,0),14)),$C147*INDEX(SPPR!$E:$X,MATCH($A147,SPPR!$A:$A,0),14),""),"")</f>
        <v/>
      </c>
      <c r="R147">
        <f>IFERROR(IF(ISNUMBER(INDEX(SPPR!$E:$X,MATCH($A147,SPPR!$A:$A,0),15)),$C147*INDEX(SPPR!$E:$X,MATCH($A147,SPPR!$A:$A,0),15),""),"")</f>
        <v/>
      </c>
      <c r="S147">
        <f>IFERROR(IF(ISNUMBER(INDEX(SPPR!$E:$X,MATCH($A147,SPPR!$A:$A,0),16)),$C147*INDEX(SPPR!$E:$X,MATCH($A147,SPPR!$A:$A,0),16),""),"")</f>
        <v/>
      </c>
      <c r="T147">
        <f>IFERROR(IF(ISNUMBER(INDEX(SPPR!$E:$X,MATCH($A147,SPPR!$A:$A,0),17)),$C147*INDEX(SPPR!$E:$X,MATCH($A147,SPPR!$A:$A,0),17),""),"")</f>
        <v/>
      </c>
      <c r="U147">
        <f>IFERROR(IF(ISNUMBER(INDEX(SPPR!$E:$X,MATCH($A147,SPPR!$A:$A,0),18)),$C147*INDEX(SPPR!$E:$X,MATCH($A147,SPPR!$A:$A,0),18),""),"")</f>
        <v/>
      </c>
      <c r="V147">
        <f>IFERROR(IF(ISNUMBER(INDEX(SPPR!$E:$X,MATCH($A147,SPPR!$A:$A,0),19)),$C147*INDEX(SPPR!$E:$X,MATCH($A147,SPPR!$A:$A,0),19),""),"")</f>
        <v/>
      </c>
      <c r="W147">
        <f>IFERROR(IF(ISNUMBER(INDEX(SPPR!$E:$X,MATCH($A147,SPPR!$A:$A,0),20)),$C147*INDEX(SPPR!$E:$X,MATCH($A147,SPPR!$A:$A,0),20),""),"")</f>
        <v/>
      </c>
    </row>
    <row r="148">
      <c r="A148" t="inlineStr">
        <is>
          <t>Raja montagui</t>
        </is>
      </c>
      <c r="B148">
        <f>IFERROR(INDEX(SPPR!$D:$D,MATCH($A148,SPPR!$A:$A,0)),"")</f>
        <v/>
      </c>
      <c r="C148">
        <f>IFERROR(INDEX(Catch!$E:$BV,MATCH($A148,Catch!$A:$A,0),MATCH($B$4,Catch!$E$1:$BV$1,0)),0)</f>
        <v/>
      </c>
      <c r="D148">
        <f>IFERROR(IF(ISNUMBER(INDEX(SPPR!$E:$X,MATCH($A148,SPPR!$A:$A,0),1)),$C148*INDEX(SPPR!$E:$X,MATCH($A148,SPPR!$A:$A,0),1),""),"")</f>
        <v/>
      </c>
      <c r="E148">
        <f>IFERROR(IF(ISNUMBER(INDEX(SPPR!$E:$X,MATCH($A148,SPPR!$A:$A,0),2)),$C148*INDEX(SPPR!$E:$X,MATCH($A148,SPPR!$A:$A,0),2),""),"")</f>
        <v/>
      </c>
      <c r="F148">
        <f>IFERROR(IF(ISNUMBER(INDEX(SPPR!$E:$X,MATCH($A148,SPPR!$A:$A,0),3)),$C148*INDEX(SPPR!$E:$X,MATCH($A148,SPPR!$A:$A,0),3),""),"")</f>
        <v/>
      </c>
      <c r="G148">
        <f>IFERROR(IF(ISNUMBER(INDEX(SPPR!$E:$X,MATCH($A148,SPPR!$A:$A,0),4)),$C148*INDEX(SPPR!$E:$X,MATCH($A148,SPPR!$A:$A,0),4),""),"")</f>
        <v/>
      </c>
      <c r="H148">
        <f>IFERROR(IF(ISNUMBER(INDEX(SPPR!$E:$X,MATCH($A148,SPPR!$A:$A,0),5)),$C148*INDEX(SPPR!$E:$X,MATCH($A148,SPPR!$A:$A,0),5),""),"")</f>
        <v/>
      </c>
      <c r="I148">
        <f>IFERROR(IF(ISNUMBER(INDEX(SPPR!$E:$X,MATCH($A148,SPPR!$A:$A,0),6)),$C148*INDEX(SPPR!$E:$X,MATCH($A148,SPPR!$A:$A,0),6),""),"")</f>
        <v/>
      </c>
      <c r="J148">
        <f>IFERROR(IF(ISNUMBER(INDEX(SPPR!$E:$X,MATCH($A148,SPPR!$A:$A,0),7)),$C148*INDEX(SPPR!$E:$X,MATCH($A148,SPPR!$A:$A,0),7),""),"")</f>
        <v/>
      </c>
      <c r="K148">
        <f>IFERROR(IF(ISNUMBER(INDEX(SPPR!$E:$X,MATCH($A148,SPPR!$A:$A,0),8)),$C148*INDEX(SPPR!$E:$X,MATCH($A148,SPPR!$A:$A,0),8),""),"")</f>
        <v/>
      </c>
      <c r="L148">
        <f>IFERROR(IF(ISNUMBER(INDEX(SPPR!$E:$X,MATCH($A148,SPPR!$A:$A,0),9)),$C148*INDEX(SPPR!$E:$X,MATCH($A148,SPPR!$A:$A,0),9),""),"")</f>
        <v/>
      </c>
      <c r="M148">
        <f>IFERROR(IF(ISNUMBER(INDEX(SPPR!$E:$X,MATCH($A148,SPPR!$A:$A,0),10)),$C148*INDEX(SPPR!$E:$X,MATCH($A148,SPPR!$A:$A,0),10),""),"")</f>
        <v/>
      </c>
      <c r="N148">
        <f>IFERROR(IF(ISNUMBER(INDEX(SPPR!$E:$X,MATCH($A148,SPPR!$A:$A,0),11)),$C148*INDEX(SPPR!$E:$X,MATCH($A148,SPPR!$A:$A,0),11),""),"")</f>
        <v/>
      </c>
      <c r="O148">
        <f>IFERROR(IF(ISNUMBER(INDEX(SPPR!$E:$X,MATCH($A148,SPPR!$A:$A,0),12)),$C148*INDEX(SPPR!$E:$X,MATCH($A148,SPPR!$A:$A,0),12),""),"")</f>
        <v/>
      </c>
      <c r="P148">
        <f>IFERROR(IF(ISNUMBER(INDEX(SPPR!$E:$X,MATCH($A148,SPPR!$A:$A,0),13)),$C148*INDEX(SPPR!$E:$X,MATCH($A148,SPPR!$A:$A,0),13),""),"")</f>
        <v/>
      </c>
      <c r="Q148">
        <f>IFERROR(IF(ISNUMBER(INDEX(SPPR!$E:$X,MATCH($A148,SPPR!$A:$A,0),14)),$C148*INDEX(SPPR!$E:$X,MATCH($A148,SPPR!$A:$A,0),14),""),"")</f>
        <v/>
      </c>
      <c r="R148">
        <f>IFERROR(IF(ISNUMBER(INDEX(SPPR!$E:$X,MATCH($A148,SPPR!$A:$A,0),15)),$C148*INDEX(SPPR!$E:$X,MATCH($A148,SPPR!$A:$A,0),15),""),"")</f>
        <v/>
      </c>
      <c r="S148">
        <f>IFERROR(IF(ISNUMBER(INDEX(SPPR!$E:$X,MATCH($A148,SPPR!$A:$A,0),16)),$C148*INDEX(SPPR!$E:$X,MATCH($A148,SPPR!$A:$A,0),16),""),"")</f>
        <v/>
      </c>
      <c r="T148">
        <f>IFERROR(IF(ISNUMBER(INDEX(SPPR!$E:$X,MATCH($A148,SPPR!$A:$A,0),17)),$C148*INDEX(SPPR!$E:$X,MATCH($A148,SPPR!$A:$A,0),17),""),"")</f>
        <v/>
      </c>
      <c r="U148">
        <f>IFERROR(IF(ISNUMBER(INDEX(SPPR!$E:$X,MATCH($A148,SPPR!$A:$A,0),18)),$C148*INDEX(SPPR!$E:$X,MATCH($A148,SPPR!$A:$A,0),18),""),"")</f>
        <v/>
      </c>
      <c r="V148">
        <f>IFERROR(IF(ISNUMBER(INDEX(SPPR!$E:$X,MATCH($A148,SPPR!$A:$A,0),19)),$C148*INDEX(SPPR!$E:$X,MATCH($A148,SPPR!$A:$A,0),19),""),"")</f>
        <v/>
      </c>
      <c r="W148">
        <f>IFERROR(IF(ISNUMBER(INDEX(SPPR!$E:$X,MATCH($A148,SPPR!$A:$A,0),20)),$C148*INDEX(SPPR!$E:$X,MATCH($A148,SPPR!$A:$A,0),20),""),"")</f>
        <v/>
      </c>
    </row>
    <row r="149">
      <c r="A149" t="inlineStr">
        <is>
          <t>Conger conger</t>
        </is>
      </c>
      <c r="B149">
        <f>IFERROR(INDEX(SPPR!$D:$D,MATCH($A149,SPPR!$A:$A,0)),"")</f>
        <v/>
      </c>
      <c r="C149">
        <f>IFERROR(INDEX(Catch!$E:$BV,MATCH($A149,Catch!$A:$A,0),MATCH($B$4,Catch!$E$1:$BV$1,0)),0)</f>
        <v/>
      </c>
      <c r="D149">
        <f>IFERROR(IF(ISNUMBER(INDEX(SPPR!$E:$X,MATCH($A149,SPPR!$A:$A,0),1)),$C149*INDEX(SPPR!$E:$X,MATCH($A149,SPPR!$A:$A,0),1),""),"")</f>
        <v/>
      </c>
      <c r="E149">
        <f>IFERROR(IF(ISNUMBER(INDEX(SPPR!$E:$X,MATCH($A149,SPPR!$A:$A,0),2)),$C149*INDEX(SPPR!$E:$X,MATCH($A149,SPPR!$A:$A,0),2),""),"")</f>
        <v/>
      </c>
      <c r="F149">
        <f>IFERROR(IF(ISNUMBER(INDEX(SPPR!$E:$X,MATCH($A149,SPPR!$A:$A,0),3)),$C149*INDEX(SPPR!$E:$X,MATCH($A149,SPPR!$A:$A,0),3),""),"")</f>
        <v/>
      </c>
      <c r="G149">
        <f>IFERROR(IF(ISNUMBER(INDEX(SPPR!$E:$X,MATCH($A149,SPPR!$A:$A,0),4)),$C149*INDEX(SPPR!$E:$X,MATCH($A149,SPPR!$A:$A,0),4),""),"")</f>
        <v/>
      </c>
      <c r="H149">
        <f>IFERROR(IF(ISNUMBER(INDEX(SPPR!$E:$X,MATCH($A149,SPPR!$A:$A,0),5)),$C149*INDEX(SPPR!$E:$X,MATCH($A149,SPPR!$A:$A,0),5),""),"")</f>
        <v/>
      </c>
      <c r="I149">
        <f>IFERROR(IF(ISNUMBER(INDEX(SPPR!$E:$X,MATCH($A149,SPPR!$A:$A,0),6)),$C149*INDEX(SPPR!$E:$X,MATCH($A149,SPPR!$A:$A,0),6),""),"")</f>
        <v/>
      </c>
      <c r="J149">
        <f>IFERROR(IF(ISNUMBER(INDEX(SPPR!$E:$X,MATCH($A149,SPPR!$A:$A,0),7)),$C149*INDEX(SPPR!$E:$X,MATCH($A149,SPPR!$A:$A,0),7),""),"")</f>
        <v/>
      </c>
      <c r="K149">
        <f>IFERROR(IF(ISNUMBER(INDEX(SPPR!$E:$X,MATCH($A149,SPPR!$A:$A,0),8)),$C149*INDEX(SPPR!$E:$X,MATCH($A149,SPPR!$A:$A,0),8),""),"")</f>
        <v/>
      </c>
      <c r="L149">
        <f>IFERROR(IF(ISNUMBER(INDEX(SPPR!$E:$X,MATCH($A149,SPPR!$A:$A,0),9)),$C149*INDEX(SPPR!$E:$X,MATCH($A149,SPPR!$A:$A,0),9),""),"")</f>
        <v/>
      </c>
      <c r="M149">
        <f>IFERROR(IF(ISNUMBER(INDEX(SPPR!$E:$X,MATCH($A149,SPPR!$A:$A,0),10)),$C149*INDEX(SPPR!$E:$X,MATCH($A149,SPPR!$A:$A,0),10),""),"")</f>
        <v/>
      </c>
      <c r="N149">
        <f>IFERROR(IF(ISNUMBER(INDEX(SPPR!$E:$X,MATCH($A149,SPPR!$A:$A,0),11)),$C149*INDEX(SPPR!$E:$X,MATCH($A149,SPPR!$A:$A,0),11),""),"")</f>
        <v/>
      </c>
      <c r="O149">
        <f>IFERROR(IF(ISNUMBER(INDEX(SPPR!$E:$X,MATCH($A149,SPPR!$A:$A,0),12)),$C149*INDEX(SPPR!$E:$X,MATCH($A149,SPPR!$A:$A,0),12),""),"")</f>
        <v/>
      </c>
      <c r="P149">
        <f>IFERROR(IF(ISNUMBER(INDEX(SPPR!$E:$X,MATCH($A149,SPPR!$A:$A,0),13)),$C149*INDEX(SPPR!$E:$X,MATCH($A149,SPPR!$A:$A,0),13),""),"")</f>
        <v/>
      </c>
      <c r="Q149">
        <f>IFERROR(IF(ISNUMBER(INDEX(SPPR!$E:$X,MATCH($A149,SPPR!$A:$A,0),14)),$C149*INDEX(SPPR!$E:$X,MATCH($A149,SPPR!$A:$A,0),14),""),"")</f>
        <v/>
      </c>
      <c r="R149">
        <f>IFERROR(IF(ISNUMBER(INDEX(SPPR!$E:$X,MATCH($A149,SPPR!$A:$A,0),15)),$C149*INDEX(SPPR!$E:$X,MATCH($A149,SPPR!$A:$A,0),15),""),"")</f>
        <v/>
      </c>
      <c r="S149">
        <f>IFERROR(IF(ISNUMBER(INDEX(SPPR!$E:$X,MATCH($A149,SPPR!$A:$A,0),16)),$C149*INDEX(SPPR!$E:$X,MATCH($A149,SPPR!$A:$A,0),16),""),"")</f>
        <v/>
      </c>
      <c r="T149">
        <f>IFERROR(IF(ISNUMBER(INDEX(SPPR!$E:$X,MATCH($A149,SPPR!$A:$A,0),17)),$C149*INDEX(SPPR!$E:$X,MATCH($A149,SPPR!$A:$A,0),17),""),"")</f>
        <v/>
      </c>
      <c r="U149">
        <f>IFERROR(IF(ISNUMBER(INDEX(SPPR!$E:$X,MATCH($A149,SPPR!$A:$A,0),18)),$C149*INDEX(SPPR!$E:$X,MATCH($A149,SPPR!$A:$A,0),18),""),"")</f>
        <v/>
      </c>
      <c r="V149">
        <f>IFERROR(IF(ISNUMBER(INDEX(SPPR!$E:$X,MATCH($A149,SPPR!$A:$A,0),19)),$C149*INDEX(SPPR!$E:$X,MATCH($A149,SPPR!$A:$A,0),19),""),"")</f>
        <v/>
      </c>
      <c r="W149">
        <f>IFERROR(IF(ISNUMBER(INDEX(SPPR!$E:$X,MATCH($A149,SPPR!$A:$A,0),20)),$C149*INDEX(SPPR!$E:$X,MATCH($A149,SPPR!$A:$A,0),20),""),"")</f>
        <v/>
      </c>
    </row>
    <row r="150">
      <c r="A150" t="inlineStr">
        <is>
          <t>Sepia officinalis</t>
        </is>
      </c>
      <c r="B150">
        <f>IFERROR(INDEX(SPPR!$D:$D,MATCH($A150,SPPR!$A:$A,0)),"")</f>
        <v/>
      </c>
      <c r="C150">
        <f>IFERROR(INDEX(Catch!$E:$BV,MATCH($A150,Catch!$A:$A,0),MATCH($B$4,Catch!$E$1:$BV$1,0)),0)</f>
        <v/>
      </c>
      <c r="D150">
        <f>IFERROR(IF(ISNUMBER(INDEX(SPPR!$E:$X,MATCH($A150,SPPR!$A:$A,0),1)),$C150*INDEX(SPPR!$E:$X,MATCH($A150,SPPR!$A:$A,0),1),""),"")</f>
        <v/>
      </c>
      <c r="E150">
        <f>IFERROR(IF(ISNUMBER(INDEX(SPPR!$E:$X,MATCH($A150,SPPR!$A:$A,0),2)),$C150*INDEX(SPPR!$E:$X,MATCH($A150,SPPR!$A:$A,0),2),""),"")</f>
        <v/>
      </c>
      <c r="F150">
        <f>IFERROR(IF(ISNUMBER(INDEX(SPPR!$E:$X,MATCH($A150,SPPR!$A:$A,0),3)),$C150*INDEX(SPPR!$E:$X,MATCH($A150,SPPR!$A:$A,0),3),""),"")</f>
        <v/>
      </c>
      <c r="G150">
        <f>IFERROR(IF(ISNUMBER(INDEX(SPPR!$E:$X,MATCH($A150,SPPR!$A:$A,0),4)),$C150*INDEX(SPPR!$E:$X,MATCH($A150,SPPR!$A:$A,0),4),""),"")</f>
        <v/>
      </c>
      <c r="H150">
        <f>IFERROR(IF(ISNUMBER(INDEX(SPPR!$E:$X,MATCH($A150,SPPR!$A:$A,0),5)),$C150*INDEX(SPPR!$E:$X,MATCH($A150,SPPR!$A:$A,0),5),""),"")</f>
        <v/>
      </c>
      <c r="I150">
        <f>IFERROR(IF(ISNUMBER(INDEX(SPPR!$E:$X,MATCH($A150,SPPR!$A:$A,0),6)),$C150*INDEX(SPPR!$E:$X,MATCH($A150,SPPR!$A:$A,0),6),""),"")</f>
        <v/>
      </c>
      <c r="J150">
        <f>IFERROR(IF(ISNUMBER(INDEX(SPPR!$E:$X,MATCH($A150,SPPR!$A:$A,0),7)),$C150*INDEX(SPPR!$E:$X,MATCH($A150,SPPR!$A:$A,0),7),""),"")</f>
        <v/>
      </c>
      <c r="K150">
        <f>IFERROR(IF(ISNUMBER(INDEX(SPPR!$E:$X,MATCH($A150,SPPR!$A:$A,0),8)),$C150*INDEX(SPPR!$E:$X,MATCH($A150,SPPR!$A:$A,0),8),""),"")</f>
        <v/>
      </c>
      <c r="L150">
        <f>IFERROR(IF(ISNUMBER(INDEX(SPPR!$E:$X,MATCH($A150,SPPR!$A:$A,0),9)),$C150*INDEX(SPPR!$E:$X,MATCH($A150,SPPR!$A:$A,0),9),""),"")</f>
        <v/>
      </c>
      <c r="M150">
        <f>IFERROR(IF(ISNUMBER(INDEX(SPPR!$E:$X,MATCH($A150,SPPR!$A:$A,0),10)),$C150*INDEX(SPPR!$E:$X,MATCH($A150,SPPR!$A:$A,0),10),""),"")</f>
        <v/>
      </c>
      <c r="N150">
        <f>IFERROR(IF(ISNUMBER(INDEX(SPPR!$E:$X,MATCH($A150,SPPR!$A:$A,0),11)),$C150*INDEX(SPPR!$E:$X,MATCH($A150,SPPR!$A:$A,0),11),""),"")</f>
        <v/>
      </c>
      <c r="O150">
        <f>IFERROR(IF(ISNUMBER(INDEX(SPPR!$E:$X,MATCH($A150,SPPR!$A:$A,0),12)),$C150*INDEX(SPPR!$E:$X,MATCH($A150,SPPR!$A:$A,0),12),""),"")</f>
        <v/>
      </c>
      <c r="P150">
        <f>IFERROR(IF(ISNUMBER(INDEX(SPPR!$E:$X,MATCH($A150,SPPR!$A:$A,0),13)),$C150*INDEX(SPPR!$E:$X,MATCH($A150,SPPR!$A:$A,0),13),""),"")</f>
        <v/>
      </c>
      <c r="Q150">
        <f>IFERROR(IF(ISNUMBER(INDEX(SPPR!$E:$X,MATCH($A150,SPPR!$A:$A,0),14)),$C150*INDEX(SPPR!$E:$X,MATCH($A150,SPPR!$A:$A,0),14),""),"")</f>
        <v/>
      </c>
      <c r="R150">
        <f>IFERROR(IF(ISNUMBER(INDEX(SPPR!$E:$X,MATCH($A150,SPPR!$A:$A,0),15)),$C150*INDEX(SPPR!$E:$X,MATCH($A150,SPPR!$A:$A,0),15),""),"")</f>
        <v/>
      </c>
      <c r="S150">
        <f>IFERROR(IF(ISNUMBER(INDEX(SPPR!$E:$X,MATCH($A150,SPPR!$A:$A,0),16)),$C150*INDEX(SPPR!$E:$X,MATCH($A150,SPPR!$A:$A,0),16),""),"")</f>
        <v/>
      </c>
      <c r="T150">
        <f>IFERROR(IF(ISNUMBER(INDEX(SPPR!$E:$X,MATCH($A150,SPPR!$A:$A,0),17)),$C150*INDEX(SPPR!$E:$X,MATCH($A150,SPPR!$A:$A,0),17),""),"")</f>
        <v/>
      </c>
      <c r="U150">
        <f>IFERROR(IF(ISNUMBER(INDEX(SPPR!$E:$X,MATCH($A150,SPPR!$A:$A,0),18)),$C150*INDEX(SPPR!$E:$X,MATCH($A150,SPPR!$A:$A,0),18),""),"")</f>
        <v/>
      </c>
      <c r="V150">
        <f>IFERROR(IF(ISNUMBER(INDEX(SPPR!$E:$X,MATCH($A150,SPPR!$A:$A,0),19)),$C150*INDEX(SPPR!$E:$X,MATCH($A150,SPPR!$A:$A,0),19),""),"")</f>
        <v/>
      </c>
      <c r="W150">
        <f>IFERROR(IF(ISNUMBER(INDEX(SPPR!$E:$X,MATCH($A150,SPPR!$A:$A,0),20)),$C150*INDEX(SPPR!$E:$X,MATCH($A150,SPPR!$A:$A,0),20),""),"")</f>
        <v/>
      </c>
    </row>
    <row r="151">
      <c r="A151" t="inlineStr">
        <is>
          <t>Balistidae</t>
        </is>
      </c>
      <c r="B151">
        <f>IFERROR(INDEX(SPPR!$D:$D,MATCH($A151,SPPR!$A:$A,0)),"")</f>
        <v/>
      </c>
      <c r="C151">
        <f>IFERROR(INDEX(Catch!$E:$BV,MATCH($A151,Catch!$A:$A,0),MATCH($B$4,Catch!$E$1:$BV$1,0)),0)</f>
        <v/>
      </c>
      <c r="D151">
        <f>IFERROR(IF(ISNUMBER(INDEX(SPPR!$E:$X,MATCH($A151,SPPR!$A:$A,0),1)),$C151*INDEX(SPPR!$E:$X,MATCH($A151,SPPR!$A:$A,0),1),""),"")</f>
        <v/>
      </c>
      <c r="E151">
        <f>IFERROR(IF(ISNUMBER(INDEX(SPPR!$E:$X,MATCH($A151,SPPR!$A:$A,0),2)),$C151*INDEX(SPPR!$E:$X,MATCH($A151,SPPR!$A:$A,0),2),""),"")</f>
        <v/>
      </c>
      <c r="F151">
        <f>IFERROR(IF(ISNUMBER(INDEX(SPPR!$E:$X,MATCH($A151,SPPR!$A:$A,0),3)),$C151*INDEX(SPPR!$E:$X,MATCH($A151,SPPR!$A:$A,0),3),""),"")</f>
        <v/>
      </c>
      <c r="G151">
        <f>IFERROR(IF(ISNUMBER(INDEX(SPPR!$E:$X,MATCH($A151,SPPR!$A:$A,0),4)),$C151*INDEX(SPPR!$E:$X,MATCH($A151,SPPR!$A:$A,0),4),""),"")</f>
        <v/>
      </c>
      <c r="H151">
        <f>IFERROR(IF(ISNUMBER(INDEX(SPPR!$E:$X,MATCH($A151,SPPR!$A:$A,0),5)),$C151*INDEX(SPPR!$E:$X,MATCH($A151,SPPR!$A:$A,0),5),""),"")</f>
        <v/>
      </c>
      <c r="I151">
        <f>IFERROR(IF(ISNUMBER(INDEX(SPPR!$E:$X,MATCH($A151,SPPR!$A:$A,0),6)),$C151*INDEX(SPPR!$E:$X,MATCH($A151,SPPR!$A:$A,0),6),""),"")</f>
        <v/>
      </c>
      <c r="J151">
        <f>IFERROR(IF(ISNUMBER(INDEX(SPPR!$E:$X,MATCH($A151,SPPR!$A:$A,0),7)),$C151*INDEX(SPPR!$E:$X,MATCH($A151,SPPR!$A:$A,0),7),""),"")</f>
        <v/>
      </c>
      <c r="K151">
        <f>IFERROR(IF(ISNUMBER(INDEX(SPPR!$E:$X,MATCH($A151,SPPR!$A:$A,0),8)),$C151*INDEX(SPPR!$E:$X,MATCH($A151,SPPR!$A:$A,0),8),""),"")</f>
        <v/>
      </c>
      <c r="L151">
        <f>IFERROR(IF(ISNUMBER(INDEX(SPPR!$E:$X,MATCH($A151,SPPR!$A:$A,0),9)),$C151*INDEX(SPPR!$E:$X,MATCH($A151,SPPR!$A:$A,0),9),""),"")</f>
        <v/>
      </c>
      <c r="M151">
        <f>IFERROR(IF(ISNUMBER(INDEX(SPPR!$E:$X,MATCH($A151,SPPR!$A:$A,0),10)),$C151*INDEX(SPPR!$E:$X,MATCH($A151,SPPR!$A:$A,0),10),""),"")</f>
        <v/>
      </c>
      <c r="N151">
        <f>IFERROR(IF(ISNUMBER(INDEX(SPPR!$E:$X,MATCH($A151,SPPR!$A:$A,0),11)),$C151*INDEX(SPPR!$E:$X,MATCH($A151,SPPR!$A:$A,0),11),""),"")</f>
        <v/>
      </c>
      <c r="O151">
        <f>IFERROR(IF(ISNUMBER(INDEX(SPPR!$E:$X,MATCH($A151,SPPR!$A:$A,0),12)),$C151*INDEX(SPPR!$E:$X,MATCH($A151,SPPR!$A:$A,0),12),""),"")</f>
        <v/>
      </c>
      <c r="P151">
        <f>IFERROR(IF(ISNUMBER(INDEX(SPPR!$E:$X,MATCH($A151,SPPR!$A:$A,0),13)),$C151*INDEX(SPPR!$E:$X,MATCH($A151,SPPR!$A:$A,0),13),""),"")</f>
        <v/>
      </c>
      <c r="Q151">
        <f>IFERROR(IF(ISNUMBER(INDEX(SPPR!$E:$X,MATCH($A151,SPPR!$A:$A,0),14)),$C151*INDEX(SPPR!$E:$X,MATCH($A151,SPPR!$A:$A,0),14),""),"")</f>
        <v/>
      </c>
      <c r="R151">
        <f>IFERROR(IF(ISNUMBER(INDEX(SPPR!$E:$X,MATCH($A151,SPPR!$A:$A,0),15)),$C151*INDEX(SPPR!$E:$X,MATCH($A151,SPPR!$A:$A,0),15),""),"")</f>
        <v/>
      </c>
      <c r="S151">
        <f>IFERROR(IF(ISNUMBER(INDEX(SPPR!$E:$X,MATCH($A151,SPPR!$A:$A,0),16)),$C151*INDEX(SPPR!$E:$X,MATCH($A151,SPPR!$A:$A,0),16),""),"")</f>
        <v/>
      </c>
      <c r="T151">
        <f>IFERROR(IF(ISNUMBER(INDEX(SPPR!$E:$X,MATCH($A151,SPPR!$A:$A,0),17)),$C151*INDEX(SPPR!$E:$X,MATCH($A151,SPPR!$A:$A,0),17),""),"")</f>
        <v/>
      </c>
      <c r="U151">
        <f>IFERROR(IF(ISNUMBER(INDEX(SPPR!$E:$X,MATCH($A151,SPPR!$A:$A,0),18)),$C151*INDEX(SPPR!$E:$X,MATCH($A151,SPPR!$A:$A,0),18),""),"")</f>
        <v/>
      </c>
      <c r="V151">
        <f>IFERROR(IF(ISNUMBER(INDEX(SPPR!$E:$X,MATCH($A151,SPPR!$A:$A,0),19)),$C151*INDEX(SPPR!$E:$X,MATCH($A151,SPPR!$A:$A,0),19),""),"")</f>
        <v/>
      </c>
      <c r="W151">
        <f>IFERROR(IF(ISNUMBER(INDEX(SPPR!$E:$X,MATCH($A151,SPPR!$A:$A,0),20)),$C151*INDEX(SPPR!$E:$X,MATCH($A151,SPPR!$A:$A,0),20),""),"")</f>
        <v/>
      </c>
    </row>
    <row r="152">
      <c r="A152" t="inlineStr">
        <is>
          <t>Cardiidae</t>
        </is>
      </c>
      <c r="B152">
        <f>IFERROR(INDEX(SPPR!$D:$D,MATCH($A152,SPPR!$A:$A,0)),"")</f>
        <v/>
      </c>
      <c r="C152">
        <f>IFERROR(INDEX(Catch!$E:$BV,MATCH($A152,Catch!$A:$A,0),MATCH($B$4,Catch!$E$1:$BV$1,0)),0)</f>
        <v/>
      </c>
      <c r="D152">
        <f>IFERROR(IF(ISNUMBER(INDEX(SPPR!$E:$X,MATCH($A152,SPPR!$A:$A,0),1)),$C152*INDEX(SPPR!$E:$X,MATCH($A152,SPPR!$A:$A,0),1),""),"")</f>
        <v/>
      </c>
      <c r="E152">
        <f>IFERROR(IF(ISNUMBER(INDEX(SPPR!$E:$X,MATCH($A152,SPPR!$A:$A,0),2)),$C152*INDEX(SPPR!$E:$X,MATCH($A152,SPPR!$A:$A,0),2),""),"")</f>
        <v/>
      </c>
      <c r="F152">
        <f>IFERROR(IF(ISNUMBER(INDEX(SPPR!$E:$X,MATCH($A152,SPPR!$A:$A,0),3)),$C152*INDEX(SPPR!$E:$X,MATCH($A152,SPPR!$A:$A,0),3),""),"")</f>
        <v/>
      </c>
      <c r="G152">
        <f>IFERROR(IF(ISNUMBER(INDEX(SPPR!$E:$X,MATCH($A152,SPPR!$A:$A,0),4)),$C152*INDEX(SPPR!$E:$X,MATCH($A152,SPPR!$A:$A,0),4),""),"")</f>
        <v/>
      </c>
      <c r="H152">
        <f>IFERROR(IF(ISNUMBER(INDEX(SPPR!$E:$X,MATCH($A152,SPPR!$A:$A,0),5)),$C152*INDEX(SPPR!$E:$X,MATCH($A152,SPPR!$A:$A,0),5),""),"")</f>
        <v/>
      </c>
      <c r="I152">
        <f>IFERROR(IF(ISNUMBER(INDEX(SPPR!$E:$X,MATCH($A152,SPPR!$A:$A,0),6)),$C152*INDEX(SPPR!$E:$X,MATCH($A152,SPPR!$A:$A,0),6),""),"")</f>
        <v/>
      </c>
      <c r="J152">
        <f>IFERROR(IF(ISNUMBER(INDEX(SPPR!$E:$X,MATCH($A152,SPPR!$A:$A,0),7)),$C152*INDEX(SPPR!$E:$X,MATCH($A152,SPPR!$A:$A,0),7),""),"")</f>
        <v/>
      </c>
      <c r="K152">
        <f>IFERROR(IF(ISNUMBER(INDEX(SPPR!$E:$X,MATCH($A152,SPPR!$A:$A,0),8)),$C152*INDEX(SPPR!$E:$X,MATCH($A152,SPPR!$A:$A,0),8),""),"")</f>
        <v/>
      </c>
      <c r="L152">
        <f>IFERROR(IF(ISNUMBER(INDEX(SPPR!$E:$X,MATCH($A152,SPPR!$A:$A,0),9)),$C152*INDEX(SPPR!$E:$X,MATCH($A152,SPPR!$A:$A,0),9),""),"")</f>
        <v/>
      </c>
      <c r="M152">
        <f>IFERROR(IF(ISNUMBER(INDEX(SPPR!$E:$X,MATCH($A152,SPPR!$A:$A,0),10)),$C152*INDEX(SPPR!$E:$X,MATCH($A152,SPPR!$A:$A,0),10),""),"")</f>
        <v/>
      </c>
      <c r="N152">
        <f>IFERROR(IF(ISNUMBER(INDEX(SPPR!$E:$X,MATCH($A152,SPPR!$A:$A,0),11)),$C152*INDEX(SPPR!$E:$X,MATCH($A152,SPPR!$A:$A,0),11),""),"")</f>
        <v/>
      </c>
      <c r="O152">
        <f>IFERROR(IF(ISNUMBER(INDEX(SPPR!$E:$X,MATCH($A152,SPPR!$A:$A,0),12)),$C152*INDEX(SPPR!$E:$X,MATCH($A152,SPPR!$A:$A,0),12),""),"")</f>
        <v/>
      </c>
      <c r="P152">
        <f>IFERROR(IF(ISNUMBER(INDEX(SPPR!$E:$X,MATCH($A152,SPPR!$A:$A,0),13)),$C152*INDEX(SPPR!$E:$X,MATCH($A152,SPPR!$A:$A,0),13),""),"")</f>
        <v/>
      </c>
      <c r="Q152">
        <f>IFERROR(IF(ISNUMBER(INDEX(SPPR!$E:$X,MATCH($A152,SPPR!$A:$A,0),14)),$C152*INDEX(SPPR!$E:$X,MATCH($A152,SPPR!$A:$A,0),14),""),"")</f>
        <v/>
      </c>
      <c r="R152">
        <f>IFERROR(IF(ISNUMBER(INDEX(SPPR!$E:$X,MATCH($A152,SPPR!$A:$A,0),15)),$C152*INDEX(SPPR!$E:$X,MATCH($A152,SPPR!$A:$A,0),15),""),"")</f>
        <v/>
      </c>
      <c r="S152">
        <f>IFERROR(IF(ISNUMBER(INDEX(SPPR!$E:$X,MATCH($A152,SPPR!$A:$A,0),16)),$C152*INDEX(SPPR!$E:$X,MATCH($A152,SPPR!$A:$A,0),16),""),"")</f>
        <v/>
      </c>
      <c r="T152">
        <f>IFERROR(IF(ISNUMBER(INDEX(SPPR!$E:$X,MATCH($A152,SPPR!$A:$A,0),17)),$C152*INDEX(SPPR!$E:$X,MATCH($A152,SPPR!$A:$A,0),17),""),"")</f>
        <v/>
      </c>
      <c r="U152">
        <f>IFERROR(IF(ISNUMBER(INDEX(SPPR!$E:$X,MATCH($A152,SPPR!$A:$A,0),18)),$C152*INDEX(SPPR!$E:$X,MATCH($A152,SPPR!$A:$A,0),18),""),"")</f>
        <v/>
      </c>
      <c r="V152">
        <f>IFERROR(IF(ISNUMBER(INDEX(SPPR!$E:$X,MATCH($A152,SPPR!$A:$A,0),19)),$C152*INDEX(SPPR!$E:$X,MATCH($A152,SPPR!$A:$A,0),19),""),"")</f>
        <v/>
      </c>
      <c r="W152">
        <f>IFERROR(IF(ISNUMBER(INDEX(SPPR!$E:$X,MATCH($A152,SPPR!$A:$A,0),20)),$C152*INDEX(SPPR!$E:$X,MATCH($A152,SPPR!$A:$A,0),20),""),"")</f>
        <v/>
      </c>
    </row>
    <row r="153">
      <c r="A153" t="inlineStr">
        <is>
          <t>Sepiidae</t>
        </is>
      </c>
      <c r="B153">
        <f>IFERROR(INDEX(SPPR!$D:$D,MATCH($A153,SPPR!$A:$A,0)),"")</f>
        <v/>
      </c>
      <c r="C153">
        <f>IFERROR(INDEX(Catch!$E:$BV,MATCH($A153,Catch!$A:$A,0),MATCH($B$4,Catch!$E$1:$BV$1,0)),0)</f>
        <v/>
      </c>
      <c r="D153">
        <f>IFERROR(IF(ISNUMBER(INDEX(SPPR!$E:$X,MATCH($A153,SPPR!$A:$A,0),1)),$C153*INDEX(SPPR!$E:$X,MATCH($A153,SPPR!$A:$A,0),1),""),"")</f>
        <v/>
      </c>
      <c r="E153">
        <f>IFERROR(IF(ISNUMBER(INDEX(SPPR!$E:$X,MATCH($A153,SPPR!$A:$A,0),2)),$C153*INDEX(SPPR!$E:$X,MATCH($A153,SPPR!$A:$A,0),2),""),"")</f>
        <v/>
      </c>
      <c r="F153">
        <f>IFERROR(IF(ISNUMBER(INDEX(SPPR!$E:$X,MATCH($A153,SPPR!$A:$A,0),3)),$C153*INDEX(SPPR!$E:$X,MATCH($A153,SPPR!$A:$A,0),3),""),"")</f>
        <v/>
      </c>
      <c r="G153">
        <f>IFERROR(IF(ISNUMBER(INDEX(SPPR!$E:$X,MATCH($A153,SPPR!$A:$A,0),4)),$C153*INDEX(SPPR!$E:$X,MATCH($A153,SPPR!$A:$A,0),4),""),"")</f>
        <v/>
      </c>
      <c r="H153">
        <f>IFERROR(IF(ISNUMBER(INDEX(SPPR!$E:$X,MATCH($A153,SPPR!$A:$A,0),5)),$C153*INDEX(SPPR!$E:$X,MATCH($A153,SPPR!$A:$A,0),5),""),"")</f>
        <v/>
      </c>
      <c r="I153">
        <f>IFERROR(IF(ISNUMBER(INDEX(SPPR!$E:$X,MATCH($A153,SPPR!$A:$A,0),6)),$C153*INDEX(SPPR!$E:$X,MATCH($A153,SPPR!$A:$A,0),6),""),"")</f>
        <v/>
      </c>
      <c r="J153">
        <f>IFERROR(IF(ISNUMBER(INDEX(SPPR!$E:$X,MATCH($A153,SPPR!$A:$A,0),7)),$C153*INDEX(SPPR!$E:$X,MATCH($A153,SPPR!$A:$A,0),7),""),"")</f>
        <v/>
      </c>
      <c r="K153">
        <f>IFERROR(IF(ISNUMBER(INDEX(SPPR!$E:$X,MATCH($A153,SPPR!$A:$A,0),8)),$C153*INDEX(SPPR!$E:$X,MATCH($A153,SPPR!$A:$A,0),8),""),"")</f>
        <v/>
      </c>
      <c r="L153">
        <f>IFERROR(IF(ISNUMBER(INDEX(SPPR!$E:$X,MATCH($A153,SPPR!$A:$A,0),9)),$C153*INDEX(SPPR!$E:$X,MATCH($A153,SPPR!$A:$A,0),9),""),"")</f>
        <v/>
      </c>
      <c r="M153">
        <f>IFERROR(IF(ISNUMBER(INDEX(SPPR!$E:$X,MATCH($A153,SPPR!$A:$A,0),10)),$C153*INDEX(SPPR!$E:$X,MATCH($A153,SPPR!$A:$A,0),10),""),"")</f>
        <v/>
      </c>
      <c r="N153">
        <f>IFERROR(IF(ISNUMBER(INDEX(SPPR!$E:$X,MATCH($A153,SPPR!$A:$A,0),11)),$C153*INDEX(SPPR!$E:$X,MATCH($A153,SPPR!$A:$A,0),11),""),"")</f>
        <v/>
      </c>
      <c r="O153">
        <f>IFERROR(IF(ISNUMBER(INDEX(SPPR!$E:$X,MATCH($A153,SPPR!$A:$A,0),12)),$C153*INDEX(SPPR!$E:$X,MATCH($A153,SPPR!$A:$A,0),12),""),"")</f>
        <v/>
      </c>
      <c r="P153">
        <f>IFERROR(IF(ISNUMBER(INDEX(SPPR!$E:$X,MATCH($A153,SPPR!$A:$A,0),13)),$C153*INDEX(SPPR!$E:$X,MATCH($A153,SPPR!$A:$A,0),13),""),"")</f>
        <v/>
      </c>
      <c r="Q153">
        <f>IFERROR(IF(ISNUMBER(INDEX(SPPR!$E:$X,MATCH($A153,SPPR!$A:$A,0),14)),$C153*INDEX(SPPR!$E:$X,MATCH($A153,SPPR!$A:$A,0),14),""),"")</f>
        <v/>
      </c>
      <c r="R153">
        <f>IFERROR(IF(ISNUMBER(INDEX(SPPR!$E:$X,MATCH($A153,SPPR!$A:$A,0),15)),$C153*INDEX(SPPR!$E:$X,MATCH($A153,SPPR!$A:$A,0),15),""),"")</f>
        <v/>
      </c>
      <c r="S153">
        <f>IFERROR(IF(ISNUMBER(INDEX(SPPR!$E:$X,MATCH($A153,SPPR!$A:$A,0),16)),$C153*INDEX(SPPR!$E:$X,MATCH($A153,SPPR!$A:$A,0),16),""),"")</f>
        <v/>
      </c>
      <c r="T153">
        <f>IFERROR(IF(ISNUMBER(INDEX(SPPR!$E:$X,MATCH($A153,SPPR!$A:$A,0),17)),$C153*INDEX(SPPR!$E:$X,MATCH($A153,SPPR!$A:$A,0),17),""),"")</f>
        <v/>
      </c>
      <c r="U153">
        <f>IFERROR(IF(ISNUMBER(INDEX(SPPR!$E:$X,MATCH($A153,SPPR!$A:$A,0),18)),$C153*INDEX(SPPR!$E:$X,MATCH($A153,SPPR!$A:$A,0),18),""),"")</f>
        <v/>
      </c>
      <c r="V153">
        <f>IFERROR(IF(ISNUMBER(INDEX(SPPR!$E:$X,MATCH($A153,SPPR!$A:$A,0),19)),$C153*INDEX(SPPR!$E:$X,MATCH($A153,SPPR!$A:$A,0),19),""),"")</f>
        <v/>
      </c>
      <c r="W153">
        <f>IFERROR(IF(ISNUMBER(INDEX(SPPR!$E:$X,MATCH($A153,SPPR!$A:$A,0),20)),$C153*INDEX(SPPR!$E:$X,MATCH($A153,SPPR!$A:$A,0),20),""),"")</f>
        <v/>
      </c>
    </row>
    <row r="154">
      <c r="A154" t="inlineStr">
        <is>
          <t>Palaemon serratus</t>
        </is>
      </c>
      <c r="B154">
        <f>IFERROR(INDEX(SPPR!$D:$D,MATCH($A154,SPPR!$A:$A,0)),"")</f>
        <v/>
      </c>
      <c r="C154">
        <f>IFERROR(INDEX(Catch!$E:$BV,MATCH($A154,Catch!$A:$A,0),MATCH($B$4,Catch!$E$1:$BV$1,0)),0)</f>
        <v/>
      </c>
      <c r="D154">
        <f>IFERROR(IF(ISNUMBER(INDEX(SPPR!$E:$X,MATCH($A154,SPPR!$A:$A,0),1)),$C154*INDEX(SPPR!$E:$X,MATCH($A154,SPPR!$A:$A,0),1),""),"")</f>
        <v/>
      </c>
      <c r="E154">
        <f>IFERROR(IF(ISNUMBER(INDEX(SPPR!$E:$X,MATCH($A154,SPPR!$A:$A,0),2)),$C154*INDEX(SPPR!$E:$X,MATCH($A154,SPPR!$A:$A,0),2),""),"")</f>
        <v/>
      </c>
      <c r="F154">
        <f>IFERROR(IF(ISNUMBER(INDEX(SPPR!$E:$X,MATCH($A154,SPPR!$A:$A,0),3)),$C154*INDEX(SPPR!$E:$X,MATCH($A154,SPPR!$A:$A,0),3),""),"")</f>
        <v/>
      </c>
      <c r="G154">
        <f>IFERROR(IF(ISNUMBER(INDEX(SPPR!$E:$X,MATCH($A154,SPPR!$A:$A,0),4)),$C154*INDEX(SPPR!$E:$X,MATCH($A154,SPPR!$A:$A,0),4),""),"")</f>
        <v/>
      </c>
      <c r="H154">
        <f>IFERROR(IF(ISNUMBER(INDEX(SPPR!$E:$X,MATCH($A154,SPPR!$A:$A,0),5)),$C154*INDEX(SPPR!$E:$X,MATCH($A154,SPPR!$A:$A,0),5),""),"")</f>
        <v/>
      </c>
      <c r="I154">
        <f>IFERROR(IF(ISNUMBER(INDEX(SPPR!$E:$X,MATCH($A154,SPPR!$A:$A,0),6)),$C154*INDEX(SPPR!$E:$X,MATCH($A154,SPPR!$A:$A,0),6),""),"")</f>
        <v/>
      </c>
      <c r="J154">
        <f>IFERROR(IF(ISNUMBER(INDEX(SPPR!$E:$X,MATCH($A154,SPPR!$A:$A,0),7)),$C154*INDEX(SPPR!$E:$X,MATCH($A154,SPPR!$A:$A,0),7),""),"")</f>
        <v/>
      </c>
      <c r="K154">
        <f>IFERROR(IF(ISNUMBER(INDEX(SPPR!$E:$X,MATCH($A154,SPPR!$A:$A,0),8)),$C154*INDEX(SPPR!$E:$X,MATCH($A154,SPPR!$A:$A,0),8),""),"")</f>
        <v/>
      </c>
      <c r="L154">
        <f>IFERROR(IF(ISNUMBER(INDEX(SPPR!$E:$X,MATCH($A154,SPPR!$A:$A,0),9)),$C154*INDEX(SPPR!$E:$X,MATCH($A154,SPPR!$A:$A,0),9),""),"")</f>
        <v/>
      </c>
      <c r="M154">
        <f>IFERROR(IF(ISNUMBER(INDEX(SPPR!$E:$X,MATCH($A154,SPPR!$A:$A,0),10)),$C154*INDEX(SPPR!$E:$X,MATCH($A154,SPPR!$A:$A,0),10),""),"")</f>
        <v/>
      </c>
      <c r="N154">
        <f>IFERROR(IF(ISNUMBER(INDEX(SPPR!$E:$X,MATCH($A154,SPPR!$A:$A,0),11)),$C154*INDEX(SPPR!$E:$X,MATCH($A154,SPPR!$A:$A,0),11),""),"")</f>
        <v/>
      </c>
      <c r="O154">
        <f>IFERROR(IF(ISNUMBER(INDEX(SPPR!$E:$X,MATCH($A154,SPPR!$A:$A,0),12)),$C154*INDEX(SPPR!$E:$X,MATCH($A154,SPPR!$A:$A,0),12),""),"")</f>
        <v/>
      </c>
      <c r="P154">
        <f>IFERROR(IF(ISNUMBER(INDEX(SPPR!$E:$X,MATCH($A154,SPPR!$A:$A,0),13)),$C154*INDEX(SPPR!$E:$X,MATCH($A154,SPPR!$A:$A,0),13),""),"")</f>
        <v/>
      </c>
      <c r="Q154">
        <f>IFERROR(IF(ISNUMBER(INDEX(SPPR!$E:$X,MATCH($A154,SPPR!$A:$A,0),14)),$C154*INDEX(SPPR!$E:$X,MATCH($A154,SPPR!$A:$A,0),14),""),"")</f>
        <v/>
      </c>
      <c r="R154">
        <f>IFERROR(IF(ISNUMBER(INDEX(SPPR!$E:$X,MATCH($A154,SPPR!$A:$A,0),15)),$C154*INDEX(SPPR!$E:$X,MATCH($A154,SPPR!$A:$A,0),15),""),"")</f>
        <v/>
      </c>
      <c r="S154">
        <f>IFERROR(IF(ISNUMBER(INDEX(SPPR!$E:$X,MATCH($A154,SPPR!$A:$A,0),16)),$C154*INDEX(SPPR!$E:$X,MATCH($A154,SPPR!$A:$A,0),16),""),"")</f>
        <v/>
      </c>
      <c r="T154">
        <f>IFERROR(IF(ISNUMBER(INDEX(SPPR!$E:$X,MATCH($A154,SPPR!$A:$A,0),17)),$C154*INDEX(SPPR!$E:$X,MATCH($A154,SPPR!$A:$A,0),17),""),"")</f>
        <v/>
      </c>
      <c r="U154">
        <f>IFERROR(IF(ISNUMBER(INDEX(SPPR!$E:$X,MATCH($A154,SPPR!$A:$A,0),18)),$C154*INDEX(SPPR!$E:$X,MATCH($A154,SPPR!$A:$A,0),18),""),"")</f>
        <v/>
      </c>
      <c r="V154">
        <f>IFERROR(IF(ISNUMBER(INDEX(SPPR!$E:$X,MATCH($A154,SPPR!$A:$A,0),19)),$C154*INDEX(SPPR!$E:$X,MATCH($A154,SPPR!$A:$A,0),19),""),"")</f>
        <v/>
      </c>
      <c r="W154">
        <f>IFERROR(IF(ISNUMBER(INDEX(SPPR!$E:$X,MATCH($A154,SPPR!$A:$A,0),20)),$C154*INDEX(SPPR!$E:$X,MATCH($A154,SPPR!$A:$A,0),20),""),"")</f>
        <v/>
      </c>
    </row>
    <row r="155">
      <c r="A155" t="inlineStr">
        <is>
          <t>Mugilidae</t>
        </is>
      </c>
      <c r="B155">
        <f>IFERROR(INDEX(SPPR!$D:$D,MATCH($A155,SPPR!$A:$A,0)),"")</f>
        <v/>
      </c>
      <c r="C155">
        <f>IFERROR(INDEX(Catch!$E:$BV,MATCH($A155,Catch!$A:$A,0),MATCH($B$4,Catch!$E$1:$BV$1,0)),0)</f>
        <v/>
      </c>
      <c r="D155">
        <f>IFERROR(IF(ISNUMBER(INDEX(SPPR!$E:$X,MATCH($A155,SPPR!$A:$A,0),1)),$C155*INDEX(SPPR!$E:$X,MATCH($A155,SPPR!$A:$A,0),1),""),"")</f>
        <v/>
      </c>
      <c r="E155">
        <f>IFERROR(IF(ISNUMBER(INDEX(SPPR!$E:$X,MATCH($A155,SPPR!$A:$A,0),2)),$C155*INDEX(SPPR!$E:$X,MATCH($A155,SPPR!$A:$A,0),2),""),"")</f>
        <v/>
      </c>
      <c r="F155">
        <f>IFERROR(IF(ISNUMBER(INDEX(SPPR!$E:$X,MATCH($A155,SPPR!$A:$A,0),3)),$C155*INDEX(SPPR!$E:$X,MATCH($A155,SPPR!$A:$A,0),3),""),"")</f>
        <v/>
      </c>
      <c r="G155">
        <f>IFERROR(IF(ISNUMBER(INDEX(SPPR!$E:$X,MATCH($A155,SPPR!$A:$A,0),4)),$C155*INDEX(SPPR!$E:$X,MATCH($A155,SPPR!$A:$A,0),4),""),"")</f>
        <v/>
      </c>
      <c r="H155">
        <f>IFERROR(IF(ISNUMBER(INDEX(SPPR!$E:$X,MATCH($A155,SPPR!$A:$A,0),5)),$C155*INDEX(SPPR!$E:$X,MATCH($A155,SPPR!$A:$A,0),5),""),"")</f>
        <v/>
      </c>
      <c r="I155">
        <f>IFERROR(IF(ISNUMBER(INDEX(SPPR!$E:$X,MATCH($A155,SPPR!$A:$A,0),6)),$C155*INDEX(SPPR!$E:$X,MATCH($A155,SPPR!$A:$A,0),6),""),"")</f>
        <v/>
      </c>
      <c r="J155">
        <f>IFERROR(IF(ISNUMBER(INDEX(SPPR!$E:$X,MATCH($A155,SPPR!$A:$A,0),7)),$C155*INDEX(SPPR!$E:$X,MATCH($A155,SPPR!$A:$A,0),7),""),"")</f>
        <v/>
      </c>
      <c r="K155">
        <f>IFERROR(IF(ISNUMBER(INDEX(SPPR!$E:$X,MATCH($A155,SPPR!$A:$A,0),8)),$C155*INDEX(SPPR!$E:$X,MATCH($A155,SPPR!$A:$A,0),8),""),"")</f>
        <v/>
      </c>
      <c r="L155">
        <f>IFERROR(IF(ISNUMBER(INDEX(SPPR!$E:$X,MATCH($A155,SPPR!$A:$A,0),9)),$C155*INDEX(SPPR!$E:$X,MATCH($A155,SPPR!$A:$A,0),9),""),"")</f>
        <v/>
      </c>
      <c r="M155">
        <f>IFERROR(IF(ISNUMBER(INDEX(SPPR!$E:$X,MATCH($A155,SPPR!$A:$A,0),10)),$C155*INDEX(SPPR!$E:$X,MATCH($A155,SPPR!$A:$A,0),10),""),"")</f>
        <v/>
      </c>
      <c r="N155">
        <f>IFERROR(IF(ISNUMBER(INDEX(SPPR!$E:$X,MATCH($A155,SPPR!$A:$A,0),11)),$C155*INDEX(SPPR!$E:$X,MATCH($A155,SPPR!$A:$A,0),11),""),"")</f>
        <v/>
      </c>
      <c r="O155">
        <f>IFERROR(IF(ISNUMBER(INDEX(SPPR!$E:$X,MATCH($A155,SPPR!$A:$A,0),12)),$C155*INDEX(SPPR!$E:$X,MATCH($A155,SPPR!$A:$A,0),12),""),"")</f>
        <v/>
      </c>
      <c r="P155">
        <f>IFERROR(IF(ISNUMBER(INDEX(SPPR!$E:$X,MATCH($A155,SPPR!$A:$A,0),13)),$C155*INDEX(SPPR!$E:$X,MATCH($A155,SPPR!$A:$A,0),13),""),"")</f>
        <v/>
      </c>
      <c r="Q155">
        <f>IFERROR(IF(ISNUMBER(INDEX(SPPR!$E:$X,MATCH($A155,SPPR!$A:$A,0),14)),$C155*INDEX(SPPR!$E:$X,MATCH($A155,SPPR!$A:$A,0),14),""),"")</f>
        <v/>
      </c>
      <c r="R155">
        <f>IFERROR(IF(ISNUMBER(INDEX(SPPR!$E:$X,MATCH($A155,SPPR!$A:$A,0),15)),$C155*INDEX(SPPR!$E:$X,MATCH($A155,SPPR!$A:$A,0),15),""),"")</f>
        <v/>
      </c>
      <c r="S155">
        <f>IFERROR(IF(ISNUMBER(INDEX(SPPR!$E:$X,MATCH($A155,SPPR!$A:$A,0),16)),$C155*INDEX(SPPR!$E:$X,MATCH($A155,SPPR!$A:$A,0),16),""),"")</f>
        <v/>
      </c>
      <c r="T155">
        <f>IFERROR(IF(ISNUMBER(INDEX(SPPR!$E:$X,MATCH($A155,SPPR!$A:$A,0),17)),$C155*INDEX(SPPR!$E:$X,MATCH($A155,SPPR!$A:$A,0),17),""),"")</f>
        <v/>
      </c>
      <c r="U155">
        <f>IFERROR(IF(ISNUMBER(INDEX(SPPR!$E:$X,MATCH($A155,SPPR!$A:$A,0),18)),$C155*INDEX(SPPR!$E:$X,MATCH($A155,SPPR!$A:$A,0),18),""),"")</f>
        <v/>
      </c>
      <c r="V155">
        <f>IFERROR(IF(ISNUMBER(INDEX(SPPR!$E:$X,MATCH($A155,SPPR!$A:$A,0),19)),$C155*INDEX(SPPR!$E:$X,MATCH($A155,SPPR!$A:$A,0),19),""),"")</f>
        <v/>
      </c>
      <c r="W155">
        <f>IFERROR(IF(ISNUMBER(INDEX(SPPR!$E:$X,MATCH($A155,SPPR!$A:$A,0),20)),$C155*INDEX(SPPR!$E:$X,MATCH($A155,SPPR!$A:$A,0),20),""),"")</f>
        <v/>
      </c>
    </row>
    <row r="156">
      <c r="A156" t="inlineStr">
        <is>
          <t>Mullus surmuletus</t>
        </is>
      </c>
      <c r="B156">
        <f>IFERROR(INDEX(SPPR!$D:$D,MATCH($A156,SPPR!$A:$A,0)),"")</f>
        <v/>
      </c>
      <c r="C156">
        <f>IFERROR(INDEX(Catch!$E:$BV,MATCH($A156,Catch!$A:$A,0),MATCH($B$4,Catch!$E$1:$BV$1,0)),0)</f>
        <v/>
      </c>
      <c r="D156">
        <f>IFERROR(IF(ISNUMBER(INDEX(SPPR!$E:$X,MATCH($A156,SPPR!$A:$A,0),1)),$C156*INDEX(SPPR!$E:$X,MATCH($A156,SPPR!$A:$A,0),1),""),"")</f>
        <v/>
      </c>
      <c r="E156">
        <f>IFERROR(IF(ISNUMBER(INDEX(SPPR!$E:$X,MATCH($A156,SPPR!$A:$A,0),2)),$C156*INDEX(SPPR!$E:$X,MATCH($A156,SPPR!$A:$A,0),2),""),"")</f>
        <v/>
      </c>
      <c r="F156">
        <f>IFERROR(IF(ISNUMBER(INDEX(SPPR!$E:$X,MATCH($A156,SPPR!$A:$A,0),3)),$C156*INDEX(SPPR!$E:$X,MATCH($A156,SPPR!$A:$A,0),3),""),"")</f>
        <v/>
      </c>
      <c r="G156">
        <f>IFERROR(IF(ISNUMBER(INDEX(SPPR!$E:$X,MATCH($A156,SPPR!$A:$A,0),4)),$C156*INDEX(SPPR!$E:$X,MATCH($A156,SPPR!$A:$A,0),4),""),"")</f>
        <v/>
      </c>
      <c r="H156">
        <f>IFERROR(IF(ISNUMBER(INDEX(SPPR!$E:$X,MATCH($A156,SPPR!$A:$A,0),5)),$C156*INDEX(SPPR!$E:$X,MATCH($A156,SPPR!$A:$A,0),5),""),"")</f>
        <v/>
      </c>
      <c r="I156">
        <f>IFERROR(IF(ISNUMBER(INDEX(SPPR!$E:$X,MATCH($A156,SPPR!$A:$A,0),6)),$C156*INDEX(SPPR!$E:$X,MATCH($A156,SPPR!$A:$A,0),6),""),"")</f>
        <v/>
      </c>
      <c r="J156">
        <f>IFERROR(IF(ISNUMBER(INDEX(SPPR!$E:$X,MATCH($A156,SPPR!$A:$A,0),7)),$C156*INDEX(SPPR!$E:$X,MATCH($A156,SPPR!$A:$A,0),7),""),"")</f>
        <v/>
      </c>
      <c r="K156">
        <f>IFERROR(IF(ISNUMBER(INDEX(SPPR!$E:$X,MATCH($A156,SPPR!$A:$A,0),8)),$C156*INDEX(SPPR!$E:$X,MATCH($A156,SPPR!$A:$A,0),8),""),"")</f>
        <v/>
      </c>
      <c r="L156">
        <f>IFERROR(IF(ISNUMBER(INDEX(SPPR!$E:$X,MATCH($A156,SPPR!$A:$A,0),9)),$C156*INDEX(SPPR!$E:$X,MATCH($A156,SPPR!$A:$A,0),9),""),"")</f>
        <v/>
      </c>
      <c r="M156">
        <f>IFERROR(IF(ISNUMBER(INDEX(SPPR!$E:$X,MATCH($A156,SPPR!$A:$A,0),10)),$C156*INDEX(SPPR!$E:$X,MATCH($A156,SPPR!$A:$A,0),10),""),"")</f>
        <v/>
      </c>
      <c r="N156">
        <f>IFERROR(IF(ISNUMBER(INDEX(SPPR!$E:$X,MATCH($A156,SPPR!$A:$A,0),11)),$C156*INDEX(SPPR!$E:$X,MATCH($A156,SPPR!$A:$A,0),11),""),"")</f>
        <v/>
      </c>
      <c r="O156">
        <f>IFERROR(IF(ISNUMBER(INDEX(SPPR!$E:$X,MATCH($A156,SPPR!$A:$A,0),12)),$C156*INDEX(SPPR!$E:$X,MATCH($A156,SPPR!$A:$A,0),12),""),"")</f>
        <v/>
      </c>
      <c r="P156">
        <f>IFERROR(IF(ISNUMBER(INDEX(SPPR!$E:$X,MATCH($A156,SPPR!$A:$A,0),13)),$C156*INDEX(SPPR!$E:$X,MATCH($A156,SPPR!$A:$A,0),13),""),"")</f>
        <v/>
      </c>
      <c r="Q156">
        <f>IFERROR(IF(ISNUMBER(INDEX(SPPR!$E:$X,MATCH($A156,SPPR!$A:$A,0),14)),$C156*INDEX(SPPR!$E:$X,MATCH($A156,SPPR!$A:$A,0),14),""),"")</f>
        <v/>
      </c>
      <c r="R156">
        <f>IFERROR(IF(ISNUMBER(INDEX(SPPR!$E:$X,MATCH($A156,SPPR!$A:$A,0),15)),$C156*INDEX(SPPR!$E:$X,MATCH($A156,SPPR!$A:$A,0),15),""),"")</f>
        <v/>
      </c>
      <c r="S156">
        <f>IFERROR(IF(ISNUMBER(INDEX(SPPR!$E:$X,MATCH($A156,SPPR!$A:$A,0),16)),$C156*INDEX(SPPR!$E:$X,MATCH($A156,SPPR!$A:$A,0),16),""),"")</f>
        <v/>
      </c>
      <c r="T156">
        <f>IFERROR(IF(ISNUMBER(INDEX(SPPR!$E:$X,MATCH($A156,SPPR!$A:$A,0),17)),$C156*INDEX(SPPR!$E:$X,MATCH($A156,SPPR!$A:$A,0),17),""),"")</f>
        <v/>
      </c>
      <c r="U156">
        <f>IFERROR(IF(ISNUMBER(INDEX(SPPR!$E:$X,MATCH($A156,SPPR!$A:$A,0),18)),$C156*INDEX(SPPR!$E:$X,MATCH($A156,SPPR!$A:$A,0),18),""),"")</f>
        <v/>
      </c>
      <c r="V156">
        <f>IFERROR(IF(ISNUMBER(INDEX(SPPR!$E:$X,MATCH($A156,SPPR!$A:$A,0),19)),$C156*INDEX(SPPR!$E:$X,MATCH($A156,SPPR!$A:$A,0),19),""),"")</f>
        <v/>
      </c>
      <c r="W156">
        <f>IFERROR(IF(ISNUMBER(INDEX(SPPR!$E:$X,MATCH($A156,SPPR!$A:$A,0),20)),$C156*INDEX(SPPR!$E:$X,MATCH($A156,SPPR!$A:$A,0),20),""),"")</f>
        <v/>
      </c>
    </row>
    <row r="157">
      <c r="A157" t="inlineStr">
        <is>
          <t>Pandalus</t>
        </is>
      </c>
      <c r="B157">
        <f>IFERROR(INDEX(SPPR!$D:$D,MATCH($A157,SPPR!$A:$A,0)),"")</f>
        <v/>
      </c>
      <c r="C157">
        <f>IFERROR(INDEX(Catch!$E:$BV,MATCH($A157,Catch!$A:$A,0),MATCH($B$4,Catch!$E$1:$BV$1,0)),0)</f>
        <v/>
      </c>
      <c r="D157">
        <f>IFERROR(IF(ISNUMBER(INDEX(SPPR!$E:$X,MATCH($A157,SPPR!$A:$A,0),1)),$C157*INDEX(SPPR!$E:$X,MATCH($A157,SPPR!$A:$A,0),1),""),"")</f>
        <v/>
      </c>
      <c r="E157">
        <f>IFERROR(IF(ISNUMBER(INDEX(SPPR!$E:$X,MATCH($A157,SPPR!$A:$A,0),2)),$C157*INDEX(SPPR!$E:$X,MATCH($A157,SPPR!$A:$A,0),2),""),"")</f>
        <v/>
      </c>
      <c r="F157">
        <f>IFERROR(IF(ISNUMBER(INDEX(SPPR!$E:$X,MATCH($A157,SPPR!$A:$A,0),3)),$C157*INDEX(SPPR!$E:$X,MATCH($A157,SPPR!$A:$A,0),3),""),"")</f>
        <v/>
      </c>
      <c r="G157">
        <f>IFERROR(IF(ISNUMBER(INDEX(SPPR!$E:$X,MATCH($A157,SPPR!$A:$A,0),4)),$C157*INDEX(SPPR!$E:$X,MATCH($A157,SPPR!$A:$A,0),4),""),"")</f>
        <v/>
      </c>
      <c r="H157">
        <f>IFERROR(IF(ISNUMBER(INDEX(SPPR!$E:$X,MATCH($A157,SPPR!$A:$A,0),5)),$C157*INDEX(SPPR!$E:$X,MATCH($A157,SPPR!$A:$A,0),5),""),"")</f>
        <v/>
      </c>
      <c r="I157">
        <f>IFERROR(IF(ISNUMBER(INDEX(SPPR!$E:$X,MATCH($A157,SPPR!$A:$A,0),6)),$C157*INDEX(SPPR!$E:$X,MATCH($A157,SPPR!$A:$A,0),6),""),"")</f>
        <v/>
      </c>
      <c r="J157">
        <f>IFERROR(IF(ISNUMBER(INDEX(SPPR!$E:$X,MATCH($A157,SPPR!$A:$A,0),7)),$C157*INDEX(SPPR!$E:$X,MATCH($A157,SPPR!$A:$A,0),7),""),"")</f>
        <v/>
      </c>
      <c r="K157">
        <f>IFERROR(IF(ISNUMBER(INDEX(SPPR!$E:$X,MATCH($A157,SPPR!$A:$A,0),8)),$C157*INDEX(SPPR!$E:$X,MATCH($A157,SPPR!$A:$A,0),8),""),"")</f>
        <v/>
      </c>
      <c r="L157">
        <f>IFERROR(IF(ISNUMBER(INDEX(SPPR!$E:$X,MATCH($A157,SPPR!$A:$A,0),9)),$C157*INDEX(SPPR!$E:$X,MATCH($A157,SPPR!$A:$A,0),9),""),"")</f>
        <v/>
      </c>
      <c r="M157">
        <f>IFERROR(IF(ISNUMBER(INDEX(SPPR!$E:$X,MATCH($A157,SPPR!$A:$A,0),10)),$C157*INDEX(SPPR!$E:$X,MATCH($A157,SPPR!$A:$A,0),10),""),"")</f>
        <v/>
      </c>
      <c r="N157">
        <f>IFERROR(IF(ISNUMBER(INDEX(SPPR!$E:$X,MATCH($A157,SPPR!$A:$A,0),11)),$C157*INDEX(SPPR!$E:$X,MATCH($A157,SPPR!$A:$A,0),11),""),"")</f>
        <v/>
      </c>
      <c r="O157">
        <f>IFERROR(IF(ISNUMBER(INDEX(SPPR!$E:$X,MATCH($A157,SPPR!$A:$A,0),12)),$C157*INDEX(SPPR!$E:$X,MATCH($A157,SPPR!$A:$A,0),12),""),"")</f>
        <v/>
      </c>
      <c r="P157">
        <f>IFERROR(IF(ISNUMBER(INDEX(SPPR!$E:$X,MATCH($A157,SPPR!$A:$A,0),13)),$C157*INDEX(SPPR!$E:$X,MATCH($A157,SPPR!$A:$A,0),13),""),"")</f>
        <v/>
      </c>
      <c r="Q157">
        <f>IFERROR(IF(ISNUMBER(INDEX(SPPR!$E:$X,MATCH($A157,SPPR!$A:$A,0),14)),$C157*INDEX(SPPR!$E:$X,MATCH($A157,SPPR!$A:$A,0),14),""),"")</f>
        <v/>
      </c>
      <c r="R157">
        <f>IFERROR(IF(ISNUMBER(INDEX(SPPR!$E:$X,MATCH($A157,SPPR!$A:$A,0),15)),$C157*INDEX(SPPR!$E:$X,MATCH($A157,SPPR!$A:$A,0),15),""),"")</f>
        <v/>
      </c>
      <c r="S157">
        <f>IFERROR(IF(ISNUMBER(INDEX(SPPR!$E:$X,MATCH($A157,SPPR!$A:$A,0),16)),$C157*INDEX(SPPR!$E:$X,MATCH($A157,SPPR!$A:$A,0),16),""),"")</f>
        <v/>
      </c>
      <c r="T157">
        <f>IFERROR(IF(ISNUMBER(INDEX(SPPR!$E:$X,MATCH($A157,SPPR!$A:$A,0),17)),$C157*INDEX(SPPR!$E:$X,MATCH($A157,SPPR!$A:$A,0),17),""),"")</f>
        <v/>
      </c>
      <c r="U157">
        <f>IFERROR(IF(ISNUMBER(INDEX(SPPR!$E:$X,MATCH($A157,SPPR!$A:$A,0),18)),$C157*INDEX(SPPR!$E:$X,MATCH($A157,SPPR!$A:$A,0),18),""),"")</f>
        <v/>
      </c>
      <c r="V157">
        <f>IFERROR(IF(ISNUMBER(INDEX(SPPR!$E:$X,MATCH($A157,SPPR!$A:$A,0),19)),$C157*INDEX(SPPR!$E:$X,MATCH($A157,SPPR!$A:$A,0),19),""),"")</f>
        <v/>
      </c>
      <c r="W157">
        <f>IFERROR(IF(ISNUMBER(INDEX(SPPR!$E:$X,MATCH($A157,SPPR!$A:$A,0),20)),$C157*INDEX(SPPR!$E:$X,MATCH($A157,SPPR!$A:$A,0),20),""),"")</f>
        <v/>
      </c>
    </row>
    <row r="158">
      <c r="A158" t="inlineStr">
        <is>
          <t>Gasterosteus aculeatus</t>
        </is>
      </c>
      <c r="B158">
        <f>IFERROR(INDEX(SPPR!$D:$D,MATCH($A158,SPPR!$A:$A,0)),"")</f>
        <v/>
      </c>
      <c r="C158">
        <f>IFERROR(INDEX(Catch!$E:$BV,MATCH($A158,Catch!$A:$A,0),MATCH($B$4,Catch!$E$1:$BV$1,0)),0)</f>
        <v/>
      </c>
      <c r="D158">
        <f>IFERROR(IF(ISNUMBER(INDEX(SPPR!$E:$X,MATCH($A158,SPPR!$A:$A,0),1)),$C158*INDEX(SPPR!$E:$X,MATCH($A158,SPPR!$A:$A,0),1),""),"")</f>
        <v/>
      </c>
      <c r="E158">
        <f>IFERROR(IF(ISNUMBER(INDEX(SPPR!$E:$X,MATCH($A158,SPPR!$A:$A,0),2)),$C158*INDEX(SPPR!$E:$X,MATCH($A158,SPPR!$A:$A,0),2),""),"")</f>
        <v/>
      </c>
      <c r="F158">
        <f>IFERROR(IF(ISNUMBER(INDEX(SPPR!$E:$X,MATCH($A158,SPPR!$A:$A,0),3)),$C158*INDEX(SPPR!$E:$X,MATCH($A158,SPPR!$A:$A,0),3),""),"")</f>
        <v/>
      </c>
      <c r="G158">
        <f>IFERROR(IF(ISNUMBER(INDEX(SPPR!$E:$X,MATCH($A158,SPPR!$A:$A,0),4)),$C158*INDEX(SPPR!$E:$X,MATCH($A158,SPPR!$A:$A,0),4),""),"")</f>
        <v/>
      </c>
      <c r="H158">
        <f>IFERROR(IF(ISNUMBER(INDEX(SPPR!$E:$X,MATCH($A158,SPPR!$A:$A,0),5)),$C158*INDEX(SPPR!$E:$X,MATCH($A158,SPPR!$A:$A,0),5),""),"")</f>
        <v/>
      </c>
      <c r="I158">
        <f>IFERROR(IF(ISNUMBER(INDEX(SPPR!$E:$X,MATCH($A158,SPPR!$A:$A,0),6)),$C158*INDEX(SPPR!$E:$X,MATCH($A158,SPPR!$A:$A,0),6),""),"")</f>
        <v/>
      </c>
      <c r="J158">
        <f>IFERROR(IF(ISNUMBER(INDEX(SPPR!$E:$X,MATCH($A158,SPPR!$A:$A,0),7)),$C158*INDEX(SPPR!$E:$X,MATCH($A158,SPPR!$A:$A,0),7),""),"")</f>
        <v/>
      </c>
      <c r="K158">
        <f>IFERROR(IF(ISNUMBER(INDEX(SPPR!$E:$X,MATCH($A158,SPPR!$A:$A,0),8)),$C158*INDEX(SPPR!$E:$X,MATCH($A158,SPPR!$A:$A,0),8),""),"")</f>
        <v/>
      </c>
      <c r="L158">
        <f>IFERROR(IF(ISNUMBER(INDEX(SPPR!$E:$X,MATCH($A158,SPPR!$A:$A,0),9)),$C158*INDEX(SPPR!$E:$X,MATCH($A158,SPPR!$A:$A,0),9),""),"")</f>
        <v/>
      </c>
      <c r="M158">
        <f>IFERROR(IF(ISNUMBER(INDEX(SPPR!$E:$X,MATCH($A158,SPPR!$A:$A,0),10)),$C158*INDEX(SPPR!$E:$X,MATCH($A158,SPPR!$A:$A,0),10),""),"")</f>
        <v/>
      </c>
      <c r="N158">
        <f>IFERROR(IF(ISNUMBER(INDEX(SPPR!$E:$X,MATCH($A158,SPPR!$A:$A,0),11)),$C158*INDEX(SPPR!$E:$X,MATCH($A158,SPPR!$A:$A,0),11),""),"")</f>
        <v/>
      </c>
      <c r="O158">
        <f>IFERROR(IF(ISNUMBER(INDEX(SPPR!$E:$X,MATCH($A158,SPPR!$A:$A,0),12)),$C158*INDEX(SPPR!$E:$X,MATCH($A158,SPPR!$A:$A,0),12),""),"")</f>
        <v/>
      </c>
      <c r="P158">
        <f>IFERROR(IF(ISNUMBER(INDEX(SPPR!$E:$X,MATCH($A158,SPPR!$A:$A,0),13)),$C158*INDEX(SPPR!$E:$X,MATCH($A158,SPPR!$A:$A,0),13),""),"")</f>
        <v/>
      </c>
      <c r="Q158">
        <f>IFERROR(IF(ISNUMBER(INDEX(SPPR!$E:$X,MATCH($A158,SPPR!$A:$A,0),14)),$C158*INDEX(SPPR!$E:$X,MATCH($A158,SPPR!$A:$A,0),14),""),"")</f>
        <v/>
      </c>
      <c r="R158">
        <f>IFERROR(IF(ISNUMBER(INDEX(SPPR!$E:$X,MATCH($A158,SPPR!$A:$A,0),15)),$C158*INDEX(SPPR!$E:$X,MATCH($A158,SPPR!$A:$A,0),15),""),"")</f>
        <v/>
      </c>
      <c r="S158">
        <f>IFERROR(IF(ISNUMBER(INDEX(SPPR!$E:$X,MATCH($A158,SPPR!$A:$A,0),16)),$C158*INDEX(SPPR!$E:$X,MATCH($A158,SPPR!$A:$A,0),16),""),"")</f>
        <v/>
      </c>
      <c r="T158">
        <f>IFERROR(IF(ISNUMBER(INDEX(SPPR!$E:$X,MATCH($A158,SPPR!$A:$A,0),17)),$C158*INDEX(SPPR!$E:$X,MATCH($A158,SPPR!$A:$A,0),17),""),"")</f>
        <v/>
      </c>
      <c r="U158">
        <f>IFERROR(IF(ISNUMBER(INDEX(SPPR!$E:$X,MATCH($A158,SPPR!$A:$A,0),18)),$C158*INDEX(SPPR!$E:$X,MATCH($A158,SPPR!$A:$A,0),18),""),"")</f>
        <v/>
      </c>
      <c r="V158">
        <f>IFERROR(IF(ISNUMBER(INDEX(SPPR!$E:$X,MATCH($A158,SPPR!$A:$A,0),19)),$C158*INDEX(SPPR!$E:$X,MATCH($A158,SPPR!$A:$A,0),19),""),"")</f>
        <v/>
      </c>
      <c r="W158">
        <f>IFERROR(IF(ISNUMBER(INDEX(SPPR!$E:$X,MATCH($A158,SPPR!$A:$A,0),20)),$C158*INDEX(SPPR!$E:$X,MATCH($A158,SPPR!$A:$A,0),20),""),"")</f>
        <v/>
      </c>
    </row>
    <row r="159">
      <c r="A159" t="inlineStr">
        <is>
          <t>Buccinidae</t>
        </is>
      </c>
      <c r="B159">
        <f>IFERROR(INDEX(SPPR!$D:$D,MATCH($A159,SPPR!$A:$A,0)),"")</f>
        <v/>
      </c>
      <c r="C159">
        <f>IFERROR(INDEX(Catch!$E:$BV,MATCH($A159,Catch!$A:$A,0),MATCH($B$4,Catch!$E$1:$BV$1,0)),0)</f>
        <v/>
      </c>
      <c r="D159">
        <f>IFERROR(IF(ISNUMBER(INDEX(SPPR!$E:$X,MATCH($A159,SPPR!$A:$A,0),1)),$C159*INDEX(SPPR!$E:$X,MATCH($A159,SPPR!$A:$A,0),1),""),"")</f>
        <v/>
      </c>
      <c r="E159">
        <f>IFERROR(IF(ISNUMBER(INDEX(SPPR!$E:$X,MATCH($A159,SPPR!$A:$A,0),2)),$C159*INDEX(SPPR!$E:$X,MATCH($A159,SPPR!$A:$A,0),2),""),"")</f>
        <v/>
      </c>
      <c r="F159">
        <f>IFERROR(IF(ISNUMBER(INDEX(SPPR!$E:$X,MATCH($A159,SPPR!$A:$A,0),3)),$C159*INDEX(SPPR!$E:$X,MATCH($A159,SPPR!$A:$A,0),3),""),"")</f>
        <v/>
      </c>
      <c r="G159">
        <f>IFERROR(IF(ISNUMBER(INDEX(SPPR!$E:$X,MATCH($A159,SPPR!$A:$A,0),4)),$C159*INDEX(SPPR!$E:$X,MATCH($A159,SPPR!$A:$A,0),4),""),"")</f>
        <v/>
      </c>
      <c r="H159">
        <f>IFERROR(IF(ISNUMBER(INDEX(SPPR!$E:$X,MATCH($A159,SPPR!$A:$A,0),5)),$C159*INDEX(SPPR!$E:$X,MATCH($A159,SPPR!$A:$A,0),5),""),"")</f>
        <v/>
      </c>
      <c r="I159">
        <f>IFERROR(IF(ISNUMBER(INDEX(SPPR!$E:$X,MATCH($A159,SPPR!$A:$A,0),6)),$C159*INDEX(SPPR!$E:$X,MATCH($A159,SPPR!$A:$A,0),6),""),"")</f>
        <v/>
      </c>
      <c r="J159">
        <f>IFERROR(IF(ISNUMBER(INDEX(SPPR!$E:$X,MATCH($A159,SPPR!$A:$A,0),7)),$C159*INDEX(SPPR!$E:$X,MATCH($A159,SPPR!$A:$A,0),7),""),"")</f>
        <v/>
      </c>
      <c r="K159">
        <f>IFERROR(IF(ISNUMBER(INDEX(SPPR!$E:$X,MATCH($A159,SPPR!$A:$A,0),8)),$C159*INDEX(SPPR!$E:$X,MATCH($A159,SPPR!$A:$A,0),8),""),"")</f>
        <v/>
      </c>
      <c r="L159">
        <f>IFERROR(IF(ISNUMBER(INDEX(SPPR!$E:$X,MATCH($A159,SPPR!$A:$A,0),9)),$C159*INDEX(SPPR!$E:$X,MATCH($A159,SPPR!$A:$A,0),9),""),"")</f>
        <v/>
      </c>
      <c r="M159">
        <f>IFERROR(IF(ISNUMBER(INDEX(SPPR!$E:$X,MATCH($A159,SPPR!$A:$A,0),10)),$C159*INDEX(SPPR!$E:$X,MATCH($A159,SPPR!$A:$A,0),10),""),"")</f>
        <v/>
      </c>
      <c r="N159">
        <f>IFERROR(IF(ISNUMBER(INDEX(SPPR!$E:$X,MATCH($A159,SPPR!$A:$A,0),11)),$C159*INDEX(SPPR!$E:$X,MATCH($A159,SPPR!$A:$A,0),11),""),"")</f>
        <v/>
      </c>
      <c r="O159">
        <f>IFERROR(IF(ISNUMBER(INDEX(SPPR!$E:$X,MATCH($A159,SPPR!$A:$A,0),12)),$C159*INDEX(SPPR!$E:$X,MATCH($A159,SPPR!$A:$A,0),12),""),"")</f>
        <v/>
      </c>
      <c r="P159">
        <f>IFERROR(IF(ISNUMBER(INDEX(SPPR!$E:$X,MATCH($A159,SPPR!$A:$A,0),13)),$C159*INDEX(SPPR!$E:$X,MATCH($A159,SPPR!$A:$A,0),13),""),"")</f>
        <v/>
      </c>
      <c r="Q159">
        <f>IFERROR(IF(ISNUMBER(INDEX(SPPR!$E:$X,MATCH($A159,SPPR!$A:$A,0),14)),$C159*INDEX(SPPR!$E:$X,MATCH($A159,SPPR!$A:$A,0),14),""),"")</f>
        <v/>
      </c>
      <c r="R159">
        <f>IFERROR(IF(ISNUMBER(INDEX(SPPR!$E:$X,MATCH($A159,SPPR!$A:$A,0),15)),$C159*INDEX(SPPR!$E:$X,MATCH($A159,SPPR!$A:$A,0),15),""),"")</f>
        <v/>
      </c>
      <c r="S159">
        <f>IFERROR(IF(ISNUMBER(INDEX(SPPR!$E:$X,MATCH($A159,SPPR!$A:$A,0),16)),$C159*INDEX(SPPR!$E:$X,MATCH($A159,SPPR!$A:$A,0),16),""),"")</f>
        <v/>
      </c>
      <c r="T159">
        <f>IFERROR(IF(ISNUMBER(INDEX(SPPR!$E:$X,MATCH($A159,SPPR!$A:$A,0),17)),$C159*INDEX(SPPR!$E:$X,MATCH($A159,SPPR!$A:$A,0),17),""),"")</f>
        <v/>
      </c>
      <c r="U159">
        <f>IFERROR(IF(ISNUMBER(INDEX(SPPR!$E:$X,MATCH($A159,SPPR!$A:$A,0),18)),$C159*INDEX(SPPR!$E:$X,MATCH($A159,SPPR!$A:$A,0),18),""),"")</f>
        <v/>
      </c>
      <c r="V159">
        <f>IFERROR(IF(ISNUMBER(INDEX(SPPR!$E:$X,MATCH($A159,SPPR!$A:$A,0),19)),$C159*INDEX(SPPR!$E:$X,MATCH($A159,SPPR!$A:$A,0),19),""),"")</f>
        <v/>
      </c>
      <c r="W159">
        <f>IFERROR(IF(ISNUMBER(INDEX(SPPR!$E:$X,MATCH($A159,SPPR!$A:$A,0),20)),$C159*INDEX(SPPR!$E:$X,MATCH($A159,SPPR!$A:$A,0),20),""),"")</f>
        <v/>
      </c>
    </row>
    <row r="160">
      <c r="A160" t="inlineStr">
        <is>
          <t>Mullidae</t>
        </is>
      </c>
      <c r="B160">
        <f>IFERROR(INDEX(SPPR!$D:$D,MATCH($A160,SPPR!$A:$A,0)),"")</f>
        <v/>
      </c>
      <c r="C160">
        <f>IFERROR(INDEX(Catch!$E:$BV,MATCH($A160,Catch!$A:$A,0),MATCH($B$4,Catch!$E$1:$BV$1,0)),0)</f>
        <v/>
      </c>
      <c r="D160">
        <f>IFERROR(IF(ISNUMBER(INDEX(SPPR!$E:$X,MATCH($A160,SPPR!$A:$A,0),1)),$C160*INDEX(SPPR!$E:$X,MATCH($A160,SPPR!$A:$A,0),1),""),"")</f>
        <v/>
      </c>
      <c r="E160">
        <f>IFERROR(IF(ISNUMBER(INDEX(SPPR!$E:$X,MATCH($A160,SPPR!$A:$A,0),2)),$C160*INDEX(SPPR!$E:$X,MATCH($A160,SPPR!$A:$A,0),2),""),"")</f>
        <v/>
      </c>
      <c r="F160">
        <f>IFERROR(IF(ISNUMBER(INDEX(SPPR!$E:$X,MATCH($A160,SPPR!$A:$A,0),3)),$C160*INDEX(SPPR!$E:$X,MATCH($A160,SPPR!$A:$A,0),3),""),"")</f>
        <v/>
      </c>
      <c r="G160">
        <f>IFERROR(IF(ISNUMBER(INDEX(SPPR!$E:$X,MATCH($A160,SPPR!$A:$A,0),4)),$C160*INDEX(SPPR!$E:$X,MATCH($A160,SPPR!$A:$A,0),4),""),"")</f>
        <v/>
      </c>
      <c r="H160">
        <f>IFERROR(IF(ISNUMBER(INDEX(SPPR!$E:$X,MATCH($A160,SPPR!$A:$A,0),5)),$C160*INDEX(SPPR!$E:$X,MATCH($A160,SPPR!$A:$A,0),5),""),"")</f>
        <v/>
      </c>
      <c r="I160">
        <f>IFERROR(IF(ISNUMBER(INDEX(SPPR!$E:$X,MATCH($A160,SPPR!$A:$A,0),6)),$C160*INDEX(SPPR!$E:$X,MATCH($A160,SPPR!$A:$A,0),6),""),"")</f>
        <v/>
      </c>
      <c r="J160">
        <f>IFERROR(IF(ISNUMBER(INDEX(SPPR!$E:$X,MATCH($A160,SPPR!$A:$A,0),7)),$C160*INDEX(SPPR!$E:$X,MATCH($A160,SPPR!$A:$A,0),7),""),"")</f>
        <v/>
      </c>
      <c r="K160">
        <f>IFERROR(IF(ISNUMBER(INDEX(SPPR!$E:$X,MATCH($A160,SPPR!$A:$A,0),8)),$C160*INDEX(SPPR!$E:$X,MATCH($A160,SPPR!$A:$A,0),8),""),"")</f>
        <v/>
      </c>
      <c r="L160">
        <f>IFERROR(IF(ISNUMBER(INDEX(SPPR!$E:$X,MATCH($A160,SPPR!$A:$A,0),9)),$C160*INDEX(SPPR!$E:$X,MATCH($A160,SPPR!$A:$A,0),9),""),"")</f>
        <v/>
      </c>
      <c r="M160">
        <f>IFERROR(IF(ISNUMBER(INDEX(SPPR!$E:$X,MATCH($A160,SPPR!$A:$A,0),10)),$C160*INDEX(SPPR!$E:$X,MATCH($A160,SPPR!$A:$A,0),10),""),"")</f>
        <v/>
      </c>
      <c r="N160">
        <f>IFERROR(IF(ISNUMBER(INDEX(SPPR!$E:$X,MATCH($A160,SPPR!$A:$A,0),11)),$C160*INDEX(SPPR!$E:$X,MATCH($A160,SPPR!$A:$A,0),11),""),"")</f>
        <v/>
      </c>
      <c r="O160">
        <f>IFERROR(IF(ISNUMBER(INDEX(SPPR!$E:$X,MATCH($A160,SPPR!$A:$A,0),12)),$C160*INDEX(SPPR!$E:$X,MATCH($A160,SPPR!$A:$A,0),12),""),"")</f>
        <v/>
      </c>
      <c r="P160">
        <f>IFERROR(IF(ISNUMBER(INDEX(SPPR!$E:$X,MATCH($A160,SPPR!$A:$A,0),13)),$C160*INDEX(SPPR!$E:$X,MATCH($A160,SPPR!$A:$A,0),13),""),"")</f>
        <v/>
      </c>
      <c r="Q160">
        <f>IFERROR(IF(ISNUMBER(INDEX(SPPR!$E:$X,MATCH($A160,SPPR!$A:$A,0),14)),$C160*INDEX(SPPR!$E:$X,MATCH($A160,SPPR!$A:$A,0),14),""),"")</f>
        <v/>
      </c>
      <c r="R160">
        <f>IFERROR(IF(ISNUMBER(INDEX(SPPR!$E:$X,MATCH($A160,SPPR!$A:$A,0),15)),$C160*INDEX(SPPR!$E:$X,MATCH($A160,SPPR!$A:$A,0),15),""),"")</f>
        <v/>
      </c>
      <c r="S160">
        <f>IFERROR(IF(ISNUMBER(INDEX(SPPR!$E:$X,MATCH($A160,SPPR!$A:$A,0),16)),$C160*INDEX(SPPR!$E:$X,MATCH($A160,SPPR!$A:$A,0),16),""),"")</f>
        <v/>
      </c>
      <c r="T160">
        <f>IFERROR(IF(ISNUMBER(INDEX(SPPR!$E:$X,MATCH($A160,SPPR!$A:$A,0),17)),$C160*INDEX(SPPR!$E:$X,MATCH($A160,SPPR!$A:$A,0),17),""),"")</f>
        <v/>
      </c>
      <c r="U160">
        <f>IFERROR(IF(ISNUMBER(INDEX(SPPR!$E:$X,MATCH($A160,SPPR!$A:$A,0),18)),$C160*INDEX(SPPR!$E:$X,MATCH($A160,SPPR!$A:$A,0),18),""),"")</f>
        <v/>
      </c>
      <c r="V160">
        <f>IFERROR(IF(ISNUMBER(INDEX(SPPR!$E:$X,MATCH($A160,SPPR!$A:$A,0),19)),$C160*INDEX(SPPR!$E:$X,MATCH($A160,SPPR!$A:$A,0),19),""),"")</f>
        <v/>
      </c>
      <c r="W160">
        <f>IFERROR(IF(ISNUMBER(INDEX(SPPR!$E:$X,MATCH($A160,SPPR!$A:$A,0),20)),$C160*INDEX(SPPR!$E:$X,MATCH($A160,SPPR!$A:$A,0),20),""),"")</f>
        <v/>
      </c>
    </row>
    <row r="161">
      <c r="A161" t="inlineStr">
        <is>
          <t>Littorina littorea</t>
        </is>
      </c>
      <c r="B161">
        <f>IFERROR(INDEX(SPPR!$D:$D,MATCH($A161,SPPR!$A:$A,0)),"")</f>
        <v/>
      </c>
      <c r="C161">
        <f>IFERROR(INDEX(Catch!$E:$BV,MATCH($A161,Catch!$A:$A,0),MATCH($B$4,Catch!$E$1:$BV$1,0)),0)</f>
        <v/>
      </c>
      <c r="D161">
        <f>IFERROR(IF(ISNUMBER(INDEX(SPPR!$E:$X,MATCH($A161,SPPR!$A:$A,0),1)),$C161*INDEX(SPPR!$E:$X,MATCH($A161,SPPR!$A:$A,0),1),""),"")</f>
        <v/>
      </c>
      <c r="E161">
        <f>IFERROR(IF(ISNUMBER(INDEX(SPPR!$E:$X,MATCH($A161,SPPR!$A:$A,0),2)),$C161*INDEX(SPPR!$E:$X,MATCH($A161,SPPR!$A:$A,0),2),""),"")</f>
        <v/>
      </c>
      <c r="F161">
        <f>IFERROR(IF(ISNUMBER(INDEX(SPPR!$E:$X,MATCH($A161,SPPR!$A:$A,0),3)),$C161*INDEX(SPPR!$E:$X,MATCH($A161,SPPR!$A:$A,0),3),""),"")</f>
        <v/>
      </c>
      <c r="G161">
        <f>IFERROR(IF(ISNUMBER(INDEX(SPPR!$E:$X,MATCH($A161,SPPR!$A:$A,0),4)),$C161*INDEX(SPPR!$E:$X,MATCH($A161,SPPR!$A:$A,0),4),""),"")</f>
        <v/>
      </c>
      <c r="H161">
        <f>IFERROR(IF(ISNUMBER(INDEX(SPPR!$E:$X,MATCH($A161,SPPR!$A:$A,0),5)),$C161*INDEX(SPPR!$E:$X,MATCH($A161,SPPR!$A:$A,0),5),""),"")</f>
        <v/>
      </c>
      <c r="I161">
        <f>IFERROR(IF(ISNUMBER(INDEX(SPPR!$E:$X,MATCH($A161,SPPR!$A:$A,0),6)),$C161*INDEX(SPPR!$E:$X,MATCH($A161,SPPR!$A:$A,0),6),""),"")</f>
        <v/>
      </c>
      <c r="J161">
        <f>IFERROR(IF(ISNUMBER(INDEX(SPPR!$E:$X,MATCH($A161,SPPR!$A:$A,0),7)),$C161*INDEX(SPPR!$E:$X,MATCH($A161,SPPR!$A:$A,0),7),""),"")</f>
        <v/>
      </c>
      <c r="K161">
        <f>IFERROR(IF(ISNUMBER(INDEX(SPPR!$E:$X,MATCH($A161,SPPR!$A:$A,0),8)),$C161*INDEX(SPPR!$E:$X,MATCH($A161,SPPR!$A:$A,0),8),""),"")</f>
        <v/>
      </c>
      <c r="L161">
        <f>IFERROR(IF(ISNUMBER(INDEX(SPPR!$E:$X,MATCH($A161,SPPR!$A:$A,0),9)),$C161*INDEX(SPPR!$E:$X,MATCH($A161,SPPR!$A:$A,0),9),""),"")</f>
        <v/>
      </c>
      <c r="M161">
        <f>IFERROR(IF(ISNUMBER(INDEX(SPPR!$E:$X,MATCH($A161,SPPR!$A:$A,0),10)),$C161*INDEX(SPPR!$E:$X,MATCH($A161,SPPR!$A:$A,0),10),""),"")</f>
        <v/>
      </c>
      <c r="N161">
        <f>IFERROR(IF(ISNUMBER(INDEX(SPPR!$E:$X,MATCH($A161,SPPR!$A:$A,0),11)),$C161*INDEX(SPPR!$E:$X,MATCH($A161,SPPR!$A:$A,0),11),""),"")</f>
        <v/>
      </c>
      <c r="O161">
        <f>IFERROR(IF(ISNUMBER(INDEX(SPPR!$E:$X,MATCH($A161,SPPR!$A:$A,0),12)),$C161*INDEX(SPPR!$E:$X,MATCH($A161,SPPR!$A:$A,0),12),""),"")</f>
        <v/>
      </c>
      <c r="P161">
        <f>IFERROR(IF(ISNUMBER(INDEX(SPPR!$E:$X,MATCH($A161,SPPR!$A:$A,0),13)),$C161*INDEX(SPPR!$E:$X,MATCH($A161,SPPR!$A:$A,0),13),""),"")</f>
        <v/>
      </c>
      <c r="Q161">
        <f>IFERROR(IF(ISNUMBER(INDEX(SPPR!$E:$X,MATCH($A161,SPPR!$A:$A,0),14)),$C161*INDEX(SPPR!$E:$X,MATCH($A161,SPPR!$A:$A,0),14),""),"")</f>
        <v/>
      </c>
      <c r="R161">
        <f>IFERROR(IF(ISNUMBER(INDEX(SPPR!$E:$X,MATCH($A161,SPPR!$A:$A,0),15)),$C161*INDEX(SPPR!$E:$X,MATCH($A161,SPPR!$A:$A,0),15),""),"")</f>
        <v/>
      </c>
      <c r="S161">
        <f>IFERROR(IF(ISNUMBER(INDEX(SPPR!$E:$X,MATCH($A161,SPPR!$A:$A,0),16)),$C161*INDEX(SPPR!$E:$X,MATCH($A161,SPPR!$A:$A,0),16),""),"")</f>
        <v/>
      </c>
      <c r="T161">
        <f>IFERROR(IF(ISNUMBER(INDEX(SPPR!$E:$X,MATCH($A161,SPPR!$A:$A,0),17)),$C161*INDEX(SPPR!$E:$X,MATCH($A161,SPPR!$A:$A,0),17),""),"")</f>
        <v/>
      </c>
      <c r="U161">
        <f>IFERROR(IF(ISNUMBER(INDEX(SPPR!$E:$X,MATCH($A161,SPPR!$A:$A,0),18)),$C161*INDEX(SPPR!$E:$X,MATCH($A161,SPPR!$A:$A,0),18),""),"")</f>
        <v/>
      </c>
      <c r="V161">
        <f>IFERROR(IF(ISNUMBER(INDEX(SPPR!$E:$X,MATCH($A161,SPPR!$A:$A,0),19)),$C161*INDEX(SPPR!$E:$X,MATCH($A161,SPPR!$A:$A,0),19),""),"")</f>
        <v/>
      </c>
      <c r="W161">
        <f>IFERROR(IF(ISNUMBER(INDEX(SPPR!$E:$X,MATCH($A161,SPPR!$A:$A,0),20)),$C161*INDEX(SPPR!$E:$X,MATCH($A161,SPPR!$A:$A,0),20),""),"")</f>
        <v/>
      </c>
    </row>
    <row r="162">
      <c r="A162" t="inlineStr">
        <is>
          <t>Spondyliosoma cantharus</t>
        </is>
      </c>
      <c r="B162">
        <f>IFERROR(INDEX(SPPR!$D:$D,MATCH($A162,SPPR!$A:$A,0)),"")</f>
        <v/>
      </c>
      <c r="C162">
        <f>IFERROR(INDEX(Catch!$E:$BV,MATCH($A162,Catch!$A:$A,0),MATCH($B$4,Catch!$E$1:$BV$1,0)),0)</f>
        <v/>
      </c>
      <c r="D162">
        <f>IFERROR(IF(ISNUMBER(INDEX(SPPR!$E:$X,MATCH($A162,SPPR!$A:$A,0),1)),$C162*INDEX(SPPR!$E:$X,MATCH($A162,SPPR!$A:$A,0),1),""),"")</f>
        <v/>
      </c>
      <c r="E162">
        <f>IFERROR(IF(ISNUMBER(INDEX(SPPR!$E:$X,MATCH($A162,SPPR!$A:$A,0),2)),$C162*INDEX(SPPR!$E:$X,MATCH($A162,SPPR!$A:$A,0),2),""),"")</f>
        <v/>
      </c>
      <c r="F162">
        <f>IFERROR(IF(ISNUMBER(INDEX(SPPR!$E:$X,MATCH($A162,SPPR!$A:$A,0),3)),$C162*INDEX(SPPR!$E:$X,MATCH($A162,SPPR!$A:$A,0),3),""),"")</f>
        <v/>
      </c>
      <c r="G162">
        <f>IFERROR(IF(ISNUMBER(INDEX(SPPR!$E:$X,MATCH($A162,SPPR!$A:$A,0),4)),$C162*INDEX(SPPR!$E:$X,MATCH($A162,SPPR!$A:$A,0),4),""),"")</f>
        <v/>
      </c>
      <c r="H162">
        <f>IFERROR(IF(ISNUMBER(INDEX(SPPR!$E:$X,MATCH($A162,SPPR!$A:$A,0),5)),$C162*INDEX(SPPR!$E:$X,MATCH($A162,SPPR!$A:$A,0),5),""),"")</f>
        <v/>
      </c>
      <c r="I162">
        <f>IFERROR(IF(ISNUMBER(INDEX(SPPR!$E:$X,MATCH($A162,SPPR!$A:$A,0),6)),$C162*INDEX(SPPR!$E:$X,MATCH($A162,SPPR!$A:$A,0),6),""),"")</f>
        <v/>
      </c>
      <c r="J162">
        <f>IFERROR(IF(ISNUMBER(INDEX(SPPR!$E:$X,MATCH($A162,SPPR!$A:$A,0),7)),$C162*INDEX(SPPR!$E:$X,MATCH($A162,SPPR!$A:$A,0),7),""),"")</f>
        <v/>
      </c>
      <c r="K162">
        <f>IFERROR(IF(ISNUMBER(INDEX(SPPR!$E:$X,MATCH($A162,SPPR!$A:$A,0),8)),$C162*INDEX(SPPR!$E:$X,MATCH($A162,SPPR!$A:$A,0),8),""),"")</f>
        <v/>
      </c>
      <c r="L162">
        <f>IFERROR(IF(ISNUMBER(INDEX(SPPR!$E:$X,MATCH($A162,SPPR!$A:$A,0),9)),$C162*INDEX(SPPR!$E:$X,MATCH($A162,SPPR!$A:$A,0),9),""),"")</f>
        <v/>
      </c>
      <c r="M162">
        <f>IFERROR(IF(ISNUMBER(INDEX(SPPR!$E:$X,MATCH($A162,SPPR!$A:$A,0),10)),$C162*INDEX(SPPR!$E:$X,MATCH($A162,SPPR!$A:$A,0),10),""),"")</f>
        <v/>
      </c>
      <c r="N162">
        <f>IFERROR(IF(ISNUMBER(INDEX(SPPR!$E:$X,MATCH($A162,SPPR!$A:$A,0),11)),$C162*INDEX(SPPR!$E:$X,MATCH($A162,SPPR!$A:$A,0),11),""),"")</f>
        <v/>
      </c>
      <c r="O162">
        <f>IFERROR(IF(ISNUMBER(INDEX(SPPR!$E:$X,MATCH($A162,SPPR!$A:$A,0),12)),$C162*INDEX(SPPR!$E:$X,MATCH($A162,SPPR!$A:$A,0),12),""),"")</f>
        <v/>
      </c>
      <c r="P162">
        <f>IFERROR(IF(ISNUMBER(INDEX(SPPR!$E:$X,MATCH($A162,SPPR!$A:$A,0),13)),$C162*INDEX(SPPR!$E:$X,MATCH($A162,SPPR!$A:$A,0),13),""),"")</f>
        <v/>
      </c>
      <c r="Q162">
        <f>IFERROR(IF(ISNUMBER(INDEX(SPPR!$E:$X,MATCH($A162,SPPR!$A:$A,0),14)),$C162*INDEX(SPPR!$E:$X,MATCH($A162,SPPR!$A:$A,0),14),""),"")</f>
        <v/>
      </c>
      <c r="R162">
        <f>IFERROR(IF(ISNUMBER(INDEX(SPPR!$E:$X,MATCH($A162,SPPR!$A:$A,0),15)),$C162*INDEX(SPPR!$E:$X,MATCH($A162,SPPR!$A:$A,0),15),""),"")</f>
        <v/>
      </c>
      <c r="S162">
        <f>IFERROR(IF(ISNUMBER(INDEX(SPPR!$E:$X,MATCH($A162,SPPR!$A:$A,0),16)),$C162*INDEX(SPPR!$E:$X,MATCH($A162,SPPR!$A:$A,0),16),""),"")</f>
        <v/>
      </c>
      <c r="T162">
        <f>IFERROR(IF(ISNUMBER(INDEX(SPPR!$E:$X,MATCH($A162,SPPR!$A:$A,0),17)),$C162*INDEX(SPPR!$E:$X,MATCH($A162,SPPR!$A:$A,0),17),""),"")</f>
        <v/>
      </c>
      <c r="U162">
        <f>IFERROR(IF(ISNUMBER(INDEX(SPPR!$E:$X,MATCH($A162,SPPR!$A:$A,0),18)),$C162*INDEX(SPPR!$E:$X,MATCH($A162,SPPR!$A:$A,0),18),""),"")</f>
        <v/>
      </c>
      <c r="V162">
        <f>IFERROR(IF(ISNUMBER(INDEX(SPPR!$E:$X,MATCH($A162,SPPR!$A:$A,0),19)),$C162*INDEX(SPPR!$E:$X,MATCH($A162,SPPR!$A:$A,0),19),""),"")</f>
        <v/>
      </c>
      <c r="W162">
        <f>IFERROR(IF(ISNUMBER(INDEX(SPPR!$E:$X,MATCH($A162,SPPR!$A:$A,0),20)),$C162*INDEX(SPPR!$E:$X,MATCH($A162,SPPR!$A:$A,0),20),""),"")</f>
        <v/>
      </c>
    </row>
    <row r="163">
      <c r="A163" t="inlineStr">
        <is>
          <t>Chamelea gallina</t>
        </is>
      </c>
      <c r="B163">
        <f>IFERROR(INDEX(SPPR!$D:$D,MATCH($A163,SPPR!$A:$A,0)),"")</f>
        <v/>
      </c>
      <c r="C163">
        <f>IFERROR(INDEX(Catch!$E:$BV,MATCH($A163,Catch!$A:$A,0),MATCH($B$4,Catch!$E$1:$BV$1,0)),0)</f>
        <v/>
      </c>
      <c r="D163">
        <f>IFERROR(IF(ISNUMBER(INDEX(SPPR!$E:$X,MATCH($A163,SPPR!$A:$A,0),1)),$C163*INDEX(SPPR!$E:$X,MATCH($A163,SPPR!$A:$A,0),1),""),"")</f>
        <v/>
      </c>
      <c r="E163">
        <f>IFERROR(IF(ISNUMBER(INDEX(SPPR!$E:$X,MATCH($A163,SPPR!$A:$A,0),2)),$C163*INDEX(SPPR!$E:$X,MATCH($A163,SPPR!$A:$A,0),2),""),"")</f>
        <v/>
      </c>
      <c r="F163">
        <f>IFERROR(IF(ISNUMBER(INDEX(SPPR!$E:$X,MATCH($A163,SPPR!$A:$A,0),3)),$C163*INDEX(SPPR!$E:$X,MATCH($A163,SPPR!$A:$A,0),3),""),"")</f>
        <v/>
      </c>
      <c r="G163">
        <f>IFERROR(IF(ISNUMBER(INDEX(SPPR!$E:$X,MATCH($A163,SPPR!$A:$A,0),4)),$C163*INDEX(SPPR!$E:$X,MATCH($A163,SPPR!$A:$A,0),4),""),"")</f>
        <v/>
      </c>
      <c r="H163">
        <f>IFERROR(IF(ISNUMBER(INDEX(SPPR!$E:$X,MATCH($A163,SPPR!$A:$A,0),5)),$C163*INDEX(SPPR!$E:$X,MATCH($A163,SPPR!$A:$A,0),5),""),"")</f>
        <v/>
      </c>
      <c r="I163">
        <f>IFERROR(IF(ISNUMBER(INDEX(SPPR!$E:$X,MATCH($A163,SPPR!$A:$A,0),6)),$C163*INDEX(SPPR!$E:$X,MATCH($A163,SPPR!$A:$A,0),6),""),"")</f>
        <v/>
      </c>
      <c r="J163">
        <f>IFERROR(IF(ISNUMBER(INDEX(SPPR!$E:$X,MATCH($A163,SPPR!$A:$A,0),7)),$C163*INDEX(SPPR!$E:$X,MATCH($A163,SPPR!$A:$A,0),7),""),"")</f>
        <v/>
      </c>
      <c r="K163">
        <f>IFERROR(IF(ISNUMBER(INDEX(SPPR!$E:$X,MATCH($A163,SPPR!$A:$A,0),8)),$C163*INDEX(SPPR!$E:$X,MATCH($A163,SPPR!$A:$A,0),8),""),"")</f>
        <v/>
      </c>
      <c r="L163">
        <f>IFERROR(IF(ISNUMBER(INDEX(SPPR!$E:$X,MATCH($A163,SPPR!$A:$A,0),9)),$C163*INDEX(SPPR!$E:$X,MATCH($A163,SPPR!$A:$A,0),9),""),"")</f>
        <v/>
      </c>
      <c r="M163">
        <f>IFERROR(IF(ISNUMBER(INDEX(SPPR!$E:$X,MATCH($A163,SPPR!$A:$A,0),10)),$C163*INDEX(SPPR!$E:$X,MATCH($A163,SPPR!$A:$A,0),10),""),"")</f>
        <v/>
      </c>
      <c r="N163">
        <f>IFERROR(IF(ISNUMBER(INDEX(SPPR!$E:$X,MATCH($A163,SPPR!$A:$A,0),11)),$C163*INDEX(SPPR!$E:$X,MATCH($A163,SPPR!$A:$A,0),11),""),"")</f>
        <v/>
      </c>
      <c r="O163">
        <f>IFERROR(IF(ISNUMBER(INDEX(SPPR!$E:$X,MATCH($A163,SPPR!$A:$A,0),12)),$C163*INDEX(SPPR!$E:$X,MATCH($A163,SPPR!$A:$A,0),12),""),"")</f>
        <v/>
      </c>
      <c r="P163">
        <f>IFERROR(IF(ISNUMBER(INDEX(SPPR!$E:$X,MATCH($A163,SPPR!$A:$A,0),13)),$C163*INDEX(SPPR!$E:$X,MATCH($A163,SPPR!$A:$A,0),13),""),"")</f>
        <v/>
      </c>
      <c r="Q163">
        <f>IFERROR(IF(ISNUMBER(INDEX(SPPR!$E:$X,MATCH($A163,SPPR!$A:$A,0),14)),$C163*INDEX(SPPR!$E:$X,MATCH($A163,SPPR!$A:$A,0),14),""),"")</f>
        <v/>
      </c>
      <c r="R163">
        <f>IFERROR(IF(ISNUMBER(INDEX(SPPR!$E:$X,MATCH($A163,SPPR!$A:$A,0),15)),$C163*INDEX(SPPR!$E:$X,MATCH($A163,SPPR!$A:$A,0),15),""),"")</f>
        <v/>
      </c>
      <c r="S163">
        <f>IFERROR(IF(ISNUMBER(INDEX(SPPR!$E:$X,MATCH($A163,SPPR!$A:$A,0),16)),$C163*INDEX(SPPR!$E:$X,MATCH($A163,SPPR!$A:$A,0),16),""),"")</f>
        <v/>
      </c>
      <c r="T163">
        <f>IFERROR(IF(ISNUMBER(INDEX(SPPR!$E:$X,MATCH($A163,SPPR!$A:$A,0),17)),$C163*INDEX(SPPR!$E:$X,MATCH($A163,SPPR!$A:$A,0),17),""),"")</f>
        <v/>
      </c>
      <c r="U163">
        <f>IFERROR(IF(ISNUMBER(INDEX(SPPR!$E:$X,MATCH($A163,SPPR!$A:$A,0),18)),$C163*INDEX(SPPR!$E:$X,MATCH($A163,SPPR!$A:$A,0),18),""),"")</f>
        <v/>
      </c>
      <c r="V163">
        <f>IFERROR(IF(ISNUMBER(INDEX(SPPR!$E:$X,MATCH($A163,SPPR!$A:$A,0),19)),$C163*INDEX(SPPR!$E:$X,MATCH($A163,SPPR!$A:$A,0),19),""),"")</f>
        <v/>
      </c>
      <c r="W163">
        <f>IFERROR(IF(ISNUMBER(INDEX(SPPR!$E:$X,MATCH($A163,SPPR!$A:$A,0),20)),$C163*INDEX(SPPR!$E:$X,MATCH($A163,SPPR!$A:$A,0),20),""),"")</f>
        <v/>
      </c>
    </row>
    <row r="164">
      <c r="A164" t="inlineStr">
        <is>
          <t>Loligo</t>
        </is>
      </c>
      <c r="B164">
        <f>IFERROR(INDEX(SPPR!$D:$D,MATCH($A164,SPPR!$A:$A,0)),"")</f>
        <v/>
      </c>
      <c r="C164">
        <f>IFERROR(INDEX(Catch!$E:$BV,MATCH($A164,Catch!$A:$A,0),MATCH($B$4,Catch!$E$1:$BV$1,0)),0)</f>
        <v/>
      </c>
      <c r="D164">
        <f>IFERROR(IF(ISNUMBER(INDEX(SPPR!$E:$X,MATCH($A164,SPPR!$A:$A,0),1)),$C164*INDEX(SPPR!$E:$X,MATCH($A164,SPPR!$A:$A,0),1),""),"")</f>
        <v/>
      </c>
      <c r="E164">
        <f>IFERROR(IF(ISNUMBER(INDEX(SPPR!$E:$X,MATCH($A164,SPPR!$A:$A,0),2)),$C164*INDEX(SPPR!$E:$X,MATCH($A164,SPPR!$A:$A,0),2),""),"")</f>
        <v/>
      </c>
      <c r="F164">
        <f>IFERROR(IF(ISNUMBER(INDEX(SPPR!$E:$X,MATCH($A164,SPPR!$A:$A,0),3)),$C164*INDEX(SPPR!$E:$X,MATCH($A164,SPPR!$A:$A,0),3),""),"")</f>
        <v/>
      </c>
      <c r="G164">
        <f>IFERROR(IF(ISNUMBER(INDEX(SPPR!$E:$X,MATCH($A164,SPPR!$A:$A,0),4)),$C164*INDEX(SPPR!$E:$X,MATCH($A164,SPPR!$A:$A,0),4),""),"")</f>
        <v/>
      </c>
      <c r="H164">
        <f>IFERROR(IF(ISNUMBER(INDEX(SPPR!$E:$X,MATCH($A164,SPPR!$A:$A,0),5)),$C164*INDEX(SPPR!$E:$X,MATCH($A164,SPPR!$A:$A,0),5),""),"")</f>
        <v/>
      </c>
      <c r="I164">
        <f>IFERROR(IF(ISNUMBER(INDEX(SPPR!$E:$X,MATCH($A164,SPPR!$A:$A,0),6)),$C164*INDEX(SPPR!$E:$X,MATCH($A164,SPPR!$A:$A,0),6),""),"")</f>
        <v/>
      </c>
      <c r="J164">
        <f>IFERROR(IF(ISNUMBER(INDEX(SPPR!$E:$X,MATCH($A164,SPPR!$A:$A,0),7)),$C164*INDEX(SPPR!$E:$X,MATCH($A164,SPPR!$A:$A,0),7),""),"")</f>
        <v/>
      </c>
      <c r="K164">
        <f>IFERROR(IF(ISNUMBER(INDEX(SPPR!$E:$X,MATCH($A164,SPPR!$A:$A,0),8)),$C164*INDEX(SPPR!$E:$X,MATCH($A164,SPPR!$A:$A,0),8),""),"")</f>
        <v/>
      </c>
      <c r="L164">
        <f>IFERROR(IF(ISNUMBER(INDEX(SPPR!$E:$X,MATCH($A164,SPPR!$A:$A,0),9)),$C164*INDEX(SPPR!$E:$X,MATCH($A164,SPPR!$A:$A,0),9),""),"")</f>
        <v/>
      </c>
      <c r="M164">
        <f>IFERROR(IF(ISNUMBER(INDEX(SPPR!$E:$X,MATCH($A164,SPPR!$A:$A,0),10)),$C164*INDEX(SPPR!$E:$X,MATCH($A164,SPPR!$A:$A,0),10),""),"")</f>
        <v/>
      </c>
      <c r="N164">
        <f>IFERROR(IF(ISNUMBER(INDEX(SPPR!$E:$X,MATCH($A164,SPPR!$A:$A,0),11)),$C164*INDEX(SPPR!$E:$X,MATCH($A164,SPPR!$A:$A,0),11),""),"")</f>
        <v/>
      </c>
      <c r="O164">
        <f>IFERROR(IF(ISNUMBER(INDEX(SPPR!$E:$X,MATCH($A164,SPPR!$A:$A,0),12)),$C164*INDEX(SPPR!$E:$X,MATCH($A164,SPPR!$A:$A,0),12),""),"")</f>
        <v/>
      </c>
      <c r="P164">
        <f>IFERROR(IF(ISNUMBER(INDEX(SPPR!$E:$X,MATCH($A164,SPPR!$A:$A,0),13)),$C164*INDEX(SPPR!$E:$X,MATCH($A164,SPPR!$A:$A,0),13),""),"")</f>
        <v/>
      </c>
      <c r="Q164">
        <f>IFERROR(IF(ISNUMBER(INDEX(SPPR!$E:$X,MATCH($A164,SPPR!$A:$A,0),14)),$C164*INDEX(SPPR!$E:$X,MATCH($A164,SPPR!$A:$A,0),14),""),"")</f>
        <v/>
      </c>
      <c r="R164">
        <f>IFERROR(IF(ISNUMBER(INDEX(SPPR!$E:$X,MATCH($A164,SPPR!$A:$A,0),15)),$C164*INDEX(SPPR!$E:$X,MATCH($A164,SPPR!$A:$A,0),15),""),"")</f>
        <v/>
      </c>
      <c r="S164">
        <f>IFERROR(IF(ISNUMBER(INDEX(SPPR!$E:$X,MATCH($A164,SPPR!$A:$A,0),16)),$C164*INDEX(SPPR!$E:$X,MATCH($A164,SPPR!$A:$A,0),16),""),"")</f>
        <v/>
      </c>
      <c r="T164">
        <f>IFERROR(IF(ISNUMBER(INDEX(SPPR!$E:$X,MATCH($A164,SPPR!$A:$A,0),17)),$C164*INDEX(SPPR!$E:$X,MATCH($A164,SPPR!$A:$A,0),17),""),"")</f>
        <v/>
      </c>
      <c r="U164">
        <f>IFERROR(IF(ISNUMBER(INDEX(SPPR!$E:$X,MATCH($A164,SPPR!$A:$A,0),18)),$C164*INDEX(SPPR!$E:$X,MATCH($A164,SPPR!$A:$A,0),18),""),"")</f>
        <v/>
      </c>
      <c r="V164">
        <f>IFERROR(IF(ISNUMBER(INDEX(SPPR!$E:$X,MATCH($A164,SPPR!$A:$A,0),19)),$C164*INDEX(SPPR!$E:$X,MATCH($A164,SPPR!$A:$A,0),19),""),"")</f>
        <v/>
      </c>
      <c r="W164">
        <f>IFERROR(IF(ISNUMBER(INDEX(SPPR!$E:$X,MATCH($A164,SPPR!$A:$A,0),20)),$C164*INDEX(SPPR!$E:$X,MATCH($A164,SPPR!$A:$A,0),20),""),"")</f>
        <v/>
      </c>
    </row>
    <row r="165">
      <c r="A165" t="inlineStr">
        <is>
          <t>Rajidae</t>
        </is>
      </c>
      <c r="B165">
        <f>IFERROR(INDEX(SPPR!$D:$D,MATCH($A165,SPPR!$A:$A,0)),"")</f>
        <v/>
      </c>
      <c r="C165">
        <f>IFERROR(INDEX(Catch!$E:$BV,MATCH($A165,Catch!$A:$A,0),MATCH($B$4,Catch!$E$1:$BV$1,0)),0)</f>
        <v/>
      </c>
      <c r="D165">
        <f>IFERROR(IF(ISNUMBER(INDEX(SPPR!$E:$X,MATCH($A165,SPPR!$A:$A,0),1)),$C165*INDEX(SPPR!$E:$X,MATCH($A165,SPPR!$A:$A,0),1),""),"")</f>
        <v/>
      </c>
      <c r="E165">
        <f>IFERROR(IF(ISNUMBER(INDEX(SPPR!$E:$X,MATCH($A165,SPPR!$A:$A,0),2)),$C165*INDEX(SPPR!$E:$X,MATCH($A165,SPPR!$A:$A,0),2),""),"")</f>
        <v/>
      </c>
      <c r="F165">
        <f>IFERROR(IF(ISNUMBER(INDEX(SPPR!$E:$X,MATCH($A165,SPPR!$A:$A,0),3)),$C165*INDEX(SPPR!$E:$X,MATCH($A165,SPPR!$A:$A,0),3),""),"")</f>
        <v/>
      </c>
      <c r="G165">
        <f>IFERROR(IF(ISNUMBER(INDEX(SPPR!$E:$X,MATCH($A165,SPPR!$A:$A,0),4)),$C165*INDEX(SPPR!$E:$X,MATCH($A165,SPPR!$A:$A,0),4),""),"")</f>
        <v/>
      </c>
      <c r="H165">
        <f>IFERROR(IF(ISNUMBER(INDEX(SPPR!$E:$X,MATCH($A165,SPPR!$A:$A,0),5)),$C165*INDEX(SPPR!$E:$X,MATCH($A165,SPPR!$A:$A,0),5),""),"")</f>
        <v/>
      </c>
      <c r="I165">
        <f>IFERROR(IF(ISNUMBER(INDEX(SPPR!$E:$X,MATCH($A165,SPPR!$A:$A,0),6)),$C165*INDEX(SPPR!$E:$X,MATCH($A165,SPPR!$A:$A,0),6),""),"")</f>
        <v/>
      </c>
      <c r="J165">
        <f>IFERROR(IF(ISNUMBER(INDEX(SPPR!$E:$X,MATCH($A165,SPPR!$A:$A,0),7)),$C165*INDEX(SPPR!$E:$X,MATCH($A165,SPPR!$A:$A,0),7),""),"")</f>
        <v/>
      </c>
      <c r="K165">
        <f>IFERROR(IF(ISNUMBER(INDEX(SPPR!$E:$X,MATCH($A165,SPPR!$A:$A,0),8)),$C165*INDEX(SPPR!$E:$X,MATCH($A165,SPPR!$A:$A,0),8),""),"")</f>
        <v/>
      </c>
      <c r="L165">
        <f>IFERROR(IF(ISNUMBER(INDEX(SPPR!$E:$X,MATCH($A165,SPPR!$A:$A,0),9)),$C165*INDEX(SPPR!$E:$X,MATCH($A165,SPPR!$A:$A,0),9),""),"")</f>
        <v/>
      </c>
      <c r="M165">
        <f>IFERROR(IF(ISNUMBER(INDEX(SPPR!$E:$X,MATCH($A165,SPPR!$A:$A,0),10)),$C165*INDEX(SPPR!$E:$X,MATCH($A165,SPPR!$A:$A,0),10),""),"")</f>
        <v/>
      </c>
      <c r="N165">
        <f>IFERROR(IF(ISNUMBER(INDEX(SPPR!$E:$X,MATCH($A165,SPPR!$A:$A,0),11)),$C165*INDEX(SPPR!$E:$X,MATCH($A165,SPPR!$A:$A,0),11),""),"")</f>
        <v/>
      </c>
      <c r="O165">
        <f>IFERROR(IF(ISNUMBER(INDEX(SPPR!$E:$X,MATCH($A165,SPPR!$A:$A,0),12)),$C165*INDEX(SPPR!$E:$X,MATCH($A165,SPPR!$A:$A,0),12),""),"")</f>
        <v/>
      </c>
      <c r="P165">
        <f>IFERROR(IF(ISNUMBER(INDEX(SPPR!$E:$X,MATCH($A165,SPPR!$A:$A,0),13)),$C165*INDEX(SPPR!$E:$X,MATCH($A165,SPPR!$A:$A,0),13),""),"")</f>
        <v/>
      </c>
      <c r="Q165">
        <f>IFERROR(IF(ISNUMBER(INDEX(SPPR!$E:$X,MATCH($A165,SPPR!$A:$A,0),14)),$C165*INDEX(SPPR!$E:$X,MATCH($A165,SPPR!$A:$A,0),14),""),"")</f>
        <v/>
      </c>
      <c r="R165">
        <f>IFERROR(IF(ISNUMBER(INDEX(SPPR!$E:$X,MATCH($A165,SPPR!$A:$A,0),15)),$C165*INDEX(SPPR!$E:$X,MATCH($A165,SPPR!$A:$A,0),15),""),"")</f>
        <v/>
      </c>
      <c r="S165">
        <f>IFERROR(IF(ISNUMBER(INDEX(SPPR!$E:$X,MATCH($A165,SPPR!$A:$A,0),16)),$C165*INDEX(SPPR!$E:$X,MATCH($A165,SPPR!$A:$A,0),16),""),"")</f>
        <v/>
      </c>
      <c r="T165">
        <f>IFERROR(IF(ISNUMBER(INDEX(SPPR!$E:$X,MATCH($A165,SPPR!$A:$A,0),17)),$C165*INDEX(SPPR!$E:$X,MATCH($A165,SPPR!$A:$A,0),17),""),"")</f>
        <v/>
      </c>
      <c r="U165">
        <f>IFERROR(IF(ISNUMBER(INDEX(SPPR!$E:$X,MATCH($A165,SPPR!$A:$A,0),18)),$C165*INDEX(SPPR!$E:$X,MATCH($A165,SPPR!$A:$A,0),18),""),"")</f>
        <v/>
      </c>
      <c r="V165">
        <f>IFERROR(IF(ISNUMBER(INDEX(SPPR!$E:$X,MATCH($A165,SPPR!$A:$A,0),19)),$C165*INDEX(SPPR!$E:$X,MATCH($A165,SPPR!$A:$A,0),19),""),"")</f>
        <v/>
      </c>
      <c r="W165">
        <f>IFERROR(IF(ISNUMBER(INDEX(SPPR!$E:$X,MATCH($A165,SPPR!$A:$A,0),20)),$C165*INDEX(SPPR!$E:$X,MATCH($A165,SPPR!$A:$A,0),20),""),"")</f>
        <v/>
      </c>
    </row>
    <row r="166">
      <c r="A166" t="inlineStr">
        <is>
          <t>Mustelus mustelus</t>
        </is>
      </c>
      <c r="B166">
        <f>IFERROR(INDEX(SPPR!$D:$D,MATCH($A166,SPPR!$A:$A,0)),"")</f>
        <v/>
      </c>
      <c r="C166">
        <f>IFERROR(INDEX(Catch!$E:$BV,MATCH($A166,Catch!$A:$A,0),MATCH($B$4,Catch!$E$1:$BV$1,0)),0)</f>
        <v/>
      </c>
      <c r="D166">
        <f>IFERROR(IF(ISNUMBER(INDEX(SPPR!$E:$X,MATCH($A166,SPPR!$A:$A,0),1)),$C166*INDEX(SPPR!$E:$X,MATCH($A166,SPPR!$A:$A,0),1),""),"")</f>
        <v/>
      </c>
      <c r="E166">
        <f>IFERROR(IF(ISNUMBER(INDEX(SPPR!$E:$X,MATCH($A166,SPPR!$A:$A,0),2)),$C166*INDEX(SPPR!$E:$X,MATCH($A166,SPPR!$A:$A,0),2),""),"")</f>
        <v/>
      </c>
      <c r="F166">
        <f>IFERROR(IF(ISNUMBER(INDEX(SPPR!$E:$X,MATCH($A166,SPPR!$A:$A,0),3)),$C166*INDEX(SPPR!$E:$X,MATCH($A166,SPPR!$A:$A,0),3),""),"")</f>
        <v/>
      </c>
      <c r="G166">
        <f>IFERROR(IF(ISNUMBER(INDEX(SPPR!$E:$X,MATCH($A166,SPPR!$A:$A,0),4)),$C166*INDEX(SPPR!$E:$X,MATCH($A166,SPPR!$A:$A,0),4),""),"")</f>
        <v/>
      </c>
      <c r="H166">
        <f>IFERROR(IF(ISNUMBER(INDEX(SPPR!$E:$X,MATCH($A166,SPPR!$A:$A,0),5)),$C166*INDEX(SPPR!$E:$X,MATCH($A166,SPPR!$A:$A,0),5),""),"")</f>
        <v/>
      </c>
      <c r="I166">
        <f>IFERROR(IF(ISNUMBER(INDEX(SPPR!$E:$X,MATCH($A166,SPPR!$A:$A,0),6)),$C166*INDEX(SPPR!$E:$X,MATCH($A166,SPPR!$A:$A,0),6),""),"")</f>
        <v/>
      </c>
      <c r="J166">
        <f>IFERROR(IF(ISNUMBER(INDEX(SPPR!$E:$X,MATCH($A166,SPPR!$A:$A,0),7)),$C166*INDEX(SPPR!$E:$X,MATCH($A166,SPPR!$A:$A,0),7),""),"")</f>
        <v/>
      </c>
      <c r="K166">
        <f>IFERROR(IF(ISNUMBER(INDEX(SPPR!$E:$X,MATCH($A166,SPPR!$A:$A,0),8)),$C166*INDEX(SPPR!$E:$X,MATCH($A166,SPPR!$A:$A,0),8),""),"")</f>
        <v/>
      </c>
      <c r="L166">
        <f>IFERROR(IF(ISNUMBER(INDEX(SPPR!$E:$X,MATCH($A166,SPPR!$A:$A,0),9)),$C166*INDEX(SPPR!$E:$X,MATCH($A166,SPPR!$A:$A,0),9),""),"")</f>
        <v/>
      </c>
      <c r="M166">
        <f>IFERROR(IF(ISNUMBER(INDEX(SPPR!$E:$X,MATCH($A166,SPPR!$A:$A,0),10)),$C166*INDEX(SPPR!$E:$X,MATCH($A166,SPPR!$A:$A,0),10),""),"")</f>
        <v/>
      </c>
      <c r="N166">
        <f>IFERROR(IF(ISNUMBER(INDEX(SPPR!$E:$X,MATCH($A166,SPPR!$A:$A,0),11)),$C166*INDEX(SPPR!$E:$X,MATCH($A166,SPPR!$A:$A,0),11),""),"")</f>
        <v/>
      </c>
      <c r="O166">
        <f>IFERROR(IF(ISNUMBER(INDEX(SPPR!$E:$X,MATCH($A166,SPPR!$A:$A,0),12)),$C166*INDEX(SPPR!$E:$X,MATCH($A166,SPPR!$A:$A,0),12),""),"")</f>
        <v/>
      </c>
      <c r="P166">
        <f>IFERROR(IF(ISNUMBER(INDEX(SPPR!$E:$X,MATCH($A166,SPPR!$A:$A,0),13)),$C166*INDEX(SPPR!$E:$X,MATCH($A166,SPPR!$A:$A,0),13),""),"")</f>
        <v/>
      </c>
      <c r="Q166">
        <f>IFERROR(IF(ISNUMBER(INDEX(SPPR!$E:$X,MATCH($A166,SPPR!$A:$A,0),14)),$C166*INDEX(SPPR!$E:$X,MATCH($A166,SPPR!$A:$A,0),14),""),"")</f>
        <v/>
      </c>
      <c r="R166">
        <f>IFERROR(IF(ISNUMBER(INDEX(SPPR!$E:$X,MATCH($A166,SPPR!$A:$A,0),15)),$C166*INDEX(SPPR!$E:$X,MATCH($A166,SPPR!$A:$A,0),15),""),"")</f>
        <v/>
      </c>
      <c r="S166">
        <f>IFERROR(IF(ISNUMBER(INDEX(SPPR!$E:$X,MATCH($A166,SPPR!$A:$A,0),16)),$C166*INDEX(SPPR!$E:$X,MATCH($A166,SPPR!$A:$A,0),16),""),"")</f>
        <v/>
      </c>
      <c r="T166">
        <f>IFERROR(IF(ISNUMBER(INDEX(SPPR!$E:$X,MATCH($A166,SPPR!$A:$A,0),17)),$C166*INDEX(SPPR!$E:$X,MATCH($A166,SPPR!$A:$A,0),17),""),"")</f>
        <v/>
      </c>
      <c r="U166">
        <f>IFERROR(IF(ISNUMBER(INDEX(SPPR!$E:$X,MATCH($A166,SPPR!$A:$A,0),18)),$C166*INDEX(SPPR!$E:$X,MATCH($A166,SPPR!$A:$A,0),18),""),"")</f>
        <v/>
      </c>
      <c r="V166">
        <f>IFERROR(IF(ISNUMBER(INDEX(SPPR!$E:$X,MATCH($A166,SPPR!$A:$A,0),19)),$C166*INDEX(SPPR!$E:$X,MATCH($A166,SPPR!$A:$A,0),19),""),"")</f>
        <v/>
      </c>
      <c r="W166">
        <f>IFERROR(IF(ISNUMBER(INDEX(SPPR!$E:$X,MATCH($A166,SPPR!$A:$A,0),20)),$C166*INDEX(SPPR!$E:$X,MATCH($A166,SPPR!$A:$A,0),20),""),"")</f>
        <v/>
      </c>
    </row>
    <row r="167">
      <c r="A167" t="inlineStr">
        <is>
          <t>Raja microocellata</t>
        </is>
      </c>
      <c r="B167">
        <f>IFERROR(INDEX(SPPR!$D:$D,MATCH($A167,SPPR!$A:$A,0)),"")</f>
        <v/>
      </c>
      <c r="C167">
        <f>IFERROR(INDEX(Catch!$E:$BV,MATCH($A167,Catch!$A:$A,0),MATCH($B$4,Catch!$E$1:$BV$1,0)),0)</f>
        <v/>
      </c>
      <c r="D167">
        <f>IFERROR(IF(ISNUMBER(INDEX(SPPR!$E:$X,MATCH($A167,SPPR!$A:$A,0),1)),$C167*INDEX(SPPR!$E:$X,MATCH($A167,SPPR!$A:$A,0),1),""),"")</f>
        <v/>
      </c>
      <c r="E167">
        <f>IFERROR(IF(ISNUMBER(INDEX(SPPR!$E:$X,MATCH($A167,SPPR!$A:$A,0),2)),$C167*INDEX(SPPR!$E:$X,MATCH($A167,SPPR!$A:$A,0),2),""),"")</f>
        <v/>
      </c>
      <c r="F167">
        <f>IFERROR(IF(ISNUMBER(INDEX(SPPR!$E:$X,MATCH($A167,SPPR!$A:$A,0),3)),$C167*INDEX(SPPR!$E:$X,MATCH($A167,SPPR!$A:$A,0),3),""),"")</f>
        <v/>
      </c>
      <c r="G167">
        <f>IFERROR(IF(ISNUMBER(INDEX(SPPR!$E:$X,MATCH($A167,SPPR!$A:$A,0),4)),$C167*INDEX(SPPR!$E:$X,MATCH($A167,SPPR!$A:$A,0),4),""),"")</f>
        <v/>
      </c>
      <c r="H167">
        <f>IFERROR(IF(ISNUMBER(INDEX(SPPR!$E:$X,MATCH($A167,SPPR!$A:$A,0),5)),$C167*INDEX(SPPR!$E:$X,MATCH($A167,SPPR!$A:$A,0),5),""),"")</f>
        <v/>
      </c>
      <c r="I167">
        <f>IFERROR(IF(ISNUMBER(INDEX(SPPR!$E:$X,MATCH($A167,SPPR!$A:$A,0),6)),$C167*INDEX(SPPR!$E:$X,MATCH($A167,SPPR!$A:$A,0),6),""),"")</f>
        <v/>
      </c>
      <c r="J167">
        <f>IFERROR(IF(ISNUMBER(INDEX(SPPR!$E:$X,MATCH($A167,SPPR!$A:$A,0),7)),$C167*INDEX(SPPR!$E:$X,MATCH($A167,SPPR!$A:$A,0),7),""),"")</f>
        <v/>
      </c>
      <c r="K167">
        <f>IFERROR(IF(ISNUMBER(INDEX(SPPR!$E:$X,MATCH($A167,SPPR!$A:$A,0),8)),$C167*INDEX(SPPR!$E:$X,MATCH($A167,SPPR!$A:$A,0),8),""),"")</f>
        <v/>
      </c>
      <c r="L167">
        <f>IFERROR(IF(ISNUMBER(INDEX(SPPR!$E:$X,MATCH($A167,SPPR!$A:$A,0),9)),$C167*INDEX(SPPR!$E:$X,MATCH($A167,SPPR!$A:$A,0),9),""),"")</f>
        <v/>
      </c>
      <c r="M167">
        <f>IFERROR(IF(ISNUMBER(INDEX(SPPR!$E:$X,MATCH($A167,SPPR!$A:$A,0),10)),$C167*INDEX(SPPR!$E:$X,MATCH($A167,SPPR!$A:$A,0),10),""),"")</f>
        <v/>
      </c>
      <c r="N167">
        <f>IFERROR(IF(ISNUMBER(INDEX(SPPR!$E:$X,MATCH($A167,SPPR!$A:$A,0),11)),$C167*INDEX(SPPR!$E:$X,MATCH($A167,SPPR!$A:$A,0),11),""),"")</f>
        <v/>
      </c>
      <c r="O167">
        <f>IFERROR(IF(ISNUMBER(INDEX(SPPR!$E:$X,MATCH($A167,SPPR!$A:$A,0),12)),$C167*INDEX(SPPR!$E:$X,MATCH($A167,SPPR!$A:$A,0),12),""),"")</f>
        <v/>
      </c>
      <c r="P167">
        <f>IFERROR(IF(ISNUMBER(INDEX(SPPR!$E:$X,MATCH($A167,SPPR!$A:$A,0),13)),$C167*INDEX(SPPR!$E:$X,MATCH($A167,SPPR!$A:$A,0),13),""),"")</f>
        <v/>
      </c>
      <c r="Q167">
        <f>IFERROR(IF(ISNUMBER(INDEX(SPPR!$E:$X,MATCH($A167,SPPR!$A:$A,0),14)),$C167*INDEX(SPPR!$E:$X,MATCH($A167,SPPR!$A:$A,0),14),""),"")</f>
        <v/>
      </c>
      <c r="R167">
        <f>IFERROR(IF(ISNUMBER(INDEX(SPPR!$E:$X,MATCH($A167,SPPR!$A:$A,0),15)),$C167*INDEX(SPPR!$E:$X,MATCH($A167,SPPR!$A:$A,0),15),""),"")</f>
        <v/>
      </c>
      <c r="S167">
        <f>IFERROR(IF(ISNUMBER(INDEX(SPPR!$E:$X,MATCH($A167,SPPR!$A:$A,0),16)),$C167*INDEX(SPPR!$E:$X,MATCH($A167,SPPR!$A:$A,0),16),""),"")</f>
        <v/>
      </c>
      <c r="T167">
        <f>IFERROR(IF(ISNUMBER(INDEX(SPPR!$E:$X,MATCH($A167,SPPR!$A:$A,0),17)),$C167*INDEX(SPPR!$E:$X,MATCH($A167,SPPR!$A:$A,0),17),""),"")</f>
        <v/>
      </c>
      <c r="U167">
        <f>IFERROR(IF(ISNUMBER(INDEX(SPPR!$E:$X,MATCH($A167,SPPR!$A:$A,0),18)),$C167*INDEX(SPPR!$E:$X,MATCH($A167,SPPR!$A:$A,0),18),""),"")</f>
        <v/>
      </c>
      <c r="V167">
        <f>IFERROR(IF(ISNUMBER(INDEX(SPPR!$E:$X,MATCH($A167,SPPR!$A:$A,0),19)),$C167*INDEX(SPPR!$E:$X,MATCH($A167,SPPR!$A:$A,0),19),""),"")</f>
        <v/>
      </c>
      <c r="W167">
        <f>IFERROR(IF(ISNUMBER(INDEX(SPPR!$E:$X,MATCH($A167,SPPR!$A:$A,0),20)),$C167*INDEX(SPPR!$E:$X,MATCH($A167,SPPR!$A:$A,0),20),""),"")</f>
        <v/>
      </c>
    </row>
    <row r="168">
      <c r="A168" t="inlineStr">
        <is>
          <t>Clupeiformes</t>
        </is>
      </c>
      <c r="B168">
        <f>IFERROR(INDEX(SPPR!$D:$D,MATCH($A168,SPPR!$A:$A,0)),"")</f>
        <v/>
      </c>
      <c r="C168">
        <f>IFERROR(INDEX(Catch!$E:$BV,MATCH($A168,Catch!$A:$A,0),MATCH($B$4,Catch!$E$1:$BV$1,0)),0)</f>
        <v/>
      </c>
      <c r="D168">
        <f>IFERROR(IF(ISNUMBER(INDEX(SPPR!$E:$X,MATCH($A168,SPPR!$A:$A,0),1)),$C168*INDEX(SPPR!$E:$X,MATCH($A168,SPPR!$A:$A,0),1),""),"")</f>
        <v/>
      </c>
      <c r="E168">
        <f>IFERROR(IF(ISNUMBER(INDEX(SPPR!$E:$X,MATCH($A168,SPPR!$A:$A,0),2)),$C168*INDEX(SPPR!$E:$X,MATCH($A168,SPPR!$A:$A,0),2),""),"")</f>
        <v/>
      </c>
      <c r="F168">
        <f>IFERROR(IF(ISNUMBER(INDEX(SPPR!$E:$X,MATCH($A168,SPPR!$A:$A,0),3)),$C168*INDEX(SPPR!$E:$X,MATCH($A168,SPPR!$A:$A,0),3),""),"")</f>
        <v/>
      </c>
      <c r="G168">
        <f>IFERROR(IF(ISNUMBER(INDEX(SPPR!$E:$X,MATCH($A168,SPPR!$A:$A,0),4)),$C168*INDEX(SPPR!$E:$X,MATCH($A168,SPPR!$A:$A,0),4),""),"")</f>
        <v/>
      </c>
      <c r="H168">
        <f>IFERROR(IF(ISNUMBER(INDEX(SPPR!$E:$X,MATCH($A168,SPPR!$A:$A,0),5)),$C168*INDEX(SPPR!$E:$X,MATCH($A168,SPPR!$A:$A,0),5),""),"")</f>
        <v/>
      </c>
      <c r="I168">
        <f>IFERROR(IF(ISNUMBER(INDEX(SPPR!$E:$X,MATCH($A168,SPPR!$A:$A,0),6)),$C168*INDEX(SPPR!$E:$X,MATCH($A168,SPPR!$A:$A,0),6),""),"")</f>
        <v/>
      </c>
      <c r="J168">
        <f>IFERROR(IF(ISNUMBER(INDEX(SPPR!$E:$X,MATCH($A168,SPPR!$A:$A,0),7)),$C168*INDEX(SPPR!$E:$X,MATCH($A168,SPPR!$A:$A,0),7),""),"")</f>
        <v/>
      </c>
      <c r="K168">
        <f>IFERROR(IF(ISNUMBER(INDEX(SPPR!$E:$X,MATCH($A168,SPPR!$A:$A,0),8)),$C168*INDEX(SPPR!$E:$X,MATCH($A168,SPPR!$A:$A,0),8),""),"")</f>
        <v/>
      </c>
      <c r="L168">
        <f>IFERROR(IF(ISNUMBER(INDEX(SPPR!$E:$X,MATCH($A168,SPPR!$A:$A,0),9)),$C168*INDEX(SPPR!$E:$X,MATCH($A168,SPPR!$A:$A,0),9),""),"")</f>
        <v/>
      </c>
      <c r="M168">
        <f>IFERROR(IF(ISNUMBER(INDEX(SPPR!$E:$X,MATCH($A168,SPPR!$A:$A,0),10)),$C168*INDEX(SPPR!$E:$X,MATCH($A168,SPPR!$A:$A,0),10),""),"")</f>
        <v/>
      </c>
      <c r="N168">
        <f>IFERROR(IF(ISNUMBER(INDEX(SPPR!$E:$X,MATCH($A168,SPPR!$A:$A,0),11)),$C168*INDEX(SPPR!$E:$X,MATCH($A168,SPPR!$A:$A,0),11),""),"")</f>
        <v/>
      </c>
      <c r="O168">
        <f>IFERROR(IF(ISNUMBER(INDEX(SPPR!$E:$X,MATCH($A168,SPPR!$A:$A,0),12)),$C168*INDEX(SPPR!$E:$X,MATCH($A168,SPPR!$A:$A,0),12),""),"")</f>
        <v/>
      </c>
      <c r="P168">
        <f>IFERROR(IF(ISNUMBER(INDEX(SPPR!$E:$X,MATCH($A168,SPPR!$A:$A,0),13)),$C168*INDEX(SPPR!$E:$X,MATCH($A168,SPPR!$A:$A,0),13),""),"")</f>
        <v/>
      </c>
      <c r="Q168">
        <f>IFERROR(IF(ISNUMBER(INDEX(SPPR!$E:$X,MATCH($A168,SPPR!$A:$A,0),14)),$C168*INDEX(SPPR!$E:$X,MATCH($A168,SPPR!$A:$A,0),14),""),"")</f>
        <v/>
      </c>
      <c r="R168">
        <f>IFERROR(IF(ISNUMBER(INDEX(SPPR!$E:$X,MATCH($A168,SPPR!$A:$A,0),15)),$C168*INDEX(SPPR!$E:$X,MATCH($A168,SPPR!$A:$A,0),15),""),"")</f>
        <v/>
      </c>
      <c r="S168">
        <f>IFERROR(IF(ISNUMBER(INDEX(SPPR!$E:$X,MATCH($A168,SPPR!$A:$A,0),16)),$C168*INDEX(SPPR!$E:$X,MATCH($A168,SPPR!$A:$A,0),16),""),"")</f>
        <v/>
      </c>
      <c r="T168">
        <f>IFERROR(IF(ISNUMBER(INDEX(SPPR!$E:$X,MATCH($A168,SPPR!$A:$A,0),17)),$C168*INDEX(SPPR!$E:$X,MATCH($A168,SPPR!$A:$A,0),17),""),"")</f>
        <v/>
      </c>
      <c r="U168">
        <f>IFERROR(IF(ISNUMBER(INDEX(SPPR!$E:$X,MATCH($A168,SPPR!$A:$A,0),18)),$C168*INDEX(SPPR!$E:$X,MATCH($A168,SPPR!$A:$A,0),18),""),"")</f>
        <v/>
      </c>
      <c r="V168">
        <f>IFERROR(IF(ISNUMBER(INDEX(SPPR!$E:$X,MATCH($A168,SPPR!$A:$A,0),19)),$C168*INDEX(SPPR!$E:$X,MATCH($A168,SPPR!$A:$A,0),19),""),"")</f>
        <v/>
      </c>
      <c r="W168">
        <f>IFERROR(IF(ISNUMBER(INDEX(SPPR!$E:$X,MATCH($A168,SPPR!$A:$A,0),20)),$C168*INDEX(SPPR!$E:$X,MATCH($A168,SPPR!$A:$A,0),20),""),"")</f>
        <v/>
      </c>
    </row>
    <row r="169">
      <c r="A169" t="inlineStr">
        <is>
          <t>Capros aper</t>
        </is>
      </c>
      <c r="B169">
        <f>IFERROR(INDEX(SPPR!$D:$D,MATCH($A169,SPPR!$A:$A,0)),"")</f>
        <v/>
      </c>
      <c r="C169">
        <f>IFERROR(INDEX(Catch!$E:$BV,MATCH($A169,Catch!$A:$A,0),MATCH($B$4,Catch!$E$1:$BV$1,0)),0)</f>
        <v/>
      </c>
      <c r="D169">
        <f>IFERROR(IF(ISNUMBER(INDEX(SPPR!$E:$X,MATCH($A169,SPPR!$A:$A,0),1)),$C169*INDEX(SPPR!$E:$X,MATCH($A169,SPPR!$A:$A,0),1),""),"")</f>
        <v/>
      </c>
      <c r="E169">
        <f>IFERROR(IF(ISNUMBER(INDEX(SPPR!$E:$X,MATCH($A169,SPPR!$A:$A,0),2)),$C169*INDEX(SPPR!$E:$X,MATCH($A169,SPPR!$A:$A,0),2),""),"")</f>
        <v/>
      </c>
      <c r="F169">
        <f>IFERROR(IF(ISNUMBER(INDEX(SPPR!$E:$X,MATCH($A169,SPPR!$A:$A,0),3)),$C169*INDEX(SPPR!$E:$X,MATCH($A169,SPPR!$A:$A,0),3),""),"")</f>
        <v/>
      </c>
      <c r="G169">
        <f>IFERROR(IF(ISNUMBER(INDEX(SPPR!$E:$X,MATCH($A169,SPPR!$A:$A,0),4)),$C169*INDEX(SPPR!$E:$X,MATCH($A169,SPPR!$A:$A,0),4),""),"")</f>
        <v/>
      </c>
      <c r="H169">
        <f>IFERROR(IF(ISNUMBER(INDEX(SPPR!$E:$X,MATCH($A169,SPPR!$A:$A,0),5)),$C169*INDEX(SPPR!$E:$X,MATCH($A169,SPPR!$A:$A,0),5),""),"")</f>
        <v/>
      </c>
      <c r="I169">
        <f>IFERROR(IF(ISNUMBER(INDEX(SPPR!$E:$X,MATCH($A169,SPPR!$A:$A,0),6)),$C169*INDEX(SPPR!$E:$X,MATCH($A169,SPPR!$A:$A,0),6),""),"")</f>
        <v/>
      </c>
      <c r="J169">
        <f>IFERROR(IF(ISNUMBER(INDEX(SPPR!$E:$X,MATCH($A169,SPPR!$A:$A,0),7)),$C169*INDEX(SPPR!$E:$X,MATCH($A169,SPPR!$A:$A,0),7),""),"")</f>
        <v/>
      </c>
      <c r="K169">
        <f>IFERROR(IF(ISNUMBER(INDEX(SPPR!$E:$X,MATCH($A169,SPPR!$A:$A,0),8)),$C169*INDEX(SPPR!$E:$X,MATCH($A169,SPPR!$A:$A,0),8),""),"")</f>
        <v/>
      </c>
      <c r="L169">
        <f>IFERROR(IF(ISNUMBER(INDEX(SPPR!$E:$X,MATCH($A169,SPPR!$A:$A,0),9)),$C169*INDEX(SPPR!$E:$X,MATCH($A169,SPPR!$A:$A,0),9),""),"")</f>
        <v/>
      </c>
      <c r="M169">
        <f>IFERROR(IF(ISNUMBER(INDEX(SPPR!$E:$X,MATCH($A169,SPPR!$A:$A,0),10)),$C169*INDEX(SPPR!$E:$X,MATCH($A169,SPPR!$A:$A,0),10),""),"")</f>
        <v/>
      </c>
      <c r="N169">
        <f>IFERROR(IF(ISNUMBER(INDEX(SPPR!$E:$X,MATCH($A169,SPPR!$A:$A,0),11)),$C169*INDEX(SPPR!$E:$X,MATCH($A169,SPPR!$A:$A,0),11),""),"")</f>
        <v/>
      </c>
      <c r="O169">
        <f>IFERROR(IF(ISNUMBER(INDEX(SPPR!$E:$X,MATCH($A169,SPPR!$A:$A,0),12)),$C169*INDEX(SPPR!$E:$X,MATCH($A169,SPPR!$A:$A,0),12),""),"")</f>
        <v/>
      </c>
      <c r="P169">
        <f>IFERROR(IF(ISNUMBER(INDEX(SPPR!$E:$X,MATCH($A169,SPPR!$A:$A,0),13)),$C169*INDEX(SPPR!$E:$X,MATCH($A169,SPPR!$A:$A,0),13),""),"")</f>
        <v/>
      </c>
      <c r="Q169">
        <f>IFERROR(IF(ISNUMBER(INDEX(SPPR!$E:$X,MATCH($A169,SPPR!$A:$A,0),14)),$C169*INDEX(SPPR!$E:$X,MATCH($A169,SPPR!$A:$A,0),14),""),"")</f>
        <v/>
      </c>
      <c r="R169">
        <f>IFERROR(IF(ISNUMBER(INDEX(SPPR!$E:$X,MATCH($A169,SPPR!$A:$A,0),15)),$C169*INDEX(SPPR!$E:$X,MATCH($A169,SPPR!$A:$A,0),15),""),"")</f>
        <v/>
      </c>
      <c r="S169">
        <f>IFERROR(IF(ISNUMBER(INDEX(SPPR!$E:$X,MATCH($A169,SPPR!$A:$A,0),16)),$C169*INDEX(SPPR!$E:$X,MATCH($A169,SPPR!$A:$A,0),16),""),"")</f>
        <v/>
      </c>
      <c r="T169">
        <f>IFERROR(IF(ISNUMBER(INDEX(SPPR!$E:$X,MATCH($A169,SPPR!$A:$A,0),17)),$C169*INDEX(SPPR!$E:$X,MATCH($A169,SPPR!$A:$A,0),17),""),"")</f>
        <v/>
      </c>
      <c r="U169">
        <f>IFERROR(IF(ISNUMBER(INDEX(SPPR!$E:$X,MATCH($A169,SPPR!$A:$A,0),18)),$C169*INDEX(SPPR!$E:$X,MATCH($A169,SPPR!$A:$A,0),18),""),"")</f>
        <v/>
      </c>
      <c r="V169">
        <f>IFERROR(IF(ISNUMBER(INDEX(SPPR!$E:$X,MATCH($A169,SPPR!$A:$A,0),19)),$C169*INDEX(SPPR!$E:$X,MATCH($A169,SPPR!$A:$A,0),19),""),"")</f>
        <v/>
      </c>
      <c r="W169">
        <f>IFERROR(IF(ISNUMBER(INDEX(SPPR!$E:$X,MATCH($A169,SPPR!$A:$A,0),20)),$C169*INDEX(SPPR!$E:$X,MATCH($A169,SPPR!$A:$A,0),20),""),"")</f>
        <v/>
      </c>
    </row>
    <row r="170">
      <c r="A170" t="inlineStr">
        <is>
          <t>Argentina sphyraena</t>
        </is>
      </c>
      <c r="B170">
        <f>IFERROR(INDEX(SPPR!$D:$D,MATCH($A170,SPPR!$A:$A,0)),"")</f>
        <v/>
      </c>
      <c r="C170">
        <f>IFERROR(INDEX(Catch!$E:$BV,MATCH($A170,Catch!$A:$A,0),MATCH($B$4,Catch!$E$1:$BV$1,0)),0)</f>
        <v/>
      </c>
      <c r="D170">
        <f>IFERROR(IF(ISNUMBER(INDEX(SPPR!$E:$X,MATCH($A170,SPPR!$A:$A,0),1)),$C170*INDEX(SPPR!$E:$X,MATCH($A170,SPPR!$A:$A,0),1),""),"")</f>
        <v/>
      </c>
      <c r="E170">
        <f>IFERROR(IF(ISNUMBER(INDEX(SPPR!$E:$X,MATCH($A170,SPPR!$A:$A,0),2)),$C170*INDEX(SPPR!$E:$X,MATCH($A170,SPPR!$A:$A,0),2),""),"")</f>
        <v/>
      </c>
      <c r="F170">
        <f>IFERROR(IF(ISNUMBER(INDEX(SPPR!$E:$X,MATCH($A170,SPPR!$A:$A,0),3)),$C170*INDEX(SPPR!$E:$X,MATCH($A170,SPPR!$A:$A,0),3),""),"")</f>
        <v/>
      </c>
      <c r="G170">
        <f>IFERROR(IF(ISNUMBER(INDEX(SPPR!$E:$X,MATCH($A170,SPPR!$A:$A,0),4)),$C170*INDEX(SPPR!$E:$X,MATCH($A170,SPPR!$A:$A,0),4),""),"")</f>
        <v/>
      </c>
      <c r="H170">
        <f>IFERROR(IF(ISNUMBER(INDEX(SPPR!$E:$X,MATCH($A170,SPPR!$A:$A,0),5)),$C170*INDEX(SPPR!$E:$X,MATCH($A170,SPPR!$A:$A,0),5),""),"")</f>
        <v/>
      </c>
      <c r="I170">
        <f>IFERROR(IF(ISNUMBER(INDEX(SPPR!$E:$X,MATCH($A170,SPPR!$A:$A,0),6)),$C170*INDEX(SPPR!$E:$X,MATCH($A170,SPPR!$A:$A,0),6),""),"")</f>
        <v/>
      </c>
      <c r="J170">
        <f>IFERROR(IF(ISNUMBER(INDEX(SPPR!$E:$X,MATCH($A170,SPPR!$A:$A,0),7)),$C170*INDEX(SPPR!$E:$X,MATCH($A170,SPPR!$A:$A,0),7),""),"")</f>
        <v/>
      </c>
      <c r="K170">
        <f>IFERROR(IF(ISNUMBER(INDEX(SPPR!$E:$X,MATCH($A170,SPPR!$A:$A,0),8)),$C170*INDEX(SPPR!$E:$X,MATCH($A170,SPPR!$A:$A,0),8),""),"")</f>
        <v/>
      </c>
      <c r="L170">
        <f>IFERROR(IF(ISNUMBER(INDEX(SPPR!$E:$X,MATCH($A170,SPPR!$A:$A,0),9)),$C170*INDEX(SPPR!$E:$X,MATCH($A170,SPPR!$A:$A,0),9),""),"")</f>
        <v/>
      </c>
      <c r="M170">
        <f>IFERROR(IF(ISNUMBER(INDEX(SPPR!$E:$X,MATCH($A170,SPPR!$A:$A,0),10)),$C170*INDEX(SPPR!$E:$X,MATCH($A170,SPPR!$A:$A,0),10),""),"")</f>
        <v/>
      </c>
      <c r="N170">
        <f>IFERROR(IF(ISNUMBER(INDEX(SPPR!$E:$X,MATCH($A170,SPPR!$A:$A,0),11)),$C170*INDEX(SPPR!$E:$X,MATCH($A170,SPPR!$A:$A,0),11),""),"")</f>
        <v/>
      </c>
      <c r="O170">
        <f>IFERROR(IF(ISNUMBER(INDEX(SPPR!$E:$X,MATCH($A170,SPPR!$A:$A,0),12)),$C170*INDEX(SPPR!$E:$X,MATCH($A170,SPPR!$A:$A,0),12),""),"")</f>
        <v/>
      </c>
      <c r="P170">
        <f>IFERROR(IF(ISNUMBER(INDEX(SPPR!$E:$X,MATCH($A170,SPPR!$A:$A,0),13)),$C170*INDEX(SPPR!$E:$X,MATCH($A170,SPPR!$A:$A,0),13),""),"")</f>
        <v/>
      </c>
      <c r="Q170">
        <f>IFERROR(IF(ISNUMBER(INDEX(SPPR!$E:$X,MATCH($A170,SPPR!$A:$A,0),14)),$C170*INDEX(SPPR!$E:$X,MATCH($A170,SPPR!$A:$A,0),14),""),"")</f>
        <v/>
      </c>
      <c r="R170">
        <f>IFERROR(IF(ISNUMBER(INDEX(SPPR!$E:$X,MATCH($A170,SPPR!$A:$A,0),15)),$C170*INDEX(SPPR!$E:$X,MATCH($A170,SPPR!$A:$A,0),15),""),"")</f>
        <v/>
      </c>
      <c r="S170">
        <f>IFERROR(IF(ISNUMBER(INDEX(SPPR!$E:$X,MATCH($A170,SPPR!$A:$A,0),16)),$C170*INDEX(SPPR!$E:$X,MATCH($A170,SPPR!$A:$A,0),16),""),"")</f>
        <v/>
      </c>
      <c r="T170">
        <f>IFERROR(IF(ISNUMBER(INDEX(SPPR!$E:$X,MATCH($A170,SPPR!$A:$A,0),17)),$C170*INDEX(SPPR!$E:$X,MATCH($A170,SPPR!$A:$A,0),17),""),"")</f>
        <v/>
      </c>
      <c r="U170">
        <f>IFERROR(IF(ISNUMBER(INDEX(SPPR!$E:$X,MATCH($A170,SPPR!$A:$A,0),18)),$C170*INDEX(SPPR!$E:$X,MATCH($A170,SPPR!$A:$A,0),18),""),"")</f>
        <v/>
      </c>
      <c r="V170">
        <f>IFERROR(IF(ISNUMBER(INDEX(SPPR!$E:$X,MATCH($A170,SPPR!$A:$A,0),19)),$C170*INDEX(SPPR!$E:$X,MATCH($A170,SPPR!$A:$A,0),19),""),"")</f>
        <v/>
      </c>
      <c r="W170">
        <f>IFERROR(IF(ISNUMBER(INDEX(SPPR!$E:$X,MATCH($A170,SPPR!$A:$A,0),20)),$C170*INDEX(SPPR!$E:$X,MATCH($A170,SPPR!$A:$A,0),20),""),"")</f>
        <v/>
      </c>
    </row>
    <row r="171">
      <c r="A171" t="inlineStr">
        <is>
          <t>Coregonus</t>
        </is>
      </c>
      <c r="B171">
        <f>IFERROR(INDEX(SPPR!$D:$D,MATCH($A171,SPPR!$A:$A,0)),"")</f>
        <v/>
      </c>
      <c r="C171">
        <f>IFERROR(INDEX(Catch!$E:$BV,MATCH($A171,Catch!$A:$A,0),MATCH($B$4,Catch!$E$1:$BV$1,0)),0)</f>
        <v/>
      </c>
      <c r="D171">
        <f>IFERROR(IF(ISNUMBER(INDEX(SPPR!$E:$X,MATCH($A171,SPPR!$A:$A,0),1)),$C171*INDEX(SPPR!$E:$X,MATCH($A171,SPPR!$A:$A,0),1),""),"")</f>
        <v/>
      </c>
      <c r="E171">
        <f>IFERROR(IF(ISNUMBER(INDEX(SPPR!$E:$X,MATCH($A171,SPPR!$A:$A,0),2)),$C171*INDEX(SPPR!$E:$X,MATCH($A171,SPPR!$A:$A,0),2),""),"")</f>
        <v/>
      </c>
      <c r="F171">
        <f>IFERROR(IF(ISNUMBER(INDEX(SPPR!$E:$X,MATCH($A171,SPPR!$A:$A,0),3)),$C171*INDEX(SPPR!$E:$X,MATCH($A171,SPPR!$A:$A,0),3),""),"")</f>
        <v/>
      </c>
      <c r="G171">
        <f>IFERROR(IF(ISNUMBER(INDEX(SPPR!$E:$X,MATCH($A171,SPPR!$A:$A,0),4)),$C171*INDEX(SPPR!$E:$X,MATCH($A171,SPPR!$A:$A,0),4),""),"")</f>
        <v/>
      </c>
      <c r="H171">
        <f>IFERROR(IF(ISNUMBER(INDEX(SPPR!$E:$X,MATCH($A171,SPPR!$A:$A,0),5)),$C171*INDEX(SPPR!$E:$X,MATCH($A171,SPPR!$A:$A,0),5),""),"")</f>
        <v/>
      </c>
      <c r="I171">
        <f>IFERROR(IF(ISNUMBER(INDEX(SPPR!$E:$X,MATCH($A171,SPPR!$A:$A,0),6)),$C171*INDEX(SPPR!$E:$X,MATCH($A171,SPPR!$A:$A,0),6),""),"")</f>
        <v/>
      </c>
      <c r="J171">
        <f>IFERROR(IF(ISNUMBER(INDEX(SPPR!$E:$X,MATCH($A171,SPPR!$A:$A,0),7)),$C171*INDEX(SPPR!$E:$X,MATCH($A171,SPPR!$A:$A,0),7),""),"")</f>
        <v/>
      </c>
      <c r="K171">
        <f>IFERROR(IF(ISNUMBER(INDEX(SPPR!$E:$X,MATCH($A171,SPPR!$A:$A,0),8)),$C171*INDEX(SPPR!$E:$X,MATCH($A171,SPPR!$A:$A,0),8),""),"")</f>
        <v/>
      </c>
      <c r="L171">
        <f>IFERROR(IF(ISNUMBER(INDEX(SPPR!$E:$X,MATCH($A171,SPPR!$A:$A,0),9)),$C171*INDEX(SPPR!$E:$X,MATCH($A171,SPPR!$A:$A,0),9),""),"")</f>
        <v/>
      </c>
      <c r="M171">
        <f>IFERROR(IF(ISNUMBER(INDEX(SPPR!$E:$X,MATCH($A171,SPPR!$A:$A,0),10)),$C171*INDEX(SPPR!$E:$X,MATCH($A171,SPPR!$A:$A,0),10),""),"")</f>
        <v/>
      </c>
      <c r="N171">
        <f>IFERROR(IF(ISNUMBER(INDEX(SPPR!$E:$X,MATCH($A171,SPPR!$A:$A,0),11)),$C171*INDEX(SPPR!$E:$X,MATCH($A171,SPPR!$A:$A,0),11),""),"")</f>
        <v/>
      </c>
      <c r="O171">
        <f>IFERROR(IF(ISNUMBER(INDEX(SPPR!$E:$X,MATCH($A171,SPPR!$A:$A,0),12)),$C171*INDEX(SPPR!$E:$X,MATCH($A171,SPPR!$A:$A,0),12),""),"")</f>
        <v/>
      </c>
      <c r="P171">
        <f>IFERROR(IF(ISNUMBER(INDEX(SPPR!$E:$X,MATCH($A171,SPPR!$A:$A,0),13)),$C171*INDEX(SPPR!$E:$X,MATCH($A171,SPPR!$A:$A,0),13),""),"")</f>
        <v/>
      </c>
      <c r="Q171">
        <f>IFERROR(IF(ISNUMBER(INDEX(SPPR!$E:$X,MATCH($A171,SPPR!$A:$A,0),14)),$C171*INDEX(SPPR!$E:$X,MATCH($A171,SPPR!$A:$A,0),14),""),"")</f>
        <v/>
      </c>
      <c r="R171">
        <f>IFERROR(IF(ISNUMBER(INDEX(SPPR!$E:$X,MATCH($A171,SPPR!$A:$A,0),15)),$C171*INDEX(SPPR!$E:$X,MATCH($A171,SPPR!$A:$A,0),15),""),"")</f>
        <v/>
      </c>
      <c r="S171">
        <f>IFERROR(IF(ISNUMBER(INDEX(SPPR!$E:$X,MATCH($A171,SPPR!$A:$A,0),16)),$C171*INDEX(SPPR!$E:$X,MATCH($A171,SPPR!$A:$A,0),16),""),"")</f>
        <v/>
      </c>
      <c r="T171">
        <f>IFERROR(IF(ISNUMBER(INDEX(SPPR!$E:$X,MATCH($A171,SPPR!$A:$A,0),17)),$C171*INDEX(SPPR!$E:$X,MATCH($A171,SPPR!$A:$A,0),17),""),"")</f>
        <v/>
      </c>
      <c r="U171">
        <f>IFERROR(IF(ISNUMBER(INDEX(SPPR!$E:$X,MATCH($A171,SPPR!$A:$A,0),18)),$C171*INDEX(SPPR!$E:$X,MATCH($A171,SPPR!$A:$A,0),18),""),"")</f>
        <v/>
      </c>
      <c r="V171">
        <f>IFERROR(IF(ISNUMBER(INDEX(SPPR!$E:$X,MATCH($A171,SPPR!$A:$A,0),19)),$C171*INDEX(SPPR!$E:$X,MATCH($A171,SPPR!$A:$A,0),19),""),"")</f>
        <v/>
      </c>
      <c r="W171">
        <f>IFERROR(IF(ISNUMBER(INDEX(SPPR!$E:$X,MATCH($A171,SPPR!$A:$A,0),20)),$C171*INDEX(SPPR!$E:$X,MATCH($A171,SPPR!$A:$A,0),20),""),"")</f>
        <v/>
      </c>
    </row>
    <row r="172">
      <c r="A172" t="inlineStr">
        <is>
          <t>Brama brama</t>
        </is>
      </c>
      <c r="B172">
        <f>IFERROR(INDEX(SPPR!$D:$D,MATCH($A172,SPPR!$A:$A,0)),"")</f>
        <v/>
      </c>
      <c r="C172">
        <f>IFERROR(INDEX(Catch!$E:$BV,MATCH($A172,Catch!$A:$A,0),MATCH($B$4,Catch!$E$1:$BV$1,0)),0)</f>
        <v/>
      </c>
      <c r="D172">
        <f>IFERROR(IF(ISNUMBER(INDEX(SPPR!$E:$X,MATCH($A172,SPPR!$A:$A,0),1)),$C172*INDEX(SPPR!$E:$X,MATCH($A172,SPPR!$A:$A,0),1),""),"")</f>
        <v/>
      </c>
      <c r="E172">
        <f>IFERROR(IF(ISNUMBER(INDEX(SPPR!$E:$X,MATCH($A172,SPPR!$A:$A,0),2)),$C172*INDEX(SPPR!$E:$X,MATCH($A172,SPPR!$A:$A,0),2),""),"")</f>
        <v/>
      </c>
      <c r="F172">
        <f>IFERROR(IF(ISNUMBER(INDEX(SPPR!$E:$X,MATCH($A172,SPPR!$A:$A,0),3)),$C172*INDEX(SPPR!$E:$X,MATCH($A172,SPPR!$A:$A,0),3),""),"")</f>
        <v/>
      </c>
      <c r="G172">
        <f>IFERROR(IF(ISNUMBER(INDEX(SPPR!$E:$X,MATCH($A172,SPPR!$A:$A,0),4)),$C172*INDEX(SPPR!$E:$X,MATCH($A172,SPPR!$A:$A,0),4),""),"")</f>
        <v/>
      </c>
      <c r="H172">
        <f>IFERROR(IF(ISNUMBER(INDEX(SPPR!$E:$X,MATCH($A172,SPPR!$A:$A,0),5)),$C172*INDEX(SPPR!$E:$X,MATCH($A172,SPPR!$A:$A,0),5),""),"")</f>
        <v/>
      </c>
      <c r="I172">
        <f>IFERROR(IF(ISNUMBER(INDEX(SPPR!$E:$X,MATCH($A172,SPPR!$A:$A,0),6)),$C172*INDEX(SPPR!$E:$X,MATCH($A172,SPPR!$A:$A,0),6),""),"")</f>
        <v/>
      </c>
      <c r="J172">
        <f>IFERROR(IF(ISNUMBER(INDEX(SPPR!$E:$X,MATCH($A172,SPPR!$A:$A,0),7)),$C172*INDEX(SPPR!$E:$X,MATCH($A172,SPPR!$A:$A,0),7),""),"")</f>
        <v/>
      </c>
      <c r="K172">
        <f>IFERROR(IF(ISNUMBER(INDEX(SPPR!$E:$X,MATCH($A172,SPPR!$A:$A,0),8)),$C172*INDEX(SPPR!$E:$X,MATCH($A172,SPPR!$A:$A,0),8),""),"")</f>
        <v/>
      </c>
      <c r="L172">
        <f>IFERROR(IF(ISNUMBER(INDEX(SPPR!$E:$X,MATCH($A172,SPPR!$A:$A,0),9)),$C172*INDEX(SPPR!$E:$X,MATCH($A172,SPPR!$A:$A,0),9),""),"")</f>
        <v/>
      </c>
      <c r="M172">
        <f>IFERROR(IF(ISNUMBER(INDEX(SPPR!$E:$X,MATCH($A172,SPPR!$A:$A,0),10)),$C172*INDEX(SPPR!$E:$X,MATCH($A172,SPPR!$A:$A,0),10),""),"")</f>
        <v/>
      </c>
      <c r="N172">
        <f>IFERROR(IF(ISNUMBER(INDEX(SPPR!$E:$X,MATCH($A172,SPPR!$A:$A,0),11)),$C172*INDEX(SPPR!$E:$X,MATCH($A172,SPPR!$A:$A,0),11),""),"")</f>
        <v/>
      </c>
      <c r="O172">
        <f>IFERROR(IF(ISNUMBER(INDEX(SPPR!$E:$X,MATCH($A172,SPPR!$A:$A,0),12)),$C172*INDEX(SPPR!$E:$X,MATCH($A172,SPPR!$A:$A,0),12),""),"")</f>
        <v/>
      </c>
      <c r="P172">
        <f>IFERROR(IF(ISNUMBER(INDEX(SPPR!$E:$X,MATCH($A172,SPPR!$A:$A,0),13)),$C172*INDEX(SPPR!$E:$X,MATCH($A172,SPPR!$A:$A,0),13),""),"")</f>
        <v/>
      </c>
      <c r="Q172">
        <f>IFERROR(IF(ISNUMBER(INDEX(SPPR!$E:$X,MATCH($A172,SPPR!$A:$A,0),14)),$C172*INDEX(SPPR!$E:$X,MATCH($A172,SPPR!$A:$A,0),14),""),"")</f>
        <v/>
      </c>
      <c r="R172">
        <f>IFERROR(IF(ISNUMBER(INDEX(SPPR!$E:$X,MATCH($A172,SPPR!$A:$A,0),15)),$C172*INDEX(SPPR!$E:$X,MATCH($A172,SPPR!$A:$A,0),15),""),"")</f>
        <v/>
      </c>
      <c r="S172">
        <f>IFERROR(IF(ISNUMBER(INDEX(SPPR!$E:$X,MATCH($A172,SPPR!$A:$A,0),16)),$C172*INDEX(SPPR!$E:$X,MATCH($A172,SPPR!$A:$A,0),16),""),"")</f>
        <v/>
      </c>
      <c r="T172">
        <f>IFERROR(IF(ISNUMBER(INDEX(SPPR!$E:$X,MATCH($A172,SPPR!$A:$A,0),17)),$C172*INDEX(SPPR!$E:$X,MATCH($A172,SPPR!$A:$A,0),17),""),"")</f>
        <v/>
      </c>
      <c r="U172">
        <f>IFERROR(IF(ISNUMBER(INDEX(SPPR!$E:$X,MATCH($A172,SPPR!$A:$A,0),18)),$C172*INDEX(SPPR!$E:$X,MATCH($A172,SPPR!$A:$A,0),18),""),"")</f>
        <v/>
      </c>
      <c r="V172">
        <f>IFERROR(IF(ISNUMBER(INDEX(SPPR!$E:$X,MATCH($A172,SPPR!$A:$A,0),19)),$C172*INDEX(SPPR!$E:$X,MATCH($A172,SPPR!$A:$A,0),19),""),"")</f>
        <v/>
      </c>
      <c r="W172">
        <f>IFERROR(IF(ISNUMBER(INDEX(SPPR!$E:$X,MATCH($A172,SPPR!$A:$A,0),20)),$C172*INDEX(SPPR!$E:$X,MATCH($A172,SPPR!$A:$A,0),20),""),"")</f>
        <v/>
      </c>
    </row>
    <row r="173">
      <c r="A173" t="inlineStr">
        <is>
          <t>Leucoraja fullonica</t>
        </is>
      </c>
      <c r="B173">
        <f>IFERROR(INDEX(SPPR!$D:$D,MATCH($A173,SPPR!$A:$A,0)),"")</f>
        <v/>
      </c>
      <c r="C173">
        <f>IFERROR(INDEX(Catch!$E:$BV,MATCH($A173,Catch!$A:$A,0),MATCH($B$4,Catch!$E$1:$BV$1,0)),0)</f>
        <v/>
      </c>
      <c r="D173">
        <f>IFERROR(IF(ISNUMBER(INDEX(SPPR!$E:$X,MATCH($A173,SPPR!$A:$A,0),1)),$C173*INDEX(SPPR!$E:$X,MATCH($A173,SPPR!$A:$A,0),1),""),"")</f>
        <v/>
      </c>
      <c r="E173">
        <f>IFERROR(IF(ISNUMBER(INDEX(SPPR!$E:$X,MATCH($A173,SPPR!$A:$A,0),2)),$C173*INDEX(SPPR!$E:$X,MATCH($A173,SPPR!$A:$A,0),2),""),"")</f>
        <v/>
      </c>
      <c r="F173">
        <f>IFERROR(IF(ISNUMBER(INDEX(SPPR!$E:$X,MATCH($A173,SPPR!$A:$A,0),3)),$C173*INDEX(SPPR!$E:$X,MATCH($A173,SPPR!$A:$A,0),3),""),"")</f>
        <v/>
      </c>
      <c r="G173">
        <f>IFERROR(IF(ISNUMBER(INDEX(SPPR!$E:$X,MATCH($A173,SPPR!$A:$A,0),4)),$C173*INDEX(SPPR!$E:$X,MATCH($A173,SPPR!$A:$A,0),4),""),"")</f>
        <v/>
      </c>
      <c r="H173">
        <f>IFERROR(IF(ISNUMBER(INDEX(SPPR!$E:$X,MATCH($A173,SPPR!$A:$A,0),5)),$C173*INDEX(SPPR!$E:$X,MATCH($A173,SPPR!$A:$A,0),5),""),"")</f>
        <v/>
      </c>
      <c r="I173">
        <f>IFERROR(IF(ISNUMBER(INDEX(SPPR!$E:$X,MATCH($A173,SPPR!$A:$A,0),6)),$C173*INDEX(SPPR!$E:$X,MATCH($A173,SPPR!$A:$A,0),6),""),"")</f>
        <v/>
      </c>
      <c r="J173">
        <f>IFERROR(IF(ISNUMBER(INDEX(SPPR!$E:$X,MATCH($A173,SPPR!$A:$A,0),7)),$C173*INDEX(SPPR!$E:$X,MATCH($A173,SPPR!$A:$A,0),7),""),"")</f>
        <v/>
      </c>
      <c r="K173">
        <f>IFERROR(IF(ISNUMBER(INDEX(SPPR!$E:$X,MATCH($A173,SPPR!$A:$A,0),8)),$C173*INDEX(SPPR!$E:$X,MATCH($A173,SPPR!$A:$A,0),8),""),"")</f>
        <v/>
      </c>
      <c r="L173">
        <f>IFERROR(IF(ISNUMBER(INDEX(SPPR!$E:$X,MATCH($A173,SPPR!$A:$A,0),9)),$C173*INDEX(SPPR!$E:$X,MATCH($A173,SPPR!$A:$A,0),9),""),"")</f>
        <v/>
      </c>
      <c r="M173">
        <f>IFERROR(IF(ISNUMBER(INDEX(SPPR!$E:$X,MATCH($A173,SPPR!$A:$A,0),10)),$C173*INDEX(SPPR!$E:$X,MATCH($A173,SPPR!$A:$A,0),10),""),"")</f>
        <v/>
      </c>
      <c r="N173">
        <f>IFERROR(IF(ISNUMBER(INDEX(SPPR!$E:$X,MATCH($A173,SPPR!$A:$A,0),11)),$C173*INDEX(SPPR!$E:$X,MATCH($A173,SPPR!$A:$A,0),11),""),"")</f>
        <v/>
      </c>
      <c r="O173">
        <f>IFERROR(IF(ISNUMBER(INDEX(SPPR!$E:$X,MATCH($A173,SPPR!$A:$A,0),12)),$C173*INDEX(SPPR!$E:$X,MATCH($A173,SPPR!$A:$A,0),12),""),"")</f>
        <v/>
      </c>
      <c r="P173">
        <f>IFERROR(IF(ISNUMBER(INDEX(SPPR!$E:$X,MATCH($A173,SPPR!$A:$A,0),13)),$C173*INDEX(SPPR!$E:$X,MATCH($A173,SPPR!$A:$A,0),13),""),"")</f>
        <v/>
      </c>
      <c r="Q173">
        <f>IFERROR(IF(ISNUMBER(INDEX(SPPR!$E:$X,MATCH($A173,SPPR!$A:$A,0),14)),$C173*INDEX(SPPR!$E:$X,MATCH($A173,SPPR!$A:$A,0),14),""),"")</f>
        <v/>
      </c>
      <c r="R173">
        <f>IFERROR(IF(ISNUMBER(INDEX(SPPR!$E:$X,MATCH($A173,SPPR!$A:$A,0),15)),$C173*INDEX(SPPR!$E:$X,MATCH($A173,SPPR!$A:$A,0),15),""),"")</f>
        <v/>
      </c>
      <c r="S173">
        <f>IFERROR(IF(ISNUMBER(INDEX(SPPR!$E:$X,MATCH($A173,SPPR!$A:$A,0),16)),$C173*INDEX(SPPR!$E:$X,MATCH($A173,SPPR!$A:$A,0),16),""),"")</f>
        <v/>
      </c>
      <c r="T173">
        <f>IFERROR(IF(ISNUMBER(INDEX(SPPR!$E:$X,MATCH($A173,SPPR!$A:$A,0),17)),$C173*INDEX(SPPR!$E:$X,MATCH($A173,SPPR!$A:$A,0),17),""),"")</f>
        <v/>
      </c>
      <c r="U173">
        <f>IFERROR(IF(ISNUMBER(INDEX(SPPR!$E:$X,MATCH($A173,SPPR!$A:$A,0),18)),$C173*INDEX(SPPR!$E:$X,MATCH($A173,SPPR!$A:$A,0),18),""),"")</f>
        <v/>
      </c>
      <c r="V173">
        <f>IFERROR(IF(ISNUMBER(INDEX(SPPR!$E:$X,MATCH($A173,SPPR!$A:$A,0),19)),$C173*INDEX(SPPR!$E:$X,MATCH($A173,SPPR!$A:$A,0),19),""),"")</f>
        <v/>
      </c>
      <c r="W173">
        <f>IFERROR(IF(ISNUMBER(INDEX(SPPR!$E:$X,MATCH($A173,SPPR!$A:$A,0),20)),$C173*INDEX(SPPR!$E:$X,MATCH($A173,SPPR!$A:$A,0),20),""),"")</f>
        <v/>
      </c>
    </row>
    <row r="174">
      <c r="A174" t="inlineStr">
        <is>
          <t>Magallana gigas</t>
        </is>
      </c>
      <c r="B174">
        <f>IFERROR(INDEX(SPPR!$D:$D,MATCH($A174,SPPR!$A:$A,0)),"")</f>
        <v/>
      </c>
      <c r="C174">
        <f>IFERROR(INDEX(Catch!$E:$BV,MATCH($A174,Catch!$A:$A,0),MATCH($B$4,Catch!$E$1:$BV$1,0)),0)</f>
        <v/>
      </c>
      <c r="D174">
        <f>IFERROR(IF(ISNUMBER(INDEX(SPPR!$E:$X,MATCH($A174,SPPR!$A:$A,0),1)),$C174*INDEX(SPPR!$E:$X,MATCH($A174,SPPR!$A:$A,0),1),""),"")</f>
        <v/>
      </c>
      <c r="E174">
        <f>IFERROR(IF(ISNUMBER(INDEX(SPPR!$E:$X,MATCH($A174,SPPR!$A:$A,0),2)),$C174*INDEX(SPPR!$E:$X,MATCH($A174,SPPR!$A:$A,0),2),""),"")</f>
        <v/>
      </c>
      <c r="F174">
        <f>IFERROR(IF(ISNUMBER(INDEX(SPPR!$E:$X,MATCH($A174,SPPR!$A:$A,0),3)),$C174*INDEX(SPPR!$E:$X,MATCH($A174,SPPR!$A:$A,0),3),""),"")</f>
        <v/>
      </c>
      <c r="G174">
        <f>IFERROR(IF(ISNUMBER(INDEX(SPPR!$E:$X,MATCH($A174,SPPR!$A:$A,0),4)),$C174*INDEX(SPPR!$E:$X,MATCH($A174,SPPR!$A:$A,0),4),""),"")</f>
        <v/>
      </c>
      <c r="H174">
        <f>IFERROR(IF(ISNUMBER(INDEX(SPPR!$E:$X,MATCH($A174,SPPR!$A:$A,0),5)),$C174*INDEX(SPPR!$E:$X,MATCH($A174,SPPR!$A:$A,0),5),""),"")</f>
        <v/>
      </c>
      <c r="I174">
        <f>IFERROR(IF(ISNUMBER(INDEX(SPPR!$E:$X,MATCH($A174,SPPR!$A:$A,0),6)),$C174*INDEX(SPPR!$E:$X,MATCH($A174,SPPR!$A:$A,0),6),""),"")</f>
        <v/>
      </c>
      <c r="J174">
        <f>IFERROR(IF(ISNUMBER(INDEX(SPPR!$E:$X,MATCH($A174,SPPR!$A:$A,0),7)),$C174*INDEX(SPPR!$E:$X,MATCH($A174,SPPR!$A:$A,0),7),""),"")</f>
        <v/>
      </c>
      <c r="K174">
        <f>IFERROR(IF(ISNUMBER(INDEX(SPPR!$E:$X,MATCH($A174,SPPR!$A:$A,0),8)),$C174*INDEX(SPPR!$E:$X,MATCH($A174,SPPR!$A:$A,0),8),""),"")</f>
        <v/>
      </c>
      <c r="L174">
        <f>IFERROR(IF(ISNUMBER(INDEX(SPPR!$E:$X,MATCH($A174,SPPR!$A:$A,0),9)),$C174*INDEX(SPPR!$E:$X,MATCH($A174,SPPR!$A:$A,0),9),""),"")</f>
        <v/>
      </c>
      <c r="M174">
        <f>IFERROR(IF(ISNUMBER(INDEX(SPPR!$E:$X,MATCH($A174,SPPR!$A:$A,0),10)),$C174*INDEX(SPPR!$E:$X,MATCH($A174,SPPR!$A:$A,0),10),""),"")</f>
        <v/>
      </c>
      <c r="N174">
        <f>IFERROR(IF(ISNUMBER(INDEX(SPPR!$E:$X,MATCH($A174,SPPR!$A:$A,0),11)),$C174*INDEX(SPPR!$E:$X,MATCH($A174,SPPR!$A:$A,0),11),""),"")</f>
        <v/>
      </c>
      <c r="O174">
        <f>IFERROR(IF(ISNUMBER(INDEX(SPPR!$E:$X,MATCH($A174,SPPR!$A:$A,0),12)),$C174*INDEX(SPPR!$E:$X,MATCH($A174,SPPR!$A:$A,0),12),""),"")</f>
        <v/>
      </c>
      <c r="P174">
        <f>IFERROR(IF(ISNUMBER(INDEX(SPPR!$E:$X,MATCH($A174,SPPR!$A:$A,0),13)),$C174*INDEX(SPPR!$E:$X,MATCH($A174,SPPR!$A:$A,0),13),""),"")</f>
        <v/>
      </c>
      <c r="Q174">
        <f>IFERROR(IF(ISNUMBER(INDEX(SPPR!$E:$X,MATCH($A174,SPPR!$A:$A,0),14)),$C174*INDEX(SPPR!$E:$X,MATCH($A174,SPPR!$A:$A,0),14),""),"")</f>
        <v/>
      </c>
      <c r="R174">
        <f>IFERROR(IF(ISNUMBER(INDEX(SPPR!$E:$X,MATCH($A174,SPPR!$A:$A,0),15)),$C174*INDEX(SPPR!$E:$X,MATCH($A174,SPPR!$A:$A,0),15),""),"")</f>
        <v/>
      </c>
      <c r="S174">
        <f>IFERROR(IF(ISNUMBER(INDEX(SPPR!$E:$X,MATCH($A174,SPPR!$A:$A,0),16)),$C174*INDEX(SPPR!$E:$X,MATCH($A174,SPPR!$A:$A,0),16),""),"")</f>
        <v/>
      </c>
      <c r="T174">
        <f>IFERROR(IF(ISNUMBER(INDEX(SPPR!$E:$X,MATCH($A174,SPPR!$A:$A,0),17)),$C174*INDEX(SPPR!$E:$X,MATCH($A174,SPPR!$A:$A,0),17),""),"")</f>
        <v/>
      </c>
      <c r="U174">
        <f>IFERROR(IF(ISNUMBER(INDEX(SPPR!$E:$X,MATCH($A174,SPPR!$A:$A,0),18)),$C174*INDEX(SPPR!$E:$X,MATCH($A174,SPPR!$A:$A,0),18),""),"")</f>
        <v/>
      </c>
      <c r="V174">
        <f>IFERROR(IF(ISNUMBER(INDEX(SPPR!$E:$X,MATCH($A174,SPPR!$A:$A,0),19)),$C174*INDEX(SPPR!$E:$X,MATCH($A174,SPPR!$A:$A,0),19),""),"")</f>
        <v/>
      </c>
      <c r="W174">
        <f>IFERROR(IF(ISNUMBER(INDEX(SPPR!$E:$X,MATCH($A174,SPPR!$A:$A,0),20)),$C174*INDEX(SPPR!$E:$X,MATCH($A174,SPPR!$A:$A,0),20),""),"")</f>
        <v/>
      </c>
    </row>
    <row r="175">
      <c r="A175" t="inlineStr">
        <is>
          <t>Perca fluviatilis</t>
        </is>
      </c>
      <c r="B175">
        <f>IFERROR(INDEX(SPPR!$D:$D,MATCH($A175,SPPR!$A:$A,0)),"")</f>
        <v/>
      </c>
      <c r="C175">
        <f>IFERROR(INDEX(Catch!$E:$BV,MATCH($A175,Catch!$A:$A,0),MATCH($B$4,Catch!$E$1:$BV$1,0)),0)</f>
        <v/>
      </c>
      <c r="D175">
        <f>IFERROR(IF(ISNUMBER(INDEX(SPPR!$E:$X,MATCH($A175,SPPR!$A:$A,0),1)),$C175*INDEX(SPPR!$E:$X,MATCH($A175,SPPR!$A:$A,0),1),""),"")</f>
        <v/>
      </c>
      <c r="E175">
        <f>IFERROR(IF(ISNUMBER(INDEX(SPPR!$E:$X,MATCH($A175,SPPR!$A:$A,0),2)),$C175*INDEX(SPPR!$E:$X,MATCH($A175,SPPR!$A:$A,0),2),""),"")</f>
        <v/>
      </c>
      <c r="F175">
        <f>IFERROR(IF(ISNUMBER(INDEX(SPPR!$E:$X,MATCH($A175,SPPR!$A:$A,0),3)),$C175*INDEX(SPPR!$E:$X,MATCH($A175,SPPR!$A:$A,0),3),""),"")</f>
        <v/>
      </c>
      <c r="G175">
        <f>IFERROR(IF(ISNUMBER(INDEX(SPPR!$E:$X,MATCH($A175,SPPR!$A:$A,0),4)),$C175*INDEX(SPPR!$E:$X,MATCH($A175,SPPR!$A:$A,0),4),""),"")</f>
        <v/>
      </c>
      <c r="H175">
        <f>IFERROR(IF(ISNUMBER(INDEX(SPPR!$E:$X,MATCH($A175,SPPR!$A:$A,0),5)),$C175*INDEX(SPPR!$E:$X,MATCH($A175,SPPR!$A:$A,0),5),""),"")</f>
        <v/>
      </c>
      <c r="I175">
        <f>IFERROR(IF(ISNUMBER(INDEX(SPPR!$E:$X,MATCH($A175,SPPR!$A:$A,0),6)),$C175*INDEX(SPPR!$E:$X,MATCH($A175,SPPR!$A:$A,0),6),""),"")</f>
        <v/>
      </c>
      <c r="J175">
        <f>IFERROR(IF(ISNUMBER(INDEX(SPPR!$E:$X,MATCH($A175,SPPR!$A:$A,0),7)),$C175*INDEX(SPPR!$E:$X,MATCH($A175,SPPR!$A:$A,0),7),""),"")</f>
        <v/>
      </c>
      <c r="K175">
        <f>IFERROR(IF(ISNUMBER(INDEX(SPPR!$E:$X,MATCH($A175,SPPR!$A:$A,0),8)),$C175*INDEX(SPPR!$E:$X,MATCH($A175,SPPR!$A:$A,0),8),""),"")</f>
        <v/>
      </c>
      <c r="L175">
        <f>IFERROR(IF(ISNUMBER(INDEX(SPPR!$E:$X,MATCH($A175,SPPR!$A:$A,0),9)),$C175*INDEX(SPPR!$E:$X,MATCH($A175,SPPR!$A:$A,0),9),""),"")</f>
        <v/>
      </c>
      <c r="M175">
        <f>IFERROR(IF(ISNUMBER(INDEX(SPPR!$E:$X,MATCH($A175,SPPR!$A:$A,0),10)),$C175*INDEX(SPPR!$E:$X,MATCH($A175,SPPR!$A:$A,0),10),""),"")</f>
        <v/>
      </c>
      <c r="N175">
        <f>IFERROR(IF(ISNUMBER(INDEX(SPPR!$E:$X,MATCH($A175,SPPR!$A:$A,0),11)),$C175*INDEX(SPPR!$E:$X,MATCH($A175,SPPR!$A:$A,0),11),""),"")</f>
        <v/>
      </c>
      <c r="O175">
        <f>IFERROR(IF(ISNUMBER(INDEX(SPPR!$E:$X,MATCH($A175,SPPR!$A:$A,0),12)),$C175*INDEX(SPPR!$E:$X,MATCH($A175,SPPR!$A:$A,0),12),""),"")</f>
        <v/>
      </c>
      <c r="P175">
        <f>IFERROR(IF(ISNUMBER(INDEX(SPPR!$E:$X,MATCH($A175,SPPR!$A:$A,0),13)),$C175*INDEX(SPPR!$E:$X,MATCH($A175,SPPR!$A:$A,0),13),""),"")</f>
        <v/>
      </c>
      <c r="Q175">
        <f>IFERROR(IF(ISNUMBER(INDEX(SPPR!$E:$X,MATCH($A175,SPPR!$A:$A,0),14)),$C175*INDEX(SPPR!$E:$X,MATCH($A175,SPPR!$A:$A,0),14),""),"")</f>
        <v/>
      </c>
      <c r="R175">
        <f>IFERROR(IF(ISNUMBER(INDEX(SPPR!$E:$X,MATCH($A175,SPPR!$A:$A,0),15)),$C175*INDEX(SPPR!$E:$X,MATCH($A175,SPPR!$A:$A,0),15),""),"")</f>
        <v/>
      </c>
      <c r="S175">
        <f>IFERROR(IF(ISNUMBER(INDEX(SPPR!$E:$X,MATCH($A175,SPPR!$A:$A,0),16)),$C175*INDEX(SPPR!$E:$X,MATCH($A175,SPPR!$A:$A,0),16),""),"")</f>
        <v/>
      </c>
      <c r="T175">
        <f>IFERROR(IF(ISNUMBER(INDEX(SPPR!$E:$X,MATCH($A175,SPPR!$A:$A,0),17)),$C175*INDEX(SPPR!$E:$X,MATCH($A175,SPPR!$A:$A,0),17),""),"")</f>
        <v/>
      </c>
      <c r="U175">
        <f>IFERROR(IF(ISNUMBER(INDEX(SPPR!$E:$X,MATCH($A175,SPPR!$A:$A,0),18)),$C175*INDEX(SPPR!$E:$X,MATCH($A175,SPPR!$A:$A,0),18),""),"")</f>
        <v/>
      </c>
      <c r="V175">
        <f>IFERROR(IF(ISNUMBER(INDEX(SPPR!$E:$X,MATCH($A175,SPPR!$A:$A,0),19)),$C175*INDEX(SPPR!$E:$X,MATCH($A175,SPPR!$A:$A,0),19),""),"")</f>
        <v/>
      </c>
      <c r="W175">
        <f>IFERROR(IF(ISNUMBER(INDEX(SPPR!$E:$X,MATCH($A175,SPPR!$A:$A,0),20)),$C175*INDEX(SPPR!$E:$X,MATCH($A175,SPPR!$A:$A,0),20),""),"")</f>
        <v/>
      </c>
    </row>
    <row r="176">
      <c r="A176" t="inlineStr">
        <is>
          <t>Esox lucius</t>
        </is>
      </c>
      <c r="B176">
        <f>IFERROR(INDEX(SPPR!$D:$D,MATCH($A176,SPPR!$A:$A,0)),"")</f>
        <v/>
      </c>
      <c r="C176">
        <f>IFERROR(INDEX(Catch!$E:$BV,MATCH($A176,Catch!$A:$A,0),MATCH($B$4,Catch!$E$1:$BV$1,0)),0)</f>
        <v/>
      </c>
      <c r="D176">
        <f>IFERROR(IF(ISNUMBER(INDEX(SPPR!$E:$X,MATCH($A176,SPPR!$A:$A,0),1)),$C176*INDEX(SPPR!$E:$X,MATCH($A176,SPPR!$A:$A,0),1),""),"")</f>
        <v/>
      </c>
      <c r="E176">
        <f>IFERROR(IF(ISNUMBER(INDEX(SPPR!$E:$X,MATCH($A176,SPPR!$A:$A,0),2)),$C176*INDEX(SPPR!$E:$X,MATCH($A176,SPPR!$A:$A,0),2),""),"")</f>
        <v/>
      </c>
      <c r="F176">
        <f>IFERROR(IF(ISNUMBER(INDEX(SPPR!$E:$X,MATCH($A176,SPPR!$A:$A,0),3)),$C176*INDEX(SPPR!$E:$X,MATCH($A176,SPPR!$A:$A,0),3),""),"")</f>
        <v/>
      </c>
      <c r="G176">
        <f>IFERROR(IF(ISNUMBER(INDEX(SPPR!$E:$X,MATCH($A176,SPPR!$A:$A,0),4)),$C176*INDEX(SPPR!$E:$X,MATCH($A176,SPPR!$A:$A,0),4),""),"")</f>
        <v/>
      </c>
      <c r="H176">
        <f>IFERROR(IF(ISNUMBER(INDEX(SPPR!$E:$X,MATCH($A176,SPPR!$A:$A,0),5)),$C176*INDEX(SPPR!$E:$X,MATCH($A176,SPPR!$A:$A,0),5),""),"")</f>
        <v/>
      </c>
      <c r="I176">
        <f>IFERROR(IF(ISNUMBER(INDEX(SPPR!$E:$X,MATCH($A176,SPPR!$A:$A,0),6)),$C176*INDEX(SPPR!$E:$X,MATCH($A176,SPPR!$A:$A,0),6),""),"")</f>
        <v/>
      </c>
      <c r="J176">
        <f>IFERROR(IF(ISNUMBER(INDEX(SPPR!$E:$X,MATCH($A176,SPPR!$A:$A,0),7)),$C176*INDEX(SPPR!$E:$X,MATCH($A176,SPPR!$A:$A,0),7),""),"")</f>
        <v/>
      </c>
      <c r="K176">
        <f>IFERROR(IF(ISNUMBER(INDEX(SPPR!$E:$X,MATCH($A176,SPPR!$A:$A,0),8)),$C176*INDEX(SPPR!$E:$X,MATCH($A176,SPPR!$A:$A,0),8),""),"")</f>
        <v/>
      </c>
      <c r="L176">
        <f>IFERROR(IF(ISNUMBER(INDEX(SPPR!$E:$X,MATCH($A176,SPPR!$A:$A,0),9)),$C176*INDEX(SPPR!$E:$X,MATCH($A176,SPPR!$A:$A,0),9),""),"")</f>
        <v/>
      </c>
      <c r="M176">
        <f>IFERROR(IF(ISNUMBER(INDEX(SPPR!$E:$X,MATCH($A176,SPPR!$A:$A,0),10)),$C176*INDEX(SPPR!$E:$X,MATCH($A176,SPPR!$A:$A,0),10),""),"")</f>
        <v/>
      </c>
      <c r="N176">
        <f>IFERROR(IF(ISNUMBER(INDEX(SPPR!$E:$X,MATCH($A176,SPPR!$A:$A,0),11)),$C176*INDEX(SPPR!$E:$X,MATCH($A176,SPPR!$A:$A,0),11),""),"")</f>
        <v/>
      </c>
      <c r="O176">
        <f>IFERROR(IF(ISNUMBER(INDEX(SPPR!$E:$X,MATCH($A176,SPPR!$A:$A,0),12)),$C176*INDEX(SPPR!$E:$X,MATCH($A176,SPPR!$A:$A,0),12),""),"")</f>
        <v/>
      </c>
      <c r="P176">
        <f>IFERROR(IF(ISNUMBER(INDEX(SPPR!$E:$X,MATCH($A176,SPPR!$A:$A,0),13)),$C176*INDEX(SPPR!$E:$X,MATCH($A176,SPPR!$A:$A,0),13),""),"")</f>
        <v/>
      </c>
      <c r="Q176">
        <f>IFERROR(IF(ISNUMBER(INDEX(SPPR!$E:$X,MATCH($A176,SPPR!$A:$A,0),14)),$C176*INDEX(SPPR!$E:$X,MATCH($A176,SPPR!$A:$A,0),14),""),"")</f>
        <v/>
      </c>
      <c r="R176">
        <f>IFERROR(IF(ISNUMBER(INDEX(SPPR!$E:$X,MATCH($A176,SPPR!$A:$A,0),15)),$C176*INDEX(SPPR!$E:$X,MATCH($A176,SPPR!$A:$A,0),15),""),"")</f>
        <v/>
      </c>
      <c r="S176">
        <f>IFERROR(IF(ISNUMBER(INDEX(SPPR!$E:$X,MATCH($A176,SPPR!$A:$A,0),16)),$C176*INDEX(SPPR!$E:$X,MATCH($A176,SPPR!$A:$A,0),16),""),"")</f>
        <v/>
      </c>
      <c r="T176">
        <f>IFERROR(IF(ISNUMBER(INDEX(SPPR!$E:$X,MATCH($A176,SPPR!$A:$A,0),17)),$C176*INDEX(SPPR!$E:$X,MATCH($A176,SPPR!$A:$A,0),17),""),"")</f>
        <v/>
      </c>
      <c r="U176">
        <f>IFERROR(IF(ISNUMBER(INDEX(SPPR!$E:$X,MATCH($A176,SPPR!$A:$A,0),18)),$C176*INDEX(SPPR!$E:$X,MATCH($A176,SPPR!$A:$A,0),18),""),"")</f>
        <v/>
      </c>
      <c r="V176">
        <f>IFERROR(IF(ISNUMBER(INDEX(SPPR!$E:$X,MATCH($A176,SPPR!$A:$A,0),19)),$C176*INDEX(SPPR!$E:$X,MATCH($A176,SPPR!$A:$A,0),19),""),"")</f>
        <v/>
      </c>
      <c r="W176">
        <f>IFERROR(IF(ISNUMBER(INDEX(SPPR!$E:$X,MATCH($A176,SPPR!$A:$A,0),20)),$C176*INDEX(SPPR!$E:$X,MATCH($A176,SPPR!$A:$A,0),20),""),"")</f>
        <v/>
      </c>
    </row>
    <row r="177">
      <c r="A177" t="inlineStr">
        <is>
          <t>Scyliorhinus</t>
        </is>
      </c>
      <c r="B177">
        <f>IFERROR(INDEX(SPPR!$D:$D,MATCH($A177,SPPR!$A:$A,0)),"")</f>
        <v/>
      </c>
      <c r="C177">
        <f>IFERROR(INDEX(Catch!$E:$BV,MATCH($A177,Catch!$A:$A,0),MATCH($B$4,Catch!$E$1:$BV$1,0)),0)</f>
        <v/>
      </c>
      <c r="D177">
        <f>IFERROR(IF(ISNUMBER(INDEX(SPPR!$E:$X,MATCH($A177,SPPR!$A:$A,0),1)),$C177*INDEX(SPPR!$E:$X,MATCH($A177,SPPR!$A:$A,0),1),""),"")</f>
        <v/>
      </c>
      <c r="E177">
        <f>IFERROR(IF(ISNUMBER(INDEX(SPPR!$E:$X,MATCH($A177,SPPR!$A:$A,0),2)),$C177*INDEX(SPPR!$E:$X,MATCH($A177,SPPR!$A:$A,0),2),""),"")</f>
        <v/>
      </c>
      <c r="F177">
        <f>IFERROR(IF(ISNUMBER(INDEX(SPPR!$E:$X,MATCH($A177,SPPR!$A:$A,0),3)),$C177*INDEX(SPPR!$E:$X,MATCH($A177,SPPR!$A:$A,0),3),""),"")</f>
        <v/>
      </c>
      <c r="G177">
        <f>IFERROR(IF(ISNUMBER(INDEX(SPPR!$E:$X,MATCH($A177,SPPR!$A:$A,0),4)),$C177*INDEX(SPPR!$E:$X,MATCH($A177,SPPR!$A:$A,0),4),""),"")</f>
        <v/>
      </c>
      <c r="H177">
        <f>IFERROR(IF(ISNUMBER(INDEX(SPPR!$E:$X,MATCH($A177,SPPR!$A:$A,0),5)),$C177*INDEX(SPPR!$E:$X,MATCH($A177,SPPR!$A:$A,0),5),""),"")</f>
        <v/>
      </c>
      <c r="I177">
        <f>IFERROR(IF(ISNUMBER(INDEX(SPPR!$E:$X,MATCH($A177,SPPR!$A:$A,0),6)),$C177*INDEX(SPPR!$E:$X,MATCH($A177,SPPR!$A:$A,0),6),""),"")</f>
        <v/>
      </c>
      <c r="J177">
        <f>IFERROR(IF(ISNUMBER(INDEX(SPPR!$E:$X,MATCH($A177,SPPR!$A:$A,0),7)),$C177*INDEX(SPPR!$E:$X,MATCH($A177,SPPR!$A:$A,0),7),""),"")</f>
        <v/>
      </c>
      <c r="K177">
        <f>IFERROR(IF(ISNUMBER(INDEX(SPPR!$E:$X,MATCH($A177,SPPR!$A:$A,0),8)),$C177*INDEX(SPPR!$E:$X,MATCH($A177,SPPR!$A:$A,0),8),""),"")</f>
        <v/>
      </c>
      <c r="L177">
        <f>IFERROR(IF(ISNUMBER(INDEX(SPPR!$E:$X,MATCH($A177,SPPR!$A:$A,0),9)),$C177*INDEX(SPPR!$E:$X,MATCH($A177,SPPR!$A:$A,0),9),""),"")</f>
        <v/>
      </c>
      <c r="M177">
        <f>IFERROR(IF(ISNUMBER(INDEX(SPPR!$E:$X,MATCH($A177,SPPR!$A:$A,0),10)),$C177*INDEX(SPPR!$E:$X,MATCH($A177,SPPR!$A:$A,0),10),""),"")</f>
        <v/>
      </c>
      <c r="N177">
        <f>IFERROR(IF(ISNUMBER(INDEX(SPPR!$E:$X,MATCH($A177,SPPR!$A:$A,0),11)),$C177*INDEX(SPPR!$E:$X,MATCH($A177,SPPR!$A:$A,0),11),""),"")</f>
        <v/>
      </c>
      <c r="O177">
        <f>IFERROR(IF(ISNUMBER(INDEX(SPPR!$E:$X,MATCH($A177,SPPR!$A:$A,0),12)),$C177*INDEX(SPPR!$E:$X,MATCH($A177,SPPR!$A:$A,0),12),""),"")</f>
        <v/>
      </c>
      <c r="P177">
        <f>IFERROR(IF(ISNUMBER(INDEX(SPPR!$E:$X,MATCH($A177,SPPR!$A:$A,0),13)),$C177*INDEX(SPPR!$E:$X,MATCH($A177,SPPR!$A:$A,0),13),""),"")</f>
        <v/>
      </c>
      <c r="Q177">
        <f>IFERROR(IF(ISNUMBER(INDEX(SPPR!$E:$X,MATCH($A177,SPPR!$A:$A,0),14)),$C177*INDEX(SPPR!$E:$X,MATCH($A177,SPPR!$A:$A,0),14),""),"")</f>
        <v/>
      </c>
      <c r="R177">
        <f>IFERROR(IF(ISNUMBER(INDEX(SPPR!$E:$X,MATCH($A177,SPPR!$A:$A,0),15)),$C177*INDEX(SPPR!$E:$X,MATCH($A177,SPPR!$A:$A,0),15),""),"")</f>
        <v/>
      </c>
      <c r="S177">
        <f>IFERROR(IF(ISNUMBER(INDEX(SPPR!$E:$X,MATCH($A177,SPPR!$A:$A,0),16)),$C177*INDEX(SPPR!$E:$X,MATCH($A177,SPPR!$A:$A,0),16),""),"")</f>
        <v/>
      </c>
      <c r="T177">
        <f>IFERROR(IF(ISNUMBER(INDEX(SPPR!$E:$X,MATCH($A177,SPPR!$A:$A,0),17)),$C177*INDEX(SPPR!$E:$X,MATCH($A177,SPPR!$A:$A,0),17),""),"")</f>
        <v/>
      </c>
      <c r="U177">
        <f>IFERROR(IF(ISNUMBER(INDEX(SPPR!$E:$X,MATCH($A177,SPPR!$A:$A,0),18)),$C177*INDEX(SPPR!$E:$X,MATCH($A177,SPPR!$A:$A,0),18),""),"")</f>
        <v/>
      </c>
      <c r="V177">
        <f>IFERROR(IF(ISNUMBER(INDEX(SPPR!$E:$X,MATCH($A177,SPPR!$A:$A,0),19)),$C177*INDEX(SPPR!$E:$X,MATCH($A177,SPPR!$A:$A,0),19),""),"")</f>
        <v/>
      </c>
      <c r="W177">
        <f>IFERROR(IF(ISNUMBER(INDEX(SPPR!$E:$X,MATCH($A177,SPPR!$A:$A,0),20)),$C177*INDEX(SPPR!$E:$X,MATCH($A177,SPPR!$A:$A,0),20),""),"")</f>
        <v/>
      </c>
    </row>
    <row r="178">
      <c r="A178" t="inlineStr">
        <is>
          <t>Sepiida</t>
        </is>
      </c>
      <c r="B178">
        <f>IFERROR(INDEX(SPPR!$D:$D,MATCH($A178,SPPR!$A:$A,0)),"")</f>
        <v/>
      </c>
      <c r="C178">
        <f>IFERROR(INDEX(Catch!$E:$BV,MATCH($A178,Catch!$A:$A,0),MATCH($B$4,Catch!$E$1:$BV$1,0)),0)</f>
        <v/>
      </c>
      <c r="D178">
        <f>IFERROR(IF(ISNUMBER(INDEX(SPPR!$E:$X,MATCH($A178,SPPR!$A:$A,0),1)),$C178*INDEX(SPPR!$E:$X,MATCH($A178,SPPR!$A:$A,0),1),""),"")</f>
        <v/>
      </c>
      <c r="E178">
        <f>IFERROR(IF(ISNUMBER(INDEX(SPPR!$E:$X,MATCH($A178,SPPR!$A:$A,0),2)),$C178*INDEX(SPPR!$E:$X,MATCH($A178,SPPR!$A:$A,0),2),""),"")</f>
        <v/>
      </c>
      <c r="F178">
        <f>IFERROR(IF(ISNUMBER(INDEX(SPPR!$E:$X,MATCH($A178,SPPR!$A:$A,0),3)),$C178*INDEX(SPPR!$E:$X,MATCH($A178,SPPR!$A:$A,0),3),""),"")</f>
        <v/>
      </c>
      <c r="G178">
        <f>IFERROR(IF(ISNUMBER(INDEX(SPPR!$E:$X,MATCH($A178,SPPR!$A:$A,0),4)),$C178*INDEX(SPPR!$E:$X,MATCH($A178,SPPR!$A:$A,0),4),""),"")</f>
        <v/>
      </c>
      <c r="H178">
        <f>IFERROR(IF(ISNUMBER(INDEX(SPPR!$E:$X,MATCH($A178,SPPR!$A:$A,0),5)),$C178*INDEX(SPPR!$E:$X,MATCH($A178,SPPR!$A:$A,0),5),""),"")</f>
        <v/>
      </c>
      <c r="I178">
        <f>IFERROR(IF(ISNUMBER(INDEX(SPPR!$E:$X,MATCH($A178,SPPR!$A:$A,0),6)),$C178*INDEX(SPPR!$E:$X,MATCH($A178,SPPR!$A:$A,0),6),""),"")</f>
        <v/>
      </c>
      <c r="J178">
        <f>IFERROR(IF(ISNUMBER(INDEX(SPPR!$E:$X,MATCH($A178,SPPR!$A:$A,0),7)),$C178*INDEX(SPPR!$E:$X,MATCH($A178,SPPR!$A:$A,0),7),""),"")</f>
        <v/>
      </c>
      <c r="K178">
        <f>IFERROR(IF(ISNUMBER(INDEX(SPPR!$E:$X,MATCH($A178,SPPR!$A:$A,0),8)),$C178*INDEX(SPPR!$E:$X,MATCH($A178,SPPR!$A:$A,0),8),""),"")</f>
        <v/>
      </c>
      <c r="L178">
        <f>IFERROR(IF(ISNUMBER(INDEX(SPPR!$E:$X,MATCH($A178,SPPR!$A:$A,0),9)),$C178*INDEX(SPPR!$E:$X,MATCH($A178,SPPR!$A:$A,0),9),""),"")</f>
        <v/>
      </c>
      <c r="M178">
        <f>IFERROR(IF(ISNUMBER(INDEX(SPPR!$E:$X,MATCH($A178,SPPR!$A:$A,0),10)),$C178*INDEX(SPPR!$E:$X,MATCH($A178,SPPR!$A:$A,0),10),""),"")</f>
        <v/>
      </c>
      <c r="N178">
        <f>IFERROR(IF(ISNUMBER(INDEX(SPPR!$E:$X,MATCH($A178,SPPR!$A:$A,0),11)),$C178*INDEX(SPPR!$E:$X,MATCH($A178,SPPR!$A:$A,0),11),""),"")</f>
        <v/>
      </c>
      <c r="O178">
        <f>IFERROR(IF(ISNUMBER(INDEX(SPPR!$E:$X,MATCH($A178,SPPR!$A:$A,0),12)),$C178*INDEX(SPPR!$E:$X,MATCH($A178,SPPR!$A:$A,0),12),""),"")</f>
        <v/>
      </c>
      <c r="P178">
        <f>IFERROR(IF(ISNUMBER(INDEX(SPPR!$E:$X,MATCH($A178,SPPR!$A:$A,0),13)),$C178*INDEX(SPPR!$E:$X,MATCH($A178,SPPR!$A:$A,0),13),""),"")</f>
        <v/>
      </c>
      <c r="Q178">
        <f>IFERROR(IF(ISNUMBER(INDEX(SPPR!$E:$X,MATCH($A178,SPPR!$A:$A,0),14)),$C178*INDEX(SPPR!$E:$X,MATCH($A178,SPPR!$A:$A,0),14),""),"")</f>
        <v/>
      </c>
      <c r="R178">
        <f>IFERROR(IF(ISNUMBER(INDEX(SPPR!$E:$X,MATCH($A178,SPPR!$A:$A,0),15)),$C178*INDEX(SPPR!$E:$X,MATCH($A178,SPPR!$A:$A,0),15),""),"")</f>
        <v/>
      </c>
      <c r="S178">
        <f>IFERROR(IF(ISNUMBER(INDEX(SPPR!$E:$X,MATCH($A178,SPPR!$A:$A,0),16)),$C178*INDEX(SPPR!$E:$X,MATCH($A178,SPPR!$A:$A,0),16),""),"")</f>
        <v/>
      </c>
      <c r="T178">
        <f>IFERROR(IF(ISNUMBER(INDEX(SPPR!$E:$X,MATCH($A178,SPPR!$A:$A,0),17)),$C178*INDEX(SPPR!$E:$X,MATCH($A178,SPPR!$A:$A,0),17),""),"")</f>
        <v/>
      </c>
      <c r="U178">
        <f>IFERROR(IF(ISNUMBER(INDEX(SPPR!$E:$X,MATCH($A178,SPPR!$A:$A,0),18)),$C178*INDEX(SPPR!$E:$X,MATCH($A178,SPPR!$A:$A,0),18),""),"")</f>
        <v/>
      </c>
      <c r="V178">
        <f>IFERROR(IF(ISNUMBER(INDEX(SPPR!$E:$X,MATCH($A178,SPPR!$A:$A,0),19)),$C178*INDEX(SPPR!$E:$X,MATCH($A178,SPPR!$A:$A,0),19),""),"")</f>
        <v/>
      </c>
      <c r="W178">
        <f>IFERROR(IF(ISNUMBER(INDEX(SPPR!$E:$X,MATCH($A178,SPPR!$A:$A,0),20)),$C178*INDEX(SPPR!$E:$X,MATCH($A178,SPPR!$A:$A,0),20),""),"")</f>
        <v/>
      </c>
    </row>
    <row r="179">
      <c r="A179" t="inlineStr">
        <is>
          <t>Bothidae</t>
        </is>
      </c>
      <c r="B179">
        <f>IFERROR(INDEX(SPPR!$D:$D,MATCH($A179,SPPR!$A:$A,0)),"")</f>
        <v/>
      </c>
      <c r="C179">
        <f>IFERROR(INDEX(Catch!$E:$BV,MATCH($A179,Catch!$A:$A,0),MATCH($B$4,Catch!$E$1:$BV$1,0)),0)</f>
        <v/>
      </c>
      <c r="D179">
        <f>IFERROR(IF(ISNUMBER(INDEX(SPPR!$E:$X,MATCH($A179,SPPR!$A:$A,0),1)),$C179*INDEX(SPPR!$E:$X,MATCH($A179,SPPR!$A:$A,0),1),""),"")</f>
        <v/>
      </c>
      <c r="E179">
        <f>IFERROR(IF(ISNUMBER(INDEX(SPPR!$E:$X,MATCH($A179,SPPR!$A:$A,0),2)),$C179*INDEX(SPPR!$E:$X,MATCH($A179,SPPR!$A:$A,0),2),""),"")</f>
        <v/>
      </c>
      <c r="F179">
        <f>IFERROR(IF(ISNUMBER(INDEX(SPPR!$E:$X,MATCH($A179,SPPR!$A:$A,0),3)),$C179*INDEX(SPPR!$E:$X,MATCH($A179,SPPR!$A:$A,0),3),""),"")</f>
        <v/>
      </c>
      <c r="G179">
        <f>IFERROR(IF(ISNUMBER(INDEX(SPPR!$E:$X,MATCH($A179,SPPR!$A:$A,0),4)),$C179*INDEX(SPPR!$E:$X,MATCH($A179,SPPR!$A:$A,0),4),""),"")</f>
        <v/>
      </c>
      <c r="H179">
        <f>IFERROR(IF(ISNUMBER(INDEX(SPPR!$E:$X,MATCH($A179,SPPR!$A:$A,0),5)),$C179*INDEX(SPPR!$E:$X,MATCH($A179,SPPR!$A:$A,0),5),""),"")</f>
        <v/>
      </c>
      <c r="I179">
        <f>IFERROR(IF(ISNUMBER(INDEX(SPPR!$E:$X,MATCH($A179,SPPR!$A:$A,0),6)),$C179*INDEX(SPPR!$E:$X,MATCH($A179,SPPR!$A:$A,0),6),""),"")</f>
        <v/>
      </c>
      <c r="J179">
        <f>IFERROR(IF(ISNUMBER(INDEX(SPPR!$E:$X,MATCH($A179,SPPR!$A:$A,0),7)),$C179*INDEX(SPPR!$E:$X,MATCH($A179,SPPR!$A:$A,0),7),""),"")</f>
        <v/>
      </c>
      <c r="K179">
        <f>IFERROR(IF(ISNUMBER(INDEX(SPPR!$E:$X,MATCH($A179,SPPR!$A:$A,0),8)),$C179*INDEX(SPPR!$E:$X,MATCH($A179,SPPR!$A:$A,0),8),""),"")</f>
        <v/>
      </c>
      <c r="L179">
        <f>IFERROR(IF(ISNUMBER(INDEX(SPPR!$E:$X,MATCH($A179,SPPR!$A:$A,0),9)),$C179*INDEX(SPPR!$E:$X,MATCH($A179,SPPR!$A:$A,0),9),""),"")</f>
        <v/>
      </c>
      <c r="M179">
        <f>IFERROR(IF(ISNUMBER(INDEX(SPPR!$E:$X,MATCH($A179,SPPR!$A:$A,0),10)),$C179*INDEX(SPPR!$E:$X,MATCH($A179,SPPR!$A:$A,0),10),""),"")</f>
        <v/>
      </c>
      <c r="N179">
        <f>IFERROR(IF(ISNUMBER(INDEX(SPPR!$E:$X,MATCH($A179,SPPR!$A:$A,0),11)),$C179*INDEX(SPPR!$E:$X,MATCH($A179,SPPR!$A:$A,0),11),""),"")</f>
        <v/>
      </c>
      <c r="O179">
        <f>IFERROR(IF(ISNUMBER(INDEX(SPPR!$E:$X,MATCH($A179,SPPR!$A:$A,0),12)),$C179*INDEX(SPPR!$E:$X,MATCH($A179,SPPR!$A:$A,0),12),""),"")</f>
        <v/>
      </c>
      <c r="P179">
        <f>IFERROR(IF(ISNUMBER(INDEX(SPPR!$E:$X,MATCH($A179,SPPR!$A:$A,0),13)),$C179*INDEX(SPPR!$E:$X,MATCH($A179,SPPR!$A:$A,0),13),""),"")</f>
        <v/>
      </c>
      <c r="Q179">
        <f>IFERROR(IF(ISNUMBER(INDEX(SPPR!$E:$X,MATCH($A179,SPPR!$A:$A,0),14)),$C179*INDEX(SPPR!$E:$X,MATCH($A179,SPPR!$A:$A,0),14),""),"")</f>
        <v/>
      </c>
      <c r="R179">
        <f>IFERROR(IF(ISNUMBER(INDEX(SPPR!$E:$X,MATCH($A179,SPPR!$A:$A,0),15)),$C179*INDEX(SPPR!$E:$X,MATCH($A179,SPPR!$A:$A,0),15),""),"")</f>
        <v/>
      </c>
      <c r="S179">
        <f>IFERROR(IF(ISNUMBER(INDEX(SPPR!$E:$X,MATCH($A179,SPPR!$A:$A,0),16)),$C179*INDEX(SPPR!$E:$X,MATCH($A179,SPPR!$A:$A,0),16),""),"")</f>
        <v/>
      </c>
      <c r="T179">
        <f>IFERROR(IF(ISNUMBER(INDEX(SPPR!$E:$X,MATCH($A179,SPPR!$A:$A,0),17)),$C179*INDEX(SPPR!$E:$X,MATCH($A179,SPPR!$A:$A,0),17),""),"")</f>
        <v/>
      </c>
      <c r="U179">
        <f>IFERROR(IF(ISNUMBER(INDEX(SPPR!$E:$X,MATCH($A179,SPPR!$A:$A,0),18)),$C179*INDEX(SPPR!$E:$X,MATCH($A179,SPPR!$A:$A,0),18),""),"")</f>
        <v/>
      </c>
      <c r="V179">
        <f>IFERROR(IF(ISNUMBER(INDEX(SPPR!$E:$X,MATCH($A179,SPPR!$A:$A,0),19)),$C179*INDEX(SPPR!$E:$X,MATCH($A179,SPPR!$A:$A,0),19),""),"")</f>
        <v/>
      </c>
      <c r="W179">
        <f>IFERROR(IF(ISNUMBER(INDEX(SPPR!$E:$X,MATCH($A179,SPPR!$A:$A,0),20)),$C179*INDEX(SPPR!$E:$X,MATCH($A179,SPPR!$A:$A,0),20),""),"")</f>
        <v/>
      </c>
    </row>
    <row r="180">
      <c r="A180" t="inlineStr">
        <is>
          <t>Dicentrarchus</t>
        </is>
      </c>
      <c r="B180">
        <f>IFERROR(INDEX(SPPR!$D:$D,MATCH($A180,SPPR!$A:$A,0)),"")</f>
        <v/>
      </c>
      <c r="C180">
        <f>IFERROR(INDEX(Catch!$E:$BV,MATCH($A180,Catch!$A:$A,0),MATCH($B$4,Catch!$E$1:$BV$1,0)),0)</f>
        <v/>
      </c>
      <c r="D180">
        <f>IFERROR(IF(ISNUMBER(INDEX(SPPR!$E:$X,MATCH($A180,SPPR!$A:$A,0),1)),$C180*INDEX(SPPR!$E:$X,MATCH($A180,SPPR!$A:$A,0),1),""),"")</f>
        <v/>
      </c>
      <c r="E180">
        <f>IFERROR(IF(ISNUMBER(INDEX(SPPR!$E:$X,MATCH($A180,SPPR!$A:$A,0),2)),$C180*INDEX(SPPR!$E:$X,MATCH($A180,SPPR!$A:$A,0),2),""),"")</f>
        <v/>
      </c>
      <c r="F180">
        <f>IFERROR(IF(ISNUMBER(INDEX(SPPR!$E:$X,MATCH($A180,SPPR!$A:$A,0),3)),$C180*INDEX(SPPR!$E:$X,MATCH($A180,SPPR!$A:$A,0),3),""),"")</f>
        <v/>
      </c>
      <c r="G180">
        <f>IFERROR(IF(ISNUMBER(INDEX(SPPR!$E:$X,MATCH($A180,SPPR!$A:$A,0),4)),$C180*INDEX(SPPR!$E:$X,MATCH($A180,SPPR!$A:$A,0),4),""),"")</f>
        <v/>
      </c>
      <c r="H180">
        <f>IFERROR(IF(ISNUMBER(INDEX(SPPR!$E:$X,MATCH($A180,SPPR!$A:$A,0),5)),$C180*INDEX(SPPR!$E:$X,MATCH($A180,SPPR!$A:$A,0),5),""),"")</f>
        <v/>
      </c>
      <c r="I180">
        <f>IFERROR(IF(ISNUMBER(INDEX(SPPR!$E:$X,MATCH($A180,SPPR!$A:$A,0),6)),$C180*INDEX(SPPR!$E:$X,MATCH($A180,SPPR!$A:$A,0),6),""),"")</f>
        <v/>
      </c>
      <c r="J180">
        <f>IFERROR(IF(ISNUMBER(INDEX(SPPR!$E:$X,MATCH($A180,SPPR!$A:$A,0),7)),$C180*INDEX(SPPR!$E:$X,MATCH($A180,SPPR!$A:$A,0),7),""),"")</f>
        <v/>
      </c>
      <c r="K180">
        <f>IFERROR(IF(ISNUMBER(INDEX(SPPR!$E:$X,MATCH($A180,SPPR!$A:$A,0),8)),$C180*INDEX(SPPR!$E:$X,MATCH($A180,SPPR!$A:$A,0),8),""),"")</f>
        <v/>
      </c>
      <c r="L180">
        <f>IFERROR(IF(ISNUMBER(INDEX(SPPR!$E:$X,MATCH($A180,SPPR!$A:$A,0),9)),$C180*INDEX(SPPR!$E:$X,MATCH($A180,SPPR!$A:$A,0),9),""),"")</f>
        <v/>
      </c>
      <c r="M180">
        <f>IFERROR(IF(ISNUMBER(INDEX(SPPR!$E:$X,MATCH($A180,SPPR!$A:$A,0),10)),$C180*INDEX(SPPR!$E:$X,MATCH($A180,SPPR!$A:$A,0),10),""),"")</f>
        <v/>
      </c>
      <c r="N180">
        <f>IFERROR(IF(ISNUMBER(INDEX(SPPR!$E:$X,MATCH($A180,SPPR!$A:$A,0),11)),$C180*INDEX(SPPR!$E:$X,MATCH($A180,SPPR!$A:$A,0),11),""),"")</f>
        <v/>
      </c>
      <c r="O180">
        <f>IFERROR(IF(ISNUMBER(INDEX(SPPR!$E:$X,MATCH($A180,SPPR!$A:$A,0),12)),$C180*INDEX(SPPR!$E:$X,MATCH($A180,SPPR!$A:$A,0),12),""),"")</f>
        <v/>
      </c>
      <c r="P180">
        <f>IFERROR(IF(ISNUMBER(INDEX(SPPR!$E:$X,MATCH($A180,SPPR!$A:$A,0),13)),$C180*INDEX(SPPR!$E:$X,MATCH($A180,SPPR!$A:$A,0),13),""),"")</f>
        <v/>
      </c>
      <c r="Q180">
        <f>IFERROR(IF(ISNUMBER(INDEX(SPPR!$E:$X,MATCH($A180,SPPR!$A:$A,0),14)),$C180*INDEX(SPPR!$E:$X,MATCH($A180,SPPR!$A:$A,0),14),""),"")</f>
        <v/>
      </c>
      <c r="R180">
        <f>IFERROR(IF(ISNUMBER(INDEX(SPPR!$E:$X,MATCH($A180,SPPR!$A:$A,0),15)),$C180*INDEX(SPPR!$E:$X,MATCH($A180,SPPR!$A:$A,0),15),""),"")</f>
        <v/>
      </c>
      <c r="S180">
        <f>IFERROR(IF(ISNUMBER(INDEX(SPPR!$E:$X,MATCH($A180,SPPR!$A:$A,0),16)),$C180*INDEX(SPPR!$E:$X,MATCH($A180,SPPR!$A:$A,0),16),""),"")</f>
        <v/>
      </c>
      <c r="T180">
        <f>IFERROR(IF(ISNUMBER(INDEX(SPPR!$E:$X,MATCH($A180,SPPR!$A:$A,0),17)),$C180*INDEX(SPPR!$E:$X,MATCH($A180,SPPR!$A:$A,0),17),""),"")</f>
        <v/>
      </c>
      <c r="U180">
        <f>IFERROR(IF(ISNUMBER(INDEX(SPPR!$E:$X,MATCH($A180,SPPR!$A:$A,0),18)),$C180*INDEX(SPPR!$E:$X,MATCH($A180,SPPR!$A:$A,0),18),""),"")</f>
        <v/>
      </c>
      <c r="V180">
        <f>IFERROR(IF(ISNUMBER(INDEX(SPPR!$E:$X,MATCH($A180,SPPR!$A:$A,0),19)),$C180*INDEX(SPPR!$E:$X,MATCH($A180,SPPR!$A:$A,0),19),""),"")</f>
        <v/>
      </c>
      <c r="W180">
        <f>IFERROR(IF(ISNUMBER(INDEX(SPPR!$E:$X,MATCH($A180,SPPR!$A:$A,0),20)),$C180*INDEX(SPPR!$E:$X,MATCH($A180,SPPR!$A:$A,0),20),""),"")</f>
        <v/>
      </c>
    </row>
    <row r="181">
      <c r="A181" t="inlineStr">
        <is>
          <t>Phycis blennoides</t>
        </is>
      </c>
      <c r="B181">
        <f>IFERROR(INDEX(SPPR!$D:$D,MATCH($A181,SPPR!$A:$A,0)),"")</f>
        <v/>
      </c>
      <c r="C181">
        <f>IFERROR(INDEX(Catch!$E:$BV,MATCH($A181,Catch!$A:$A,0),MATCH($B$4,Catch!$E$1:$BV$1,0)),0)</f>
        <v/>
      </c>
      <c r="D181">
        <f>IFERROR(IF(ISNUMBER(INDEX(SPPR!$E:$X,MATCH($A181,SPPR!$A:$A,0),1)),$C181*INDEX(SPPR!$E:$X,MATCH($A181,SPPR!$A:$A,0),1),""),"")</f>
        <v/>
      </c>
      <c r="E181">
        <f>IFERROR(IF(ISNUMBER(INDEX(SPPR!$E:$X,MATCH($A181,SPPR!$A:$A,0),2)),$C181*INDEX(SPPR!$E:$X,MATCH($A181,SPPR!$A:$A,0),2),""),"")</f>
        <v/>
      </c>
      <c r="F181">
        <f>IFERROR(IF(ISNUMBER(INDEX(SPPR!$E:$X,MATCH($A181,SPPR!$A:$A,0),3)),$C181*INDEX(SPPR!$E:$X,MATCH($A181,SPPR!$A:$A,0),3),""),"")</f>
        <v/>
      </c>
      <c r="G181">
        <f>IFERROR(IF(ISNUMBER(INDEX(SPPR!$E:$X,MATCH($A181,SPPR!$A:$A,0),4)),$C181*INDEX(SPPR!$E:$X,MATCH($A181,SPPR!$A:$A,0),4),""),"")</f>
        <v/>
      </c>
      <c r="H181">
        <f>IFERROR(IF(ISNUMBER(INDEX(SPPR!$E:$X,MATCH($A181,SPPR!$A:$A,0),5)),$C181*INDEX(SPPR!$E:$X,MATCH($A181,SPPR!$A:$A,0),5),""),"")</f>
        <v/>
      </c>
      <c r="I181">
        <f>IFERROR(IF(ISNUMBER(INDEX(SPPR!$E:$X,MATCH($A181,SPPR!$A:$A,0),6)),$C181*INDEX(SPPR!$E:$X,MATCH($A181,SPPR!$A:$A,0),6),""),"")</f>
        <v/>
      </c>
      <c r="J181">
        <f>IFERROR(IF(ISNUMBER(INDEX(SPPR!$E:$X,MATCH($A181,SPPR!$A:$A,0),7)),$C181*INDEX(SPPR!$E:$X,MATCH($A181,SPPR!$A:$A,0),7),""),"")</f>
        <v/>
      </c>
      <c r="K181">
        <f>IFERROR(IF(ISNUMBER(INDEX(SPPR!$E:$X,MATCH($A181,SPPR!$A:$A,0),8)),$C181*INDEX(SPPR!$E:$X,MATCH($A181,SPPR!$A:$A,0),8),""),"")</f>
        <v/>
      </c>
      <c r="L181">
        <f>IFERROR(IF(ISNUMBER(INDEX(SPPR!$E:$X,MATCH($A181,SPPR!$A:$A,0),9)),$C181*INDEX(SPPR!$E:$X,MATCH($A181,SPPR!$A:$A,0),9),""),"")</f>
        <v/>
      </c>
      <c r="M181">
        <f>IFERROR(IF(ISNUMBER(INDEX(SPPR!$E:$X,MATCH($A181,SPPR!$A:$A,0),10)),$C181*INDEX(SPPR!$E:$X,MATCH($A181,SPPR!$A:$A,0),10),""),"")</f>
        <v/>
      </c>
      <c r="N181">
        <f>IFERROR(IF(ISNUMBER(INDEX(SPPR!$E:$X,MATCH($A181,SPPR!$A:$A,0),11)),$C181*INDEX(SPPR!$E:$X,MATCH($A181,SPPR!$A:$A,0),11),""),"")</f>
        <v/>
      </c>
      <c r="O181">
        <f>IFERROR(IF(ISNUMBER(INDEX(SPPR!$E:$X,MATCH($A181,SPPR!$A:$A,0),12)),$C181*INDEX(SPPR!$E:$X,MATCH($A181,SPPR!$A:$A,0),12),""),"")</f>
        <v/>
      </c>
      <c r="P181">
        <f>IFERROR(IF(ISNUMBER(INDEX(SPPR!$E:$X,MATCH($A181,SPPR!$A:$A,0),13)),$C181*INDEX(SPPR!$E:$X,MATCH($A181,SPPR!$A:$A,0),13),""),"")</f>
        <v/>
      </c>
      <c r="Q181">
        <f>IFERROR(IF(ISNUMBER(INDEX(SPPR!$E:$X,MATCH($A181,SPPR!$A:$A,0),14)),$C181*INDEX(SPPR!$E:$X,MATCH($A181,SPPR!$A:$A,0),14),""),"")</f>
        <v/>
      </c>
      <c r="R181">
        <f>IFERROR(IF(ISNUMBER(INDEX(SPPR!$E:$X,MATCH($A181,SPPR!$A:$A,0),15)),$C181*INDEX(SPPR!$E:$X,MATCH($A181,SPPR!$A:$A,0),15),""),"")</f>
        <v/>
      </c>
      <c r="S181">
        <f>IFERROR(IF(ISNUMBER(INDEX(SPPR!$E:$X,MATCH($A181,SPPR!$A:$A,0),16)),$C181*INDEX(SPPR!$E:$X,MATCH($A181,SPPR!$A:$A,0),16),""),"")</f>
        <v/>
      </c>
      <c r="T181">
        <f>IFERROR(IF(ISNUMBER(INDEX(SPPR!$E:$X,MATCH($A181,SPPR!$A:$A,0),17)),$C181*INDEX(SPPR!$E:$X,MATCH($A181,SPPR!$A:$A,0),17),""),"")</f>
        <v/>
      </c>
      <c r="U181">
        <f>IFERROR(IF(ISNUMBER(INDEX(SPPR!$E:$X,MATCH($A181,SPPR!$A:$A,0),18)),$C181*INDEX(SPPR!$E:$X,MATCH($A181,SPPR!$A:$A,0),18),""),"")</f>
        <v/>
      </c>
      <c r="V181">
        <f>IFERROR(IF(ISNUMBER(INDEX(SPPR!$E:$X,MATCH($A181,SPPR!$A:$A,0),19)),$C181*INDEX(SPPR!$E:$X,MATCH($A181,SPPR!$A:$A,0),19),""),"")</f>
        <v/>
      </c>
      <c r="W181">
        <f>IFERROR(IF(ISNUMBER(INDEX(SPPR!$E:$X,MATCH($A181,SPPR!$A:$A,0),20)),$C181*INDEX(SPPR!$E:$X,MATCH($A181,SPPR!$A:$A,0),20),""),"")</f>
        <v/>
      </c>
    </row>
    <row r="182">
      <c r="A182" t="inlineStr">
        <is>
          <t>Dipturus batis</t>
        </is>
      </c>
      <c r="B182">
        <f>IFERROR(INDEX(SPPR!$D:$D,MATCH($A182,SPPR!$A:$A,0)),"")</f>
        <v/>
      </c>
      <c r="C182">
        <f>IFERROR(INDEX(Catch!$E:$BV,MATCH($A182,Catch!$A:$A,0),MATCH($B$4,Catch!$E$1:$BV$1,0)),0)</f>
        <v/>
      </c>
      <c r="D182">
        <f>IFERROR(IF(ISNUMBER(INDEX(SPPR!$E:$X,MATCH($A182,SPPR!$A:$A,0),1)),$C182*INDEX(SPPR!$E:$X,MATCH($A182,SPPR!$A:$A,0),1),""),"")</f>
        <v/>
      </c>
      <c r="E182">
        <f>IFERROR(IF(ISNUMBER(INDEX(SPPR!$E:$X,MATCH($A182,SPPR!$A:$A,0),2)),$C182*INDEX(SPPR!$E:$X,MATCH($A182,SPPR!$A:$A,0),2),""),"")</f>
        <v/>
      </c>
      <c r="F182">
        <f>IFERROR(IF(ISNUMBER(INDEX(SPPR!$E:$X,MATCH($A182,SPPR!$A:$A,0),3)),$C182*INDEX(SPPR!$E:$X,MATCH($A182,SPPR!$A:$A,0),3),""),"")</f>
        <v/>
      </c>
      <c r="G182">
        <f>IFERROR(IF(ISNUMBER(INDEX(SPPR!$E:$X,MATCH($A182,SPPR!$A:$A,0),4)),$C182*INDEX(SPPR!$E:$X,MATCH($A182,SPPR!$A:$A,0),4),""),"")</f>
        <v/>
      </c>
      <c r="H182">
        <f>IFERROR(IF(ISNUMBER(INDEX(SPPR!$E:$X,MATCH($A182,SPPR!$A:$A,0),5)),$C182*INDEX(SPPR!$E:$X,MATCH($A182,SPPR!$A:$A,0),5),""),"")</f>
        <v/>
      </c>
      <c r="I182">
        <f>IFERROR(IF(ISNUMBER(INDEX(SPPR!$E:$X,MATCH($A182,SPPR!$A:$A,0),6)),$C182*INDEX(SPPR!$E:$X,MATCH($A182,SPPR!$A:$A,0),6),""),"")</f>
        <v/>
      </c>
      <c r="J182">
        <f>IFERROR(IF(ISNUMBER(INDEX(SPPR!$E:$X,MATCH($A182,SPPR!$A:$A,0),7)),$C182*INDEX(SPPR!$E:$X,MATCH($A182,SPPR!$A:$A,0),7),""),"")</f>
        <v/>
      </c>
      <c r="K182">
        <f>IFERROR(IF(ISNUMBER(INDEX(SPPR!$E:$X,MATCH($A182,SPPR!$A:$A,0),8)),$C182*INDEX(SPPR!$E:$X,MATCH($A182,SPPR!$A:$A,0),8),""),"")</f>
        <v/>
      </c>
      <c r="L182">
        <f>IFERROR(IF(ISNUMBER(INDEX(SPPR!$E:$X,MATCH($A182,SPPR!$A:$A,0),9)),$C182*INDEX(SPPR!$E:$X,MATCH($A182,SPPR!$A:$A,0),9),""),"")</f>
        <v/>
      </c>
      <c r="M182">
        <f>IFERROR(IF(ISNUMBER(INDEX(SPPR!$E:$X,MATCH($A182,SPPR!$A:$A,0),10)),$C182*INDEX(SPPR!$E:$X,MATCH($A182,SPPR!$A:$A,0),10),""),"")</f>
        <v/>
      </c>
      <c r="N182">
        <f>IFERROR(IF(ISNUMBER(INDEX(SPPR!$E:$X,MATCH($A182,SPPR!$A:$A,0),11)),$C182*INDEX(SPPR!$E:$X,MATCH($A182,SPPR!$A:$A,0),11),""),"")</f>
        <v/>
      </c>
      <c r="O182">
        <f>IFERROR(IF(ISNUMBER(INDEX(SPPR!$E:$X,MATCH($A182,SPPR!$A:$A,0),12)),$C182*INDEX(SPPR!$E:$X,MATCH($A182,SPPR!$A:$A,0),12),""),"")</f>
        <v/>
      </c>
      <c r="P182">
        <f>IFERROR(IF(ISNUMBER(INDEX(SPPR!$E:$X,MATCH($A182,SPPR!$A:$A,0),13)),$C182*INDEX(SPPR!$E:$X,MATCH($A182,SPPR!$A:$A,0),13),""),"")</f>
        <v/>
      </c>
      <c r="Q182">
        <f>IFERROR(IF(ISNUMBER(INDEX(SPPR!$E:$X,MATCH($A182,SPPR!$A:$A,0),14)),$C182*INDEX(SPPR!$E:$X,MATCH($A182,SPPR!$A:$A,0),14),""),"")</f>
        <v/>
      </c>
      <c r="R182">
        <f>IFERROR(IF(ISNUMBER(INDEX(SPPR!$E:$X,MATCH($A182,SPPR!$A:$A,0),15)),$C182*INDEX(SPPR!$E:$X,MATCH($A182,SPPR!$A:$A,0),15),""),"")</f>
        <v/>
      </c>
      <c r="S182">
        <f>IFERROR(IF(ISNUMBER(INDEX(SPPR!$E:$X,MATCH($A182,SPPR!$A:$A,0),16)),$C182*INDEX(SPPR!$E:$X,MATCH($A182,SPPR!$A:$A,0),16),""),"")</f>
        <v/>
      </c>
      <c r="T182">
        <f>IFERROR(IF(ISNUMBER(INDEX(SPPR!$E:$X,MATCH($A182,SPPR!$A:$A,0),17)),$C182*INDEX(SPPR!$E:$X,MATCH($A182,SPPR!$A:$A,0),17),""),"")</f>
        <v/>
      </c>
      <c r="U182">
        <f>IFERROR(IF(ISNUMBER(INDEX(SPPR!$E:$X,MATCH($A182,SPPR!$A:$A,0),18)),$C182*INDEX(SPPR!$E:$X,MATCH($A182,SPPR!$A:$A,0),18),""),"")</f>
        <v/>
      </c>
      <c r="V182">
        <f>IFERROR(IF(ISNUMBER(INDEX(SPPR!$E:$X,MATCH($A182,SPPR!$A:$A,0),19)),$C182*INDEX(SPPR!$E:$X,MATCH($A182,SPPR!$A:$A,0),19),""),"")</f>
        <v/>
      </c>
      <c r="W182">
        <f>IFERROR(IF(ISNUMBER(INDEX(SPPR!$E:$X,MATCH($A182,SPPR!$A:$A,0),20)),$C182*INDEX(SPPR!$E:$X,MATCH($A182,SPPR!$A:$A,0),20),""),"")</f>
        <v/>
      </c>
    </row>
    <row r="183">
      <c r="A183" t="inlineStr">
        <is>
          <t>Moronidae</t>
        </is>
      </c>
      <c r="B183">
        <f>IFERROR(INDEX(SPPR!$D:$D,MATCH($A183,SPPR!$A:$A,0)),"")</f>
        <v/>
      </c>
      <c r="C183">
        <f>IFERROR(INDEX(Catch!$E:$BV,MATCH($A183,Catch!$A:$A,0),MATCH($B$4,Catch!$E$1:$BV$1,0)),0)</f>
        <v/>
      </c>
      <c r="D183">
        <f>IFERROR(IF(ISNUMBER(INDEX(SPPR!$E:$X,MATCH($A183,SPPR!$A:$A,0),1)),$C183*INDEX(SPPR!$E:$X,MATCH($A183,SPPR!$A:$A,0),1),""),"")</f>
        <v/>
      </c>
      <c r="E183">
        <f>IFERROR(IF(ISNUMBER(INDEX(SPPR!$E:$X,MATCH($A183,SPPR!$A:$A,0),2)),$C183*INDEX(SPPR!$E:$X,MATCH($A183,SPPR!$A:$A,0),2),""),"")</f>
        <v/>
      </c>
      <c r="F183">
        <f>IFERROR(IF(ISNUMBER(INDEX(SPPR!$E:$X,MATCH($A183,SPPR!$A:$A,0),3)),$C183*INDEX(SPPR!$E:$X,MATCH($A183,SPPR!$A:$A,0),3),""),"")</f>
        <v/>
      </c>
      <c r="G183">
        <f>IFERROR(IF(ISNUMBER(INDEX(SPPR!$E:$X,MATCH($A183,SPPR!$A:$A,0),4)),$C183*INDEX(SPPR!$E:$X,MATCH($A183,SPPR!$A:$A,0),4),""),"")</f>
        <v/>
      </c>
      <c r="H183">
        <f>IFERROR(IF(ISNUMBER(INDEX(SPPR!$E:$X,MATCH($A183,SPPR!$A:$A,0),5)),$C183*INDEX(SPPR!$E:$X,MATCH($A183,SPPR!$A:$A,0),5),""),"")</f>
        <v/>
      </c>
      <c r="I183">
        <f>IFERROR(IF(ISNUMBER(INDEX(SPPR!$E:$X,MATCH($A183,SPPR!$A:$A,0),6)),$C183*INDEX(SPPR!$E:$X,MATCH($A183,SPPR!$A:$A,0),6),""),"")</f>
        <v/>
      </c>
      <c r="J183">
        <f>IFERROR(IF(ISNUMBER(INDEX(SPPR!$E:$X,MATCH($A183,SPPR!$A:$A,0),7)),$C183*INDEX(SPPR!$E:$X,MATCH($A183,SPPR!$A:$A,0),7),""),"")</f>
        <v/>
      </c>
      <c r="K183">
        <f>IFERROR(IF(ISNUMBER(INDEX(SPPR!$E:$X,MATCH($A183,SPPR!$A:$A,0),8)),$C183*INDEX(SPPR!$E:$X,MATCH($A183,SPPR!$A:$A,0),8),""),"")</f>
        <v/>
      </c>
      <c r="L183">
        <f>IFERROR(IF(ISNUMBER(INDEX(SPPR!$E:$X,MATCH($A183,SPPR!$A:$A,0),9)),$C183*INDEX(SPPR!$E:$X,MATCH($A183,SPPR!$A:$A,0),9),""),"")</f>
        <v/>
      </c>
      <c r="M183">
        <f>IFERROR(IF(ISNUMBER(INDEX(SPPR!$E:$X,MATCH($A183,SPPR!$A:$A,0),10)),$C183*INDEX(SPPR!$E:$X,MATCH($A183,SPPR!$A:$A,0),10),""),"")</f>
        <v/>
      </c>
      <c r="N183">
        <f>IFERROR(IF(ISNUMBER(INDEX(SPPR!$E:$X,MATCH($A183,SPPR!$A:$A,0),11)),$C183*INDEX(SPPR!$E:$X,MATCH($A183,SPPR!$A:$A,0),11),""),"")</f>
        <v/>
      </c>
      <c r="O183">
        <f>IFERROR(IF(ISNUMBER(INDEX(SPPR!$E:$X,MATCH($A183,SPPR!$A:$A,0),12)),$C183*INDEX(SPPR!$E:$X,MATCH($A183,SPPR!$A:$A,0),12),""),"")</f>
        <v/>
      </c>
      <c r="P183">
        <f>IFERROR(IF(ISNUMBER(INDEX(SPPR!$E:$X,MATCH($A183,SPPR!$A:$A,0),13)),$C183*INDEX(SPPR!$E:$X,MATCH($A183,SPPR!$A:$A,0),13),""),"")</f>
        <v/>
      </c>
      <c r="Q183">
        <f>IFERROR(IF(ISNUMBER(INDEX(SPPR!$E:$X,MATCH($A183,SPPR!$A:$A,0),14)),$C183*INDEX(SPPR!$E:$X,MATCH($A183,SPPR!$A:$A,0),14),""),"")</f>
        <v/>
      </c>
      <c r="R183">
        <f>IFERROR(IF(ISNUMBER(INDEX(SPPR!$E:$X,MATCH($A183,SPPR!$A:$A,0),15)),$C183*INDEX(SPPR!$E:$X,MATCH($A183,SPPR!$A:$A,0),15),""),"")</f>
        <v/>
      </c>
      <c r="S183">
        <f>IFERROR(IF(ISNUMBER(INDEX(SPPR!$E:$X,MATCH($A183,SPPR!$A:$A,0),16)),$C183*INDEX(SPPR!$E:$X,MATCH($A183,SPPR!$A:$A,0),16),""),"")</f>
        <v/>
      </c>
      <c r="T183">
        <f>IFERROR(IF(ISNUMBER(INDEX(SPPR!$E:$X,MATCH($A183,SPPR!$A:$A,0),17)),$C183*INDEX(SPPR!$E:$X,MATCH($A183,SPPR!$A:$A,0),17),""),"")</f>
        <v/>
      </c>
      <c r="U183">
        <f>IFERROR(IF(ISNUMBER(INDEX(SPPR!$E:$X,MATCH($A183,SPPR!$A:$A,0),18)),$C183*INDEX(SPPR!$E:$X,MATCH($A183,SPPR!$A:$A,0),18),""),"")</f>
        <v/>
      </c>
      <c r="V183">
        <f>IFERROR(IF(ISNUMBER(INDEX(SPPR!$E:$X,MATCH($A183,SPPR!$A:$A,0),19)),$C183*INDEX(SPPR!$E:$X,MATCH($A183,SPPR!$A:$A,0),19),""),"")</f>
        <v/>
      </c>
      <c r="W183">
        <f>IFERROR(IF(ISNUMBER(INDEX(SPPR!$E:$X,MATCH($A183,SPPR!$A:$A,0),20)),$C183*INDEX(SPPR!$E:$X,MATCH($A183,SPPR!$A:$A,0),20),""),"")</f>
        <v/>
      </c>
    </row>
    <row r="184">
      <c r="A184" t="inlineStr">
        <is>
          <t>Pandalus montagui</t>
        </is>
      </c>
      <c r="B184">
        <f>IFERROR(INDEX(SPPR!$D:$D,MATCH($A184,SPPR!$A:$A,0)),"")</f>
        <v/>
      </c>
      <c r="C184">
        <f>IFERROR(INDEX(Catch!$E:$BV,MATCH($A184,Catch!$A:$A,0),MATCH($B$4,Catch!$E$1:$BV$1,0)),0)</f>
        <v/>
      </c>
      <c r="D184">
        <f>IFERROR(IF(ISNUMBER(INDEX(SPPR!$E:$X,MATCH($A184,SPPR!$A:$A,0),1)),$C184*INDEX(SPPR!$E:$X,MATCH($A184,SPPR!$A:$A,0),1),""),"")</f>
        <v/>
      </c>
      <c r="E184">
        <f>IFERROR(IF(ISNUMBER(INDEX(SPPR!$E:$X,MATCH($A184,SPPR!$A:$A,0),2)),$C184*INDEX(SPPR!$E:$X,MATCH($A184,SPPR!$A:$A,0),2),""),"")</f>
        <v/>
      </c>
      <c r="F184">
        <f>IFERROR(IF(ISNUMBER(INDEX(SPPR!$E:$X,MATCH($A184,SPPR!$A:$A,0),3)),$C184*INDEX(SPPR!$E:$X,MATCH($A184,SPPR!$A:$A,0),3),""),"")</f>
        <v/>
      </c>
      <c r="G184">
        <f>IFERROR(IF(ISNUMBER(INDEX(SPPR!$E:$X,MATCH($A184,SPPR!$A:$A,0),4)),$C184*INDEX(SPPR!$E:$X,MATCH($A184,SPPR!$A:$A,0),4),""),"")</f>
        <v/>
      </c>
      <c r="H184">
        <f>IFERROR(IF(ISNUMBER(INDEX(SPPR!$E:$X,MATCH($A184,SPPR!$A:$A,0),5)),$C184*INDEX(SPPR!$E:$X,MATCH($A184,SPPR!$A:$A,0),5),""),"")</f>
        <v/>
      </c>
      <c r="I184">
        <f>IFERROR(IF(ISNUMBER(INDEX(SPPR!$E:$X,MATCH($A184,SPPR!$A:$A,0),6)),$C184*INDEX(SPPR!$E:$X,MATCH($A184,SPPR!$A:$A,0),6),""),"")</f>
        <v/>
      </c>
      <c r="J184">
        <f>IFERROR(IF(ISNUMBER(INDEX(SPPR!$E:$X,MATCH($A184,SPPR!$A:$A,0),7)),$C184*INDEX(SPPR!$E:$X,MATCH($A184,SPPR!$A:$A,0),7),""),"")</f>
        <v/>
      </c>
      <c r="K184">
        <f>IFERROR(IF(ISNUMBER(INDEX(SPPR!$E:$X,MATCH($A184,SPPR!$A:$A,0),8)),$C184*INDEX(SPPR!$E:$X,MATCH($A184,SPPR!$A:$A,0),8),""),"")</f>
        <v/>
      </c>
      <c r="L184">
        <f>IFERROR(IF(ISNUMBER(INDEX(SPPR!$E:$X,MATCH($A184,SPPR!$A:$A,0),9)),$C184*INDEX(SPPR!$E:$X,MATCH($A184,SPPR!$A:$A,0),9),""),"")</f>
        <v/>
      </c>
      <c r="M184">
        <f>IFERROR(IF(ISNUMBER(INDEX(SPPR!$E:$X,MATCH($A184,SPPR!$A:$A,0),10)),$C184*INDEX(SPPR!$E:$X,MATCH($A184,SPPR!$A:$A,0),10),""),"")</f>
        <v/>
      </c>
      <c r="N184">
        <f>IFERROR(IF(ISNUMBER(INDEX(SPPR!$E:$X,MATCH($A184,SPPR!$A:$A,0),11)),$C184*INDEX(SPPR!$E:$X,MATCH($A184,SPPR!$A:$A,0),11),""),"")</f>
        <v/>
      </c>
      <c r="O184">
        <f>IFERROR(IF(ISNUMBER(INDEX(SPPR!$E:$X,MATCH($A184,SPPR!$A:$A,0),12)),$C184*INDEX(SPPR!$E:$X,MATCH($A184,SPPR!$A:$A,0),12),""),"")</f>
        <v/>
      </c>
      <c r="P184">
        <f>IFERROR(IF(ISNUMBER(INDEX(SPPR!$E:$X,MATCH($A184,SPPR!$A:$A,0),13)),$C184*INDEX(SPPR!$E:$X,MATCH($A184,SPPR!$A:$A,0),13),""),"")</f>
        <v/>
      </c>
      <c r="Q184">
        <f>IFERROR(IF(ISNUMBER(INDEX(SPPR!$E:$X,MATCH($A184,SPPR!$A:$A,0),14)),$C184*INDEX(SPPR!$E:$X,MATCH($A184,SPPR!$A:$A,0),14),""),"")</f>
        <v/>
      </c>
      <c r="R184">
        <f>IFERROR(IF(ISNUMBER(INDEX(SPPR!$E:$X,MATCH($A184,SPPR!$A:$A,0),15)),$C184*INDEX(SPPR!$E:$X,MATCH($A184,SPPR!$A:$A,0),15),""),"")</f>
        <v/>
      </c>
      <c r="S184">
        <f>IFERROR(IF(ISNUMBER(INDEX(SPPR!$E:$X,MATCH($A184,SPPR!$A:$A,0),16)),$C184*INDEX(SPPR!$E:$X,MATCH($A184,SPPR!$A:$A,0),16),""),"")</f>
        <v/>
      </c>
      <c r="T184">
        <f>IFERROR(IF(ISNUMBER(INDEX(SPPR!$E:$X,MATCH($A184,SPPR!$A:$A,0),17)),$C184*INDEX(SPPR!$E:$X,MATCH($A184,SPPR!$A:$A,0),17),""),"")</f>
        <v/>
      </c>
      <c r="U184">
        <f>IFERROR(IF(ISNUMBER(INDEX(SPPR!$E:$X,MATCH($A184,SPPR!$A:$A,0),18)),$C184*INDEX(SPPR!$E:$X,MATCH($A184,SPPR!$A:$A,0),18),""),"")</f>
        <v/>
      </c>
      <c r="V184">
        <f>IFERROR(IF(ISNUMBER(INDEX(SPPR!$E:$X,MATCH($A184,SPPR!$A:$A,0),19)),$C184*INDEX(SPPR!$E:$X,MATCH($A184,SPPR!$A:$A,0),19),""),"")</f>
        <v/>
      </c>
      <c r="W184">
        <f>IFERROR(IF(ISNUMBER(INDEX(SPPR!$E:$X,MATCH($A184,SPPR!$A:$A,0),20)),$C184*INDEX(SPPR!$E:$X,MATCH($A184,SPPR!$A:$A,0),20),""),"")</f>
        <v/>
      </c>
    </row>
    <row r="185">
      <c r="A185" t="inlineStr">
        <is>
          <t>Zeus faber</t>
        </is>
      </c>
      <c r="B185">
        <f>IFERROR(INDEX(SPPR!$D:$D,MATCH($A185,SPPR!$A:$A,0)),"")</f>
        <v/>
      </c>
      <c r="C185">
        <f>IFERROR(INDEX(Catch!$E:$BV,MATCH($A185,Catch!$A:$A,0),MATCH($B$4,Catch!$E$1:$BV$1,0)),0)</f>
        <v/>
      </c>
      <c r="D185">
        <f>IFERROR(IF(ISNUMBER(INDEX(SPPR!$E:$X,MATCH($A185,SPPR!$A:$A,0),1)),$C185*INDEX(SPPR!$E:$X,MATCH($A185,SPPR!$A:$A,0),1),""),"")</f>
        <v/>
      </c>
      <c r="E185">
        <f>IFERROR(IF(ISNUMBER(INDEX(SPPR!$E:$X,MATCH($A185,SPPR!$A:$A,0),2)),$C185*INDEX(SPPR!$E:$X,MATCH($A185,SPPR!$A:$A,0),2),""),"")</f>
        <v/>
      </c>
      <c r="F185">
        <f>IFERROR(IF(ISNUMBER(INDEX(SPPR!$E:$X,MATCH($A185,SPPR!$A:$A,0),3)),$C185*INDEX(SPPR!$E:$X,MATCH($A185,SPPR!$A:$A,0),3),""),"")</f>
        <v/>
      </c>
      <c r="G185">
        <f>IFERROR(IF(ISNUMBER(INDEX(SPPR!$E:$X,MATCH($A185,SPPR!$A:$A,0),4)),$C185*INDEX(SPPR!$E:$X,MATCH($A185,SPPR!$A:$A,0),4),""),"")</f>
        <v/>
      </c>
      <c r="H185">
        <f>IFERROR(IF(ISNUMBER(INDEX(SPPR!$E:$X,MATCH($A185,SPPR!$A:$A,0),5)),$C185*INDEX(SPPR!$E:$X,MATCH($A185,SPPR!$A:$A,0),5),""),"")</f>
        <v/>
      </c>
      <c r="I185">
        <f>IFERROR(IF(ISNUMBER(INDEX(SPPR!$E:$X,MATCH($A185,SPPR!$A:$A,0),6)),$C185*INDEX(SPPR!$E:$X,MATCH($A185,SPPR!$A:$A,0),6),""),"")</f>
        <v/>
      </c>
      <c r="J185">
        <f>IFERROR(IF(ISNUMBER(INDEX(SPPR!$E:$X,MATCH($A185,SPPR!$A:$A,0),7)),$C185*INDEX(SPPR!$E:$X,MATCH($A185,SPPR!$A:$A,0),7),""),"")</f>
        <v/>
      </c>
      <c r="K185">
        <f>IFERROR(IF(ISNUMBER(INDEX(SPPR!$E:$X,MATCH($A185,SPPR!$A:$A,0),8)),$C185*INDEX(SPPR!$E:$X,MATCH($A185,SPPR!$A:$A,0),8),""),"")</f>
        <v/>
      </c>
      <c r="L185">
        <f>IFERROR(IF(ISNUMBER(INDEX(SPPR!$E:$X,MATCH($A185,SPPR!$A:$A,0),9)),$C185*INDEX(SPPR!$E:$X,MATCH($A185,SPPR!$A:$A,0),9),""),"")</f>
        <v/>
      </c>
      <c r="M185">
        <f>IFERROR(IF(ISNUMBER(INDEX(SPPR!$E:$X,MATCH($A185,SPPR!$A:$A,0),10)),$C185*INDEX(SPPR!$E:$X,MATCH($A185,SPPR!$A:$A,0),10),""),"")</f>
        <v/>
      </c>
      <c r="N185">
        <f>IFERROR(IF(ISNUMBER(INDEX(SPPR!$E:$X,MATCH($A185,SPPR!$A:$A,0),11)),$C185*INDEX(SPPR!$E:$X,MATCH($A185,SPPR!$A:$A,0),11),""),"")</f>
        <v/>
      </c>
      <c r="O185">
        <f>IFERROR(IF(ISNUMBER(INDEX(SPPR!$E:$X,MATCH($A185,SPPR!$A:$A,0),12)),$C185*INDEX(SPPR!$E:$X,MATCH($A185,SPPR!$A:$A,0),12),""),"")</f>
        <v/>
      </c>
      <c r="P185">
        <f>IFERROR(IF(ISNUMBER(INDEX(SPPR!$E:$X,MATCH($A185,SPPR!$A:$A,0),13)),$C185*INDEX(SPPR!$E:$X,MATCH($A185,SPPR!$A:$A,0),13),""),"")</f>
        <v/>
      </c>
      <c r="Q185">
        <f>IFERROR(IF(ISNUMBER(INDEX(SPPR!$E:$X,MATCH($A185,SPPR!$A:$A,0),14)),$C185*INDEX(SPPR!$E:$X,MATCH($A185,SPPR!$A:$A,0),14),""),"")</f>
        <v/>
      </c>
      <c r="R185">
        <f>IFERROR(IF(ISNUMBER(INDEX(SPPR!$E:$X,MATCH($A185,SPPR!$A:$A,0),15)),$C185*INDEX(SPPR!$E:$X,MATCH($A185,SPPR!$A:$A,0),15),""),"")</f>
        <v/>
      </c>
      <c r="S185">
        <f>IFERROR(IF(ISNUMBER(INDEX(SPPR!$E:$X,MATCH($A185,SPPR!$A:$A,0),16)),$C185*INDEX(SPPR!$E:$X,MATCH($A185,SPPR!$A:$A,0),16),""),"")</f>
        <v/>
      </c>
      <c r="T185">
        <f>IFERROR(IF(ISNUMBER(INDEX(SPPR!$E:$X,MATCH($A185,SPPR!$A:$A,0),17)),$C185*INDEX(SPPR!$E:$X,MATCH($A185,SPPR!$A:$A,0),17),""),"")</f>
        <v/>
      </c>
      <c r="U185">
        <f>IFERROR(IF(ISNUMBER(INDEX(SPPR!$E:$X,MATCH($A185,SPPR!$A:$A,0),18)),$C185*INDEX(SPPR!$E:$X,MATCH($A185,SPPR!$A:$A,0),18),""),"")</f>
        <v/>
      </c>
      <c r="V185">
        <f>IFERROR(IF(ISNUMBER(INDEX(SPPR!$E:$X,MATCH($A185,SPPR!$A:$A,0),19)),$C185*INDEX(SPPR!$E:$X,MATCH($A185,SPPR!$A:$A,0),19),""),"")</f>
        <v/>
      </c>
      <c r="W185">
        <f>IFERROR(IF(ISNUMBER(INDEX(SPPR!$E:$X,MATCH($A185,SPPR!$A:$A,0),20)),$C185*INDEX(SPPR!$E:$X,MATCH($A185,SPPR!$A:$A,0),20),""),"")</f>
        <v/>
      </c>
    </row>
    <row r="186">
      <c r="A186" t="inlineStr">
        <is>
          <t>Lumpenus lampretaeformis</t>
        </is>
      </c>
      <c r="B186">
        <f>IFERROR(INDEX(SPPR!$D:$D,MATCH($A186,SPPR!$A:$A,0)),"")</f>
        <v/>
      </c>
      <c r="C186">
        <f>IFERROR(INDEX(Catch!$E:$BV,MATCH($A186,Catch!$A:$A,0),MATCH($B$4,Catch!$E$1:$BV$1,0)),0)</f>
        <v/>
      </c>
      <c r="D186">
        <f>IFERROR(IF(ISNUMBER(INDEX(SPPR!$E:$X,MATCH($A186,SPPR!$A:$A,0),1)),$C186*INDEX(SPPR!$E:$X,MATCH($A186,SPPR!$A:$A,0),1),""),"")</f>
        <v/>
      </c>
      <c r="E186">
        <f>IFERROR(IF(ISNUMBER(INDEX(SPPR!$E:$X,MATCH($A186,SPPR!$A:$A,0),2)),$C186*INDEX(SPPR!$E:$X,MATCH($A186,SPPR!$A:$A,0),2),""),"")</f>
        <v/>
      </c>
      <c r="F186">
        <f>IFERROR(IF(ISNUMBER(INDEX(SPPR!$E:$X,MATCH($A186,SPPR!$A:$A,0),3)),$C186*INDEX(SPPR!$E:$X,MATCH($A186,SPPR!$A:$A,0),3),""),"")</f>
        <v/>
      </c>
      <c r="G186">
        <f>IFERROR(IF(ISNUMBER(INDEX(SPPR!$E:$X,MATCH($A186,SPPR!$A:$A,0),4)),$C186*INDEX(SPPR!$E:$X,MATCH($A186,SPPR!$A:$A,0),4),""),"")</f>
        <v/>
      </c>
      <c r="H186">
        <f>IFERROR(IF(ISNUMBER(INDEX(SPPR!$E:$X,MATCH($A186,SPPR!$A:$A,0),5)),$C186*INDEX(SPPR!$E:$X,MATCH($A186,SPPR!$A:$A,0),5),""),"")</f>
        <v/>
      </c>
      <c r="I186">
        <f>IFERROR(IF(ISNUMBER(INDEX(SPPR!$E:$X,MATCH($A186,SPPR!$A:$A,0),6)),$C186*INDEX(SPPR!$E:$X,MATCH($A186,SPPR!$A:$A,0),6),""),"")</f>
        <v/>
      </c>
      <c r="J186">
        <f>IFERROR(IF(ISNUMBER(INDEX(SPPR!$E:$X,MATCH($A186,SPPR!$A:$A,0),7)),$C186*INDEX(SPPR!$E:$X,MATCH($A186,SPPR!$A:$A,0),7),""),"")</f>
        <v/>
      </c>
      <c r="K186">
        <f>IFERROR(IF(ISNUMBER(INDEX(SPPR!$E:$X,MATCH($A186,SPPR!$A:$A,0),8)),$C186*INDEX(SPPR!$E:$X,MATCH($A186,SPPR!$A:$A,0),8),""),"")</f>
        <v/>
      </c>
      <c r="L186">
        <f>IFERROR(IF(ISNUMBER(INDEX(SPPR!$E:$X,MATCH($A186,SPPR!$A:$A,0),9)),$C186*INDEX(SPPR!$E:$X,MATCH($A186,SPPR!$A:$A,0),9),""),"")</f>
        <v/>
      </c>
      <c r="M186">
        <f>IFERROR(IF(ISNUMBER(INDEX(SPPR!$E:$X,MATCH($A186,SPPR!$A:$A,0),10)),$C186*INDEX(SPPR!$E:$X,MATCH($A186,SPPR!$A:$A,0),10),""),"")</f>
        <v/>
      </c>
      <c r="N186">
        <f>IFERROR(IF(ISNUMBER(INDEX(SPPR!$E:$X,MATCH($A186,SPPR!$A:$A,0),11)),$C186*INDEX(SPPR!$E:$X,MATCH($A186,SPPR!$A:$A,0),11),""),"")</f>
        <v/>
      </c>
      <c r="O186">
        <f>IFERROR(IF(ISNUMBER(INDEX(SPPR!$E:$X,MATCH($A186,SPPR!$A:$A,0),12)),$C186*INDEX(SPPR!$E:$X,MATCH($A186,SPPR!$A:$A,0),12),""),"")</f>
        <v/>
      </c>
      <c r="P186">
        <f>IFERROR(IF(ISNUMBER(INDEX(SPPR!$E:$X,MATCH($A186,SPPR!$A:$A,0),13)),$C186*INDEX(SPPR!$E:$X,MATCH($A186,SPPR!$A:$A,0),13),""),"")</f>
        <v/>
      </c>
      <c r="Q186">
        <f>IFERROR(IF(ISNUMBER(INDEX(SPPR!$E:$X,MATCH($A186,SPPR!$A:$A,0),14)),$C186*INDEX(SPPR!$E:$X,MATCH($A186,SPPR!$A:$A,0),14),""),"")</f>
        <v/>
      </c>
      <c r="R186">
        <f>IFERROR(IF(ISNUMBER(INDEX(SPPR!$E:$X,MATCH($A186,SPPR!$A:$A,0),15)),$C186*INDEX(SPPR!$E:$X,MATCH($A186,SPPR!$A:$A,0),15),""),"")</f>
        <v/>
      </c>
      <c r="S186">
        <f>IFERROR(IF(ISNUMBER(INDEX(SPPR!$E:$X,MATCH($A186,SPPR!$A:$A,0),16)),$C186*INDEX(SPPR!$E:$X,MATCH($A186,SPPR!$A:$A,0),16),""),"")</f>
        <v/>
      </c>
      <c r="T186">
        <f>IFERROR(IF(ISNUMBER(INDEX(SPPR!$E:$X,MATCH($A186,SPPR!$A:$A,0),17)),$C186*INDEX(SPPR!$E:$X,MATCH($A186,SPPR!$A:$A,0),17),""),"")</f>
        <v/>
      </c>
      <c r="U186">
        <f>IFERROR(IF(ISNUMBER(INDEX(SPPR!$E:$X,MATCH($A186,SPPR!$A:$A,0),18)),$C186*INDEX(SPPR!$E:$X,MATCH($A186,SPPR!$A:$A,0),18),""),"")</f>
        <v/>
      </c>
      <c r="V186">
        <f>IFERROR(IF(ISNUMBER(INDEX(SPPR!$E:$X,MATCH($A186,SPPR!$A:$A,0),19)),$C186*INDEX(SPPR!$E:$X,MATCH($A186,SPPR!$A:$A,0),19),""),"")</f>
        <v/>
      </c>
      <c r="W186">
        <f>IFERROR(IF(ISNUMBER(INDEX(SPPR!$E:$X,MATCH($A186,SPPR!$A:$A,0),20)),$C186*INDEX(SPPR!$E:$X,MATCH($A186,SPPR!$A:$A,0),20),""),"")</f>
        <v/>
      </c>
    </row>
    <row r="187">
      <c r="A187" t="inlineStr">
        <is>
          <t>Auxis thazard</t>
        </is>
      </c>
      <c r="B187">
        <f>IFERROR(INDEX(SPPR!$D:$D,MATCH($A187,SPPR!$A:$A,0)),"")</f>
        <v/>
      </c>
      <c r="C187">
        <f>IFERROR(INDEX(Catch!$E:$BV,MATCH($A187,Catch!$A:$A,0),MATCH($B$4,Catch!$E$1:$BV$1,0)),0)</f>
        <v/>
      </c>
      <c r="D187">
        <f>IFERROR(IF(ISNUMBER(INDEX(SPPR!$E:$X,MATCH($A187,SPPR!$A:$A,0),1)),$C187*INDEX(SPPR!$E:$X,MATCH($A187,SPPR!$A:$A,0),1),""),"")</f>
        <v/>
      </c>
      <c r="E187">
        <f>IFERROR(IF(ISNUMBER(INDEX(SPPR!$E:$X,MATCH($A187,SPPR!$A:$A,0),2)),$C187*INDEX(SPPR!$E:$X,MATCH($A187,SPPR!$A:$A,0),2),""),"")</f>
        <v/>
      </c>
      <c r="F187">
        <f>IFERROR(IF(ISNUMBER(INDEX(SPPR!$E:$X,MATCH($A187,SPPR!$A:$A,0),3)),$C187*INDEX(SPPR!$E:$X,MATCH($A187,SPPR!$A:$A,0),3),""),"")</f>
        <v/>
      </c>
      <c r="G187">
        <f>IFERROR(IF(ISNUMBER(INDEX(SPPR!$E:$X,MATCH($A187,SPPR!$A:$A,0),4)),$C187*INDEX(SPPR!$E:$X,MATCH($A187,SPPR!$A:$A,0),4),""),"")</f>
        <v/>
      </c>
      <c r="H187">
        <f>IFERROR(IF(ISNUMBER(INDEX(SPPR!$E:$X,MATCH($A187,SPPR!$A:$A,0),5)),$C187*INDEX(SPPR!$E:$X,MATCH($A187,SPPR!$A:$A,0),5),""),"")</f>
        <v/>
      </c>
      <c r="I187">
        <f>IFERROR(IF(ISNUMBER(INDEX(SPPR!$E:$X,MATCH($A187,SPPR!$A:$A,0),6)),$C187*INDEX(SPPR!$E:$X,MATCH($A187,SPPR!$A:$A,0),6),""),"")</f>
        <v/>
      </c>
      <c r="J187">
        <f>IFERROR(IF(ISNUMBER(INDEX(SPPR!$E:$X,MATCH($A187,SPPR!$A:$A,0),7)),$C187*INDEX(SPPR!$E:$X,MATCH($A187,SPPR!$A:$A,0),7),""),"")</f>
        <v/>
      </c>
      <c r="K187">
        <f>IFERROR(IF(ISNUMBER(INDEX(SPPR!$E:$X,MATCH($A187,SPPR!$A:$A,0),8)),$C187*INDEX(SPPR!$E:$X,MATCH($A187,SPPR!$A:$A,0),8),""),"")</f>
        <v/>
      </c>
      <c r="L187">
        <f>IFERROR(IF(ISNUMBER(INDEX(SPPR!$E:$X,MATCH($A187,SPPR!$A:$A,0),9)),$C187*INDEX(SPPR!$E:$X,MATCH($A187,SPPR!$A:$A,0),9),""),"")</f>
        <v/>
      </c>
      <c r="M187">
        <f>IFERROR(IF(ISNUMBER(INDEX(SPPR!$E:$X,MATCH($A187,SPPR!$A:$A,0),10)),$C187*INDEX(SPPR!$E:$X,MATCH($A187,SPPR!$A:$A,0),10),""),"")</f>
        <v/>
      </c>
      <c r="N187">
        <f>IFERROR(IF(ISNUMBER(INDEX(SPPR!$E:$X,MATCH($A187,SPPR!$A:$A,0),11)),$C187*INDEX(SPPR!$E:$X,MATCH($A187,SPPR!$A:$A,0),11),""),"")</f>
        <v/>
      </c>
      <c r="O187">
        <f>IFERROR(IF(ISNUMBER(INDEX(SPPR!$E:$X,MATCH($A187,SPPR!$A:$A,0),12)),$C187*INDEX(SPPR!$E:$X,MATCH($A187,SPPR!$A:$A,0),12),""),"")</f>
        <v/>
      </c>
      <c r="P187">
        <f>IFERROR(IF(ISNUMBER(INDEX(SPPR!$E:$X,MATCH($A187,SPPR!$A:$A,0),13)),$C187*INDEX(SPPR!$E:$X,MATCH($A187,SPPR!$A:$A,0),13),""),"")</f>
        <v/>
      </c>
      <c r="Q187">
        <f>IFERROR(IF(ISNUMBER(INDEX(SPPR!$E:$X,MATCH($A187,SPPR!$A:$A,0),14)),$C187*INDEX(SPPR!$E:$X,MATCH($A187,SPPR!$A:$A,0),14),""),"")</f>
        <v/>
      </c>
      <c r="R187">
        <f>IFERROR(IF(ISNUMBER(INDEX(SPPR!$E:$X,MATCH($A187,SPPR!$A:$A,0),15)),$C187*INDEX(SPPR!$E:$X,MATCH($A187,SPPR!$A:$A,0),15),""),"")</f>
        <v/>
      </c>
      <c r="S187">
        <f>IFERROR(IF(ISNUMBER(INDEX(SPPR!$E:$X,MATCH($A187,SPPR!$A:$A,0),16)),$C187*INDEX(SPPR!$E:$X,MATCH($A187,SPPR!$A:$A,0),16),""),"")</f>
        <v/>
      </c>
      <c r="T187">
        <f>IFERROR(IF(ISNUMBER(INDEX(SPPR!$E:$X,MATCH($A187,SPPR!$A:$A,0),17)),$C187*INDEX(SPPR!$E:$X,MATCH($A187,SPPR!$A:$A,0),17),""),"")</f>
        <v/>
      </c>
      <c r="U187">
        <f>IFERROR(IF(ISNUMBER(INDEX(SPPR!$E:$X,MATCH($A187,SPPR!$A:$A,0),18)),$C187*INDEX(SPPR!$E:$X,MATCH($A187,SPPR!$A:$A,0),18),""),"")</f>
        <v/>
      </c>
      <c r="V187">
        <f>IFERROR(IF(ISNUMBER(INDEX(SPPR!$E:$X,MATCH($A187,SPPR!$A:$A,0),19)),$C187*INDEX(SPPR!$E:$X,MATCH($A187,SPPR!$A:$A,0),19),""),"")</f>
        <v/>
      </c>
      <c r="W187">
        <f>IFERROR(IF(ISNUMBER(INDEX(SPPR!$E:$X,MATCH($A187,SPPR!$A:$A,0),20)),$C187*INDEX(SPPR!$E:$X,MATCH($A187,SPPR!$A:$A,0),20),""),"")</f>
        <v/>
      </c>
    </row>
    <row r="188">
      <c r="A188" t="inlineStr">
        <is>
          <t>Galeorhinus galeus</t>
        </is>
      </c>
      <c r="B188">
        <f>IFERROR(INDEX(SPPR!$D:$D,MATCH($A188,SPPR!$A:$A,0)),"")</f>
        <v/>
      </c>
      <c r="C188">
        <f>IFERROR(INDEX(Catch!$E:$BV,MATCH($A188,Catch!$A:$A,0),MATCH($B$4,Catch!$E$1:$BV$1,0)),0)</f>
        <v/>
      </c>
      <c r="D188">
        <f>IFERROR(IF(ISNUMBER(INDEX(SPPR!$E:$X,MATCH($A188,SPPR!$A:$A,0),1)),$C188*INDEX(SPPR!$E:$X,MATCH($A188,SPPR!$A:$A,0),1),""),"")</f>
        <v/>
      </c>
      <c r="E188">
        <f>IFERROR(IF(ISNUMBER(INDEX(SPPR!$E:$X,MATCH($A188,SPPR!$A:$A,0),2)),$C188*INDEX(SPPR!$E:$X,MATCH($A188,SPPR!$A:$A,0),2),""),"")</f>
        <v/>
      </c>
      <c r="F188">
        <f>IFERROR(IF(ISNUMBER(INDEX(SPPR!$E:$X,MATCH($A188,SPPR!$A:$A,0),3)),$C188*INDEX(SPPR!$E:$X,MATCH($A188,SPPR!$A:$A,0),3),""),"")</f>
        <v/>
      </c>
      <c r="G188">
        <f>IFERROR(IF(ISNUMBER(INDEX(SPPR!$E:$X,MATCH($A188,SPPR!$A:$A,0),4)),$C188*INDEX(SPPR!$E:$X,MATCH($A188,SPPR!$A:$A,0),4),""),"")</f>
        <v/>
      </c>
      <c r="H188">
        <f>IFERROR(IF(ISNUMBER(INDEX(SPPR!$E:$X,MATCH($A188,SPPR!$A:$A,0),5)),$C188*INDEX(SPPR!$E:$X,MATCH($A188,SPPR!$A:$A,0),5),""),"")</f>
        <v/>
      </c>
      <c r="I188">
        <f>IFERROR(IF(ISNUMBER(INDEX(SPPR!$E:$X,MATCH($A188,SPPR!$A:$A,0),6)),$C188*INDEX(SPPR!$E:$X,MATCH($A188,SPPR!$A:$A,0),6),""),"")</f>
        <v/>
      </c>
      <c r="J188">
        <f>IFERROR(IF(ISNUMBER(INDEX(SPPR!$E:$X,MATCH($A188,SPPR!$A:$A,0),7)),$C188*INDEX(SPPR!$E:$X,MATCH($A188,SPPR!$A:$A,0),7),""),"")</f>
        <v/>
      </c>
      <c r="K188">
        <f>IFERROR(IF(ISNUMBER(INDEX(SPPR!$E:$X,MATCH($A188,SPPR!$A:$A,0),8)),$C188*INDEX(SPPR!$E:$X,MATCH($A188,SPPR!$A:$A,0),8),""),"")</f>
        <v/>
      </c>
      <c r="L188">
        <f>IFERROR(IF(ISNUMBER(INDEX(SPPR!$E:$X,MATCH($A188,SPPR!$A:$A,0),9)),$C188*INDEX(SPPR!$E:$X,MATCH($A188,SPPR!$A:$A,0),9),""),"")</f>
        <v/>
      </c>
      <c r="M188">
        <f>IFERROR(IF(ISNUMBER(INDEX(SPPR!$E:$X,MATCH($A188,SPPR!$A:$A,0),10)),$C188*INDEX(SPPR!$E:$X,MATCH($A188,SPPR!$A:$A,0),10),""),"")</f>
        <v/>
      </c>
      <c r="N188">
        <f>IFERROR(IF(ISNUMBER(INDEX(SPPR!$E:$X,MATCH($A188,SPPR!$A:$A,0),11)),$C188*INDEX(SPPR!$E:$X,MATCH($A188,SPPR!$A:$A,0),11),""),"")</f>
        <v/>
      </c>
      <c r="O188">
        <f>IFERROR(IF(ISNUMBER(INDEX(SPPR!$E:$X,MATCH($A188,SPPR!$A:$A,0),12)),$C188*INDEX(SPPR!$E:$X,MATCH($A188,SPPR!$A:$A,0),12),""),"")</f>
        <v/>
      </c>
      <c r="P188">
        <f>IFERROR(IF(ISNUMBER(INDEX(SPPR!$E:$X,MATCH($A188,SPPR!$A:$A,0),13)),$C188*INDEX(SPPR!$E:$X,MATCH($A188,SPPR!$A:$A,0),13),""),"")</f>
        <v/>
      </c>
      <c r="Q188">
        <f>IFERROR(IF(ISNUMBER(INDEX(SPPR!$E:$X,MATCH($A188,SPPR!$A:$A,0),14)),$C188*INDEX(SPPR!$E:$X,MATCH($A188,SPPR!$A:$A,0),14),""),"")</f>
        <v/>
      </c>
      <c r="R188">
        <f>IFERROR(IF(ISNUMBER(INDEX(SPPR!$E:$X,MATCH($A188,SPPR!$A:$A,0),15)),$C188*INDEX(SPPR!$E:$X,MATCH($A188,SPPR!$A:$A,0),15),""),"")</f>
        <v/>
      </c>
      <c r="S188">
        <f>IFERROR(IF(ISNUMBER(INDEX(SPPR!$E:$X,MATCH($A188,SPPR!$A:$A,0),16)),$C188*INDEX(SPPR!$E:$X,MATCH($A188,SPPR!$A:$A,0),16),""),"")</f>
        <v/>
      </c>
      <c r="T188">
        <f>IFERROR(IF(ISNUMBER(INDEX(SPPR!$E:$X,MATCH($A188,SPPR!$A:$A,0),17)),$C188*INDEX(SPPR!$E:$X,MATCH($A188,SPPR!$A:$A,0),17),""),"")</f>
        <v/>
      </c>
      <c r="U188">
        <f>IFERROR(IF(ISNUMBER(INDEX(SPPR!$E:$X,MATCH($A188,SPPR!$A:$A,0),18)),$C188*INDEX(SPPR!$E:$X,MATCH($A188,SPPR!$A:$A,0),18),""),"")</f>
        <v/>
      </c>
      <c r="V188">
        <f>IFERROR(IF(ISNUMBER(INDEX(SPPR!$E:$X,MATCH($A188,SPPR!$A:$A,0),19)),$C188*INDEX(SPPR!$E:$X,MATCH($A188,SPPR!$A:$A,0),19),""),"")</f>
        <v/>
      </c>
      <c r="W188">
        <f>IFERROR(IF(ISNUMBER(INDEX(SPPR!$E:$X,MATCH($A188,SPPR!$A:$A,0),20)),$C188*INDEX(SPPR!$E:$X,MATCH($A188,SPPR!$A:$A,0),20),""),"")</f>
        <v/>
      </c>
    </row>
    <row r="189">
      <c r="A189" t="inlineStr">
        <is>
          <t>Labridae</t>
        </is>
      </c>
      <c r="B189">
        <f>IFERROR(INDEX(SPPR!$D:$D,MATCH($A189,SPPR!$A:$A,0)),"")</f>
        <v/>
      </c>
      <c r="C189">
        <f>IFERROR(INDEX(Catch!$E:$BV,MATCH($A189,Catch!$A:$A,0),MATCH($B$4,Catch!$E$1:$BV$1,0)),0)</f>
        <v/>
      </c>
      <c r="D189">
        <f>IFERROR(IF(ISNUMBER(INDEX(SPPR!$E:$X,MATCH($A189,SPPR!$A:$A,0),1)),$C189*INDEX(SPPR!$E:$X,MATCH($A189,SPPR!$A:$A,0),1),""),"")</f>
        <v/>
      </c>
      <c r="E189">
        <f>IFERROR(IF(ISNUMBER(INDEX(SPPR!$E:$X,MATCH($A189,SPPR!$A:$A,0),2)),$C189*INDEX(SPPR!$E:$X,MATCH($A189,SPPR!$A:$A,0),2),""),"")</f>
        <v/>
      </c>
      <c r="F189">
        <f>IFERROR(IF(ISNUMBER(INDEX(SPPR!$E:$X,MATCH($A189,SPPR!$A:$A,0),3)),$C189*INDEX(SPPR!$E:$X,MATCH($A189,SPPR!$A:$A,0),3),""),"")</f>
        <v/>
      </c>
      <c r="G189">
        <f>IFERROR(IF(ISNUMBER(INDEX(SPPR!$E:$X,MATCH($A189,SPPR!$A:$A,0),4)),$C189*INDEX(SPPR!$E:$X,MATCH($A189,SPPR!$A:$A,0),4),""),"")</f>
        <v/>
      </c>
      <c r="H189">
        <f>IFERROR(IF(ISNUMBER(INDEX(SPPR!$E:$X,MATCH($A189,SPPR!$A:$A,0),5)),$C189*INDEX(SPPR!$E:$X,MATCH($A189,SPPR!$A:$A,0),5),""),"")</f>
        <v/>
      </c>
      <c r="I189">
        <f>IFERROR(IF(ISNUMBER(INDEX(SPPR!$E:$X,MATCH($A189,SPPR!$A:$A,0),6)),$C189*INDEX(SPPR!$E:$X,MATCH($A189,SPPR!$A:$A,0),6),""),"")</f>
        <v/>
      </c>
      <c r="J189">
        <f>IFERROR(IF(ISNUMBER(INDEX(SPPR!$E:$X,MATCH($A189,SPPR!$A:$A,0),7)),$C189*INDEX(SPPR!$E:$X,MATCH($A189,SPPR!$A:$A,0),7),""),"")</f>
        <v/>
      </c>
      <c r="K189">
        <f>IFERROR(IF(ISNUMBER(INDEX(SPPR!$E:$X,MATCH($A189,SPPR!$A:$A,0),8)),$C189*INDEX(SPPR!$E:$X,MATCH($A189,SPPR!$A:$A,0),8),""),"")</f>
        <v/>
      </c>
      <c r="L189">
        <f>IFERROR(IF(ISNUMBER(INDEX(SPPR!$E:$X,MATCH($A189,SPPR!$A:$A,0),9)),$C189*INDEX(SPPR!$E:$X,MATCH($A189,SPPR!$A:$A,0),9),""),"")</f>
        <v/>
      </c>
      <c r="M189">
        <f>IFERROR(IF(ISNUMBER(INDEX(SPPR!$E:$X,MATCH($A189,SPPR!$A:$A,0),10)),$C189*INDEX(SPPR!$E:$X,MATCH($A189,SPPR!$A:$A,0),10),""),"")</f>
        <v/>
      </c>
      <c r="N189">
        <f>IFERROR(IF(ISNUMBER(INDEX(SPPR!$E:$X,MATCH($A189,SPPR!$A:$A,0),11)),$C189*INDEX(SPPR!$E:$X,MATCH($A189,SPPR!$A:$A,0),11),""),"")</f>
        <v/>
      </c>
      <c r="O189">
        <f>IFERROR(IF(ISNUMBER(INDEX(SPPR!$E:$X,MATCH($A189,SPPR!$A:$A,0),12)),$C189*INDEX(SPPR!$E:$X,MATCH($A189,SPPR!$A:$A,0),12),""),"")</f>
        <v/>
      </c>
      <c r="P189">
        <f>IFERROR(IF(ISNUMBER(INDEX(SPPR!$E:$X,MATCH($A189,SPPR!$A:$A,0),13)),$C189*INDEX(SPPR!$E:$X,MATCH($A189,SPPR!$A:$A,0),13),""),"")</f>
        <v/>
      </c>
      <c r="Q189">
        <f>IFERROR(IF(ISNUMBER(INDEX(SPPR!$E:$X,MATCH($A189,SPPR!$A:$A,0),14)),$C189*INDEX(SPPR!$E:$X,MATCH($A189,SPPR!$A:$A,0),14),""),"")</f>
        <v/>
      </c>
      <c r="R189">
        <f>IFERROR(IF(ISNUMBER(INDEX(SPPR!$E:$X,MATCH($A189,SPPR!$A:$A,0),15)),$C189*INDEX(SPPR!$E:$X,MATCH($A189,SPPR!$A:$A,0),15),""),"")</f>
        <v/>
      </c>
      <c r="S189">
        <f>IFERROR(IF(ISNUMBER(INDEX(SPPR!$E:$X,MATCH($A189,SPPR!$A:$A,0),16)),$C189*INDEX(SPPR!$E:$X,MATCH($A189,SPPR!$A:$A,0),16),""),"")</f>
        <v/>
      </c>
      <c r="T189">
        <f>IFERROR(IF(ISNUMBER(INDEX(SPPR!$E:$X,MATCH($A189,SPPR!$A:$A,0),17)),$C189*INDEX(SPPR!$E:$X,MATCH($A189,SPPR!$A:$A,0),17),""),"")</f>
        <v/>
      </c>
      <c r="U189">
        <f>IFERROR(IF(ISNUMBER(INDEX(SPPR!$E:$X,MATCH($A189,SPPR!$A:$A,0),18)),$C189*INDEX(SPPR!$E:$X,MATCH($A189,SPPR!$A:$A,0),18),""),"")</f>
        <v/>
      </c>
      <c r="V189">
        <f>IFERROR(IF(ISNUMBER(INDEX(SPPR!$E:$X,MATCH($A189,SPPR!$A:$A,0),19)),$C189*INDEX(SPPR!$E:$X,MATCH($A189,SPPR!$A:$A,0),19),""),"")</f>
        <v/>
      </c>
      <c r="W189">
        <f>IFERROR(IF(ISNUMBER(INDEX(SPPR!$E:$X,MATCH($A189,SPPR!$A:$A,0),20)),$C189*INDEX(SPPR!$E:$X,MATCH($A189,SPPR!$A:$A,0),20),""),"")</f>
        <v/>
      </c>
    </row>
    <row r="190">
      <c r="A190" t="inlineStr">
        <is>
          <t>Rutilus rutilus</t>
        </is>
      </c>
      <c r="B190">
        <f>IFERROR(INDEX(SPPR!$D:$D,MATCH($A190,SPPR!$A:$A,0)),"")</f>
        <v/>
      </c>
      <c r="C190">
        <f>IFERROR(INDEX(Catch!$E:$BV,MATCH($A190,Catch!$A:$A,0),MATCH($B$4,Catch!$E$1:$BV$1,0)),0)</f>
        <v/>
      </c>
      <c r="D190">
        <f>IFERROR(IF(ISNUMBER(INDEX(SPPR!$E:$X,MATCH($A190,SPPR!$A:$A,0),1)),$C190*INDEX(SPPR!$E:$X,MATCH($A190,SPPR!$A:$A,0),1),""),"")</f>
        <v/>
      </c>
      <c r="E190">
        <f>IFERROR(IF(ISNUMBER(INDEX(SPPR!$E:$X,MATCH($A190,SPPR!$A:$A,0),2)),$C190*INDEX(SPPR!$E:$X,MATCH($A190,SPPR!$A:$A,0),2),""),"")</f>
        <v/>
      </c>
      <c r="F190">
        <f>IFERROR(IF(ISNUMBER(INDEX(SPPR!$E:$X,MATCH($A190,SPPR!$A:$A,0),3)),$C190*INDEX(SPPR!$E:$X,MATCH($A190,SPPR!$A:$A,0),3),""),"")</f>
        <v/>
      </c>
      <c r="G190">
        <f>IFERROR(IF(ISNUMBER(INDEX(SPPR!$E:$X,MATCH($A190,SPPR!$A:$A,0),4)),$C190*INDEX(SPPR!$E:$X,MATCH($A190,SPPR!$A:$A,0),4),""),"")</f>
        <v/>
      </c>
      <c r="H190">
        <f>IFERROR(IF(ISNUMBER(INDEX(SPPR!$E:$X,MATCH($A190,SPPR!$A:$A,0),5)),$C190*INDEX(SPPR!$E:$X,MATCH($A190,SPPR!$A:$A,0),5),""),"")</f>
        <v/>
      </c>
      <c r="I190">
        <f>IFERROR(IF(ISNUMBER(INDEX(SPPR!$E:$X,MATCH($A190,SPPR!$A:$A,0),6)),$C190*INDEX(SPPR!$E:$X,MATCH($A190,SPPR!$A:$A,0),6),""),"")</f>
        <v/>
      </c>
      <c r="J190">
        <f>IFERROR(IF(ISNUMBER(INDEX(SPPR!$E:$X,MATCH($A190,SPPR!$A:$A,0),7)),$C190*INDEX(SPPR!$E:$X,MATCH($A190,SPPR!$A:$A,0),7),""),"")</f>
        <v/>
      </c>
      <c r="K190">
        <f>IFERROR(IF(ISNUMBER(INDEX(SPPR!$E:$X,MATCH($A190,SPPR!$A:$A,0),8)),$C190*INDEX(SPPR!$E:$X,MATCH($A190,SPPR!$A:$A,0),8),""),"")</f>
        <v/>
      </c>
      <c r="L190">
        <f>IFERROR(IF(ISNUMBER(INDEX(SPPR!$E:$X,MATCH($A190,SPPR!$A:$A,0),9)),$C190*INDEX(SPPR!$E:$X,MATCH($A190,SPPR!$A:$A,0),9),""),"")</f>
        <v/>
      </c>
      <c r="M190">
        <f>IFERROR(IF(ISNUMBER(INDEX(SPPR!$E:$X,MATCH($A190,SPPR!$A:$A,0),10)),$C190*INDEX(SPPR!$E:$X,MATCH($A190,SPPR!$A:$A,0),10),""),"")</f>
        <v/>
      </c>
      <c r="N190">
        <f>IFERROR(IF(ISNUMBER(INDEX(SPPR!$E:$X,MATCH($A190,SPPR!$A:$A,0),11)),$C190*INDEX(SPPR!$E:$X,MATCH($A190,SPPR!$A:$A,0),11),""),"")</f>
        <v/>
      </c>
      <c r="O190">
        <f>IFERROR(IF(ISNUMBER(INDEX(SPPR!$E:$X,MATCH($A190,SPPR!$A:$A,0),12)),$C190*INDEX(SPPR!$E:$X,MATCH($A190,SPPR!$A:$A,0),12),""),"")</f>
        <v/>
      </c>
      <c r="P190">
        <f>IFERROR(IF(ISNUMBER(INDEX(SPPR!$E:$X,MATCH($A190,SPPR!$A:$A,0),13)),$C190*INDEX(SPPR!$E:$X,MATCH($A190,SPPR!$A:$A,0),13),""),"")</f>
        <v/>
      </c>
      <c r="Q190">
        <f>IFERROR(IF(ISNUMBER(INDEX(SPPR!$E:$X,MATCH($A190,SPPR!$A:$A,0),14)),$C190*INDEX(SPPR!$E:$X,MATCH($A190,SPPR!$A:$A,0),14),""),"")</f>
        <v/>
      </c>
      <c r="R190">
        <f>IFERROR(IF(ISNUMBER(INDEX(SPPR!$E:$X,MATCH($A190,SPPR!$A:$A,0),15)),$C190*INDEX(SPPR!$E:$X,MATCH($A190,SPPR!$A:$A,0),15),""),"")</f>
        <v/>
      </c>
      <c r="S190">
        <f>IFERROR(IF(ISNUMBER(INDEX(SPPR!$E:$X,MATCH($A190,SPPR!$A:$A,0),16)),$C190*INDEX(SPPR!$E:$X,MATCH($A190,SPPR!$A:$A,0),16),""),"")</f>
        <v/>
      </c>
      <c r="T190">
        <f>IFERROR(IF(ISNUMBER(INDEX(SPPR!$E:$X,MATCH($A190,SPPR!$A:$A,0),17)),$C190*INDEX(SPPR!$E:$X,MATCH($A190,SPPR!$A:$A,0),17),""),"")</f>
        <v/>
      </c>
      <c r="U190">
        <f>IFERROR(IF(ISNUMBER(INDEX(SPPR!$E:$X,MATCH($A190,SPPR!$A:$A,0),18)),$C190*INDEX(SPPR!$E:$X,MATCH($A190,SPPR!$A:$A,0),18),""),"")</f>
        <v/>
      </c>
      <c r="V190">
        <f>IFERROR(IF(ISNUMBER(INDEX(SPPR!$E:$X,MATCH($A190,SPPR!$A:$A,0),19)),$C190*INDEX(SPPR!$E:$X,MATCH($A190,SPPR!$A:$A,0),19),""),"")</f>
        <v/>
      </c>
      <c r="W190">
        <f>IFERROR(IF(ISNUMBER(INDEX(SPPR!$E:$X,MATCH($A190,SPPR!$A:$A,0),20)),$C190*INDEX(SPPR!$E:$X,MATCH($A190,SPPR!$A:$A,0),20),""),"")</f>
        <v/>
      </c>
    </row>
    <row r="191">
      <c r="A191" t="inlineStr">
        <is>
          <t>Thunnus alalunga</t>
        </is>
      </c>
      <c r="B191">
        <f>IFERROR(INDEX(SPPR!$D:$D,MATCH($A191,SPPR!$A:$A,0)),"")</f>
        <v/>
      </c>
      <c r="C191">
        <f>IFERROR(INDEX(Catch!$E:$BV,MATCH($A191,Catch!$A:$A,0),MATCH($B$4,Catch!$E$1:$BV$1,0)),0)</f>
        <v/>
      </c>
      <c r="D191">
        <f>IFERROR(IF(ISNUMBER(INDEX(SPPR!$E:$X,MATCH($A191,SPPR!$A:$A,0),1)),$C191*INDEX(SPPR!$E:$X,MATCH($A191,SPPR!$A:$A,0),1),""),"")</f>
        <v/>
      </c>
      <c r="E191">
        <f>IFERROR(IF(ISNUMBER(INDEX(SPPR!$E:$X,MATCH($A191,SPPR!$A:$A,0),2)),$C191*INDEX(SPPR!$E:$X,MATCH($A191,SPPR!$A:$A,0),2),""),"")</f>
        <v/>
      </c>
      <c r="F191">
        <f>IFERROR(IF(ISNUMBER(INDEX(SPPR!$E:$X,MATCH($A191,SPPR!$A:$A,0),3)),$C191*INDEX(SPPR!$E:$X,MATCH($A191,SPPR!$A:$A,0),3),""),"")</f>
        <v/>
      </c>
      <c r="G191">
        <f>IFERROR(IF(ISNUMBER(INDEX(SPPR!$E:$X,MATCH($A191,SPPR!$A:$A,0),4)),$C191*INDEX(SPPR!$E:$X,MATCH($A191,SPPR!$A:$A,0),4),""),"")</f>
        <v/>
      </c>
      <c r="H191">
        <f>IFERROR(IF(ISNUMBER(INDEX(SPPR!$E:$X,MATCH($A191,SPPR!$A:$A,0),5)),$C191*INDEX(SPPR!$E:$X,MATCH($A191,SPPR!$A:$A,0),5),""),"")</f>
        <v/>
      </c>
      <c r="I191">
        <f>IFERROR(IF(ISNUMBER(INDEX(SPPR!$E:$X,MATCH($A191,SPPR!$A:$A,0),6)),$C191*INDEX(SPPR!$E:$X,MATCH($A191,SPPR!$A:$A,0),6),""),"")</f>
        <v/>
      </c>
      <c r="J191">
        <f>IFERROR(IF(ISNUMBER(INDEX(SPPR!$E:$X,MATCH($A191,SPPR!$A:$A,0),7)),$C191*INDEX(SPPR!$E:$X,MATCH($A191,SPPR!$A:$A,0),7),""),"")</f>
        <v/>
      </c>
      <c r="K191">
        <f>IFERROR(IF(ISNUMBER(INDEX(SPPR!$E:$X,MATCH($A191,SPPR!$A:$A,0),8)),$C191*INDEX(SPPR!$E:$X,MATCH($A191,SPPR!$A:$A,0),8),""),"")</f>
        <v/>
      </c>
      <c r="L191">
        <f>IFERROR(IF(ISNUMBER(INDEX(SPPR!$E:$X,MATCH($A191,SPPR!$A:$A,0),9)),$C191*INDEX(SPPR!$E:$X,MATCH($A191,SPPR!$A:$A,0),9),""),"")</f>
        <v/>
      </c>
      <c r="M191">
        <f>IFERROR(IF(ISNUMBER(INDEX(SPPR!$E:$X,MATCH($A191,SPPR!$A:$A,0),10)),$C191*INDEX(SPPR!$E:$X,MATCH($A191,SPPR!$A:$A,0),10),""),"")</f>
        <v/>
      </c>
      <c r="N191">
        <f>IFERROR(IF(ISNUMBER(INDEX(SPPR!$E:$X,MATCH($A191,SPPR!$A:$A,0),11)),$C191*INDEX(SPPR!$E:$X,MATCH($A191,SPPR!$A:$A,0),11),""),"")</f>
        <v/>
      </c>
      <c r="O191">
        <f>IFERROR(IF(ISNUMBER(INDEX(SPPR!$E:$X,MATCH($A191,SPPR!$A:$A,0),12)),$C191*INDEX(SPPR!$E:$X,MATCH($A191,SPPR!$A:$A,0),12),""),"")</f>
        <v/>
      </c>
      <c r="P191">
        <f>IFERROR(IF(ISNUMBER(INDEX(SPPR!$E:$X,MATCH($A191,SPPR!$A:$A,0),13)),$C191*INDEX(SPPR!$E:$X,MATCH($A191,SPPR!$A:$A,0),13),""),"")</f>
        <v/>
      </c>
      <c r="Q191">
        <f>IFERROR(IF(ISNUMBER(INDEX(SPPR!$E:$X,MATCH($A191,SPPR!$A:$A,0),14)),$C191*INDEX(SPPR!$E:$X,MATCH($A191,SPPR!$A:$A,0),14),""),"")</f>
        <v/>
      </c>
      <c r="R191">
        <f>IFERROR(IF(ISNUMBER(INDEX(SPPR!$E:$X,MATCH($A191,SPPR!$A:$A,0),15)),$C191*INDEX(SPPR!$E:$X,MATCH($A191,SPPR!$A:$A,0),15),""),"")</f>
        <v/>
      </c>
      <c r="S191">
        <f>IFERROR(IF(ISNUMBER(INDEX(SPPR!$E:$X,MATCH($A191,SPPR!$A:$A,0),16)),$C191*INDEX(SPPR!$E:$X,MATCH($A191,SPPR!$A:$A,0),16),""),"")</f>
        <v/>
      </c>
      <c r="T191">
        <f>IFERROR(IF(ISNUMBER(INDEX(SPPR!$E:$X,MATCH($A191,SPPR!$A:$A,0),17)),$C191*INDEX(SPPR!$E:$X,MATCH($A191,SPPR!$A:$A,0),17),""),"")</f>
        <v/>
      </c>
      <c r="U191">
        <f>IFERROR(IF(ISNUMBER(INDEX(SPPR!$E:$X,MATCH($A191,SPPR!$A:$A,0),18)),$C191*INDEX(SPPR!$E:$X,MATCH($A191,SPPR!$A:$A,0),18),""),"")</f>
        <v/>
      </c>
      <c r="V191">
        <f>IFERROR(IF(ISNUMBER(INDEX(SPPR!$E:$X,MATCH($A191,SPPR!$A:$A,0),19)),$C191*INDEX(SPPR!$E:$X,MATCH($A191,SPPR!$A:$A,0),19),""),"")</f>
        <v/>
      </c>
      <c r="W191">
        <f>IFERROR(IF(ISNUMBER(INDEX(SPPR!$E:$X,MATCH($A191,SPPR!$A:$A,0),20)),$C191*INDEX(SPPR!$E:$X,MATCH($A191,SPPR!$A:$A,0),20),""),"")</f>
        <v/>
      </c>
    </row>
    <row r="192">
      <c r="A192" t="inlineStr">
        <is>
          <t>Mallotus villosus</t>
        </is>
      </c>
      <c r="B192">
        <f>IFERROR(INDEX(SPPR!$D:$D,MATCH($A192,SPPR!$A:$A,0)),"")</f>
        <v/>
      </c>
      <c r="C192">
        <f>IFERROR(INDEX(Catch!$E:$BV,MATCH($A192,Catch!$A:$A,0),MATCH($B$4,Catch!$E$1:$BV$1,0)),0)</f>
        <v/>
      </c>
      <c r="D192">
        <f>IFERROR(IF(ISNUMBER(INDEX(SPPR!$E:$X,MATCH($A192,SPPR!$A:$A,0),1)),$C192*INDEX(SPPR!$E:$X,MATCH($A192,SPPR!$A:$A,0),1),""),"")</f>
        <v/>
      </c>
      <c r="E192">
        <f>IFERROR(IF(ISNUMBER(INDEX(SPPR!$E:$X,MATCH($A192,SPPR!$A:$A,0),2)),$C192*INDEX(SPPR!$E:$X,MATCH($A192,SPPR!$A:$A,0),2),""),"")</f>
        <v/>
      </c>
      <c r="F192">
        <f>IFERROR(IF(ISNUMBER(INDEX(SPPR!$E:$X,MATCH($A192,SPPR!$A:$A,0),3)),$C192*INDEX(SPPR!$E:$X,MATCH($A192,SPPR!$A:$A,0),3),""),"")</f>
        <v/>
      </c>
      <c r="G192">
        <f>IFERROR(IF(ISNUMBER(INDEX(SPPR!$E:$X,MATCH($A192,SPPR!$A:$A,0),4)),$C192*INDEX(SPPR!$E:$X,MATCH($A192,SPPR!$A:$A,0),4),""),"")</f>
        <v/>
      </c>
      <c r="H192">
        <f>IFERROR(IF(ISNUMBER(INDEX(SPPR!$E:$X,MATCH($A192,SPPR!$A:$A,0),5)),$C192*INDEX(SPPR!$E:$X,MATCH($A192,SPPR!$A:$A,0),5),""),"")</f>
        <v/>
      </c>
      <c r="I192">
        <f>IFERROR(IF(ISNUMBER(INDEX(SPPR!$E:$X,MATCH($A192,SPPR!$A:$A,0),6)),$C192*INDEX(SPPR!$E:$X,MATCH($A192,SPPR!$A:$A,0),6),""),"")</f>
        <v/>
      </c>
      <c r="J192">
        <f>IFERROR(IF(ISNUMBER(INDEX(SPPR!$E:$X,MATCH($A192,SPPR!$A:$A,0),7)),$C192*INDEX(SPPR!$E:$X,MATCH($A192,SPPR!$A:$A,0),7),""),"")</f>
        <v/>
      </c>
      <c r="K192">
        <f>IFERROR(IF(ISNUMBER(INDEX(SPPR!$E:$X,MATCH($A192,SPPR!$A:$A,0),8)),$C192*INDEX(SPPR!$E:$X,MATCH($A192,SPPR!$A:$A,0),8),""),"")</f>
        <v/>
      </c>
      <c r="L192">
        <f>IFERROR(IF(ISNUMBER(INDEX(SPPR!$E:$X,MATCH($A192,SPPR!$A:$A,0),9)),$C192*INDEX(SPPR!$E:$X,MATCH($A192,SPPR!$A:$A,0),9),""),"")</f>
        <v/>
      </c>
      <c r="M192">
        <f>IFERROR(IF(ISNUMBER(INDEX(SPPR!$E:$X,MATCH($A192,SPPR!$A:$A,0),10)),$C192*INDEX(SPPR!$E:$X,MATCH($A192,SPPR!$A:$A,0),10),""),"")</f>
        <v/>
      </c>
      <c r="N192">
        <f>IFERROR(IF(ISNUMBER(INDEX(SPPR!$E:$X,MATCH($A192,SPPR!$A:$A,0),11)),$C192*INDEX(SPPR!$E:$X,MATCH($A192,SPPR!$A:$A,0),11),""),"")</f>
        <v/>
      </c>
      <c r="O192">
        <f>IFERROR(IF(ISNUMBER(INDEX(SPPR!$E:$X,MATCH($A192,SPPR!$A:$A,0),12)),$C192*INDEX(SPPR!$E:$X,MATCH($A192,SPPR!$A:$A,0),12),""),"")</f>
        <v/>
      </c>
      <c r="P192">
        <f>IFERROR(IF(ISNUMBER(INDEX(SPPR!$E:$X,MATCH($A192,SPPR!$A:$A,0),13)),$C192*INDEX(SPPR!$E:$X,MATCH($A192,SPPR!$A:$A,0),13),""),"")</f>
        <v/>
      </c>
      <c r="Q192">
        <f>IFERROR(IF(ISNUMBER(INDEX(SPPR!$E:$X,MATCH($A192,SPPR!$A:$A,0),14)),$C192*INDEX(SPPR!$E:$X,MATCH($A192,SPPR!$A:$A,0),14),""),"")</f>
        <v/>
      </c>
      <c r="R192">
        <f>IFERROR(IF(ISNUMBER(INDEX(SPPR!$E:$X,MATCH($A192,SPPR!$A:$A,0),15)),$C192*INDEX(SPPR!$E:$X,MATCH($A192,SPPR!$A:$A,0),15),""),"")</f>
        <v/>
      </c>
      <c r="S192">
        <f>IFERROR(IF(ISNUMBER(INDEX(SPPR!$E:$X,MATCH($A192,SPPR!$A:$A,0),16)),$C192*INDEX(SPPR!$E:$X,MATCH($A192,SPPR!$A:$A,0),16),""),"")</f>
        <v/>
      </c>
      <c r="T192">
        <f>IFERROR(IF(ISNUMBER(INDEX(SPPR!$E:$X,MATCH($A192,SPPR!$A:$A,0),17)),$C192*INDEX(SPPR!$E:$X,MATCH($A192,SPPR!$A:$A,0),17),""),"")</f>
        <v/>
      </c>
      <c r="U192">
        <f>IFERROR(IF(ISNUMBER(INDEX(SPPR!$E:$X,MATCH($A192,SPPR!$A:$A,0),18)),$C192*INDEX(SPPR!$E:$X,MATCH($A192,SPPR!$A:$A,0),18),""),"")</f>
        <v/>
      </c>
      <c r="V192">
        <f>IFERROR(IF(ISNUMBER(INDEX(SPPR!$E:$X,MATCH($A192,SPPR!$A:$A,0),19)),$C192*INDEX(SPPR!$E:$X,MATCH($A192,SPPR!$A:$A,0),19),""),"")</f>
        <v/>
      </c>
      <c r="W192">
        <f>IFERROR(IF(ISNUMBER(INDEX(SPPR!$E:$X,MATCH($A192,SPPR!$A:$A,0),20)),$C192*INDEX(SPPR!$E:$X,MATCH($A192,SPPR!$A:$A,0),20),""),"")</f>
        <v/>
      </c>
    </row>
    <row r="193">
      <c r="A193" t="inlineStr">
        <is>
          <t>Octopodidae</t>
        </is>
      </c>
      <c r="B193">
        <f>IFERROR(INDEX(SPPR!$D:$D,MATCH($A193,SPPR!$A:$A,0)),"")</f>
        <v/>
      </c>
      <c r="C193">
        <f>IFERROR(INDEX(Catch!$E:$BV,MATCH($A193,Catch!$A:$A,0),MATCH($B$4,Catch!$E$1:$BV$1,0)),0)</f>
        <v/>
      </c>
      <c r="D193">
        <f>IFERROR(IF(ISNUMBER(INDEX(SPPR!$E:$X,MATCH($A193,SPPR!$A:$A,0),1)),$C193*INDEX(SPPR!$E:$X,MATCH($A193,SPPR!$A:$A,0),1),""),"")</f>
        <v/>
      </c>
      <c r="E193">
        <f>IFERROR(IF(ISNUMBER(INDEX(SPPR!$E:$X,MATCH($A193,SPPR!$A:$A,0),2)),$C193*INDEX(SPPR!$E:$X,MATCH($A193,SPPR!$A:$A,0),2),""),"")</f>
        <v/>
      </c>
      <c r="F193">
        <f>IFERROR(IF(ISNUMBER(INDEX(SPPR!$E:$X,MATCH($A193,SPPR!$A:$A,0),3)),$C193*INDEX(SPPR!$E:$X,MATCH($A193,SPPR!$A:$A,0),3),""),"")</f>
        <v/>
      </c>
      <c r="G193">
        <f>IFERROR(IF(ISNUMBER(INDEX(SPPR!$E:$X,MATCH($A193,SPPR!$A:$A,0),4)),$C193*INDEX(SPPR!$E:$X,MATCH($A193,SPPR!$A:$A,0),4),""),"")</f>
        <v/>
      </c>
      <c r="H193">
        <f>IFERROR(IF(ISNUMBER(INDEX(SPPR!$E:$X,MATCH($A193,SPPR!$A:$A,0),5)),$C193*INDEX(SPPR!$E:$X,MATCH($A193,SPPR!$A:$A,0),5),""),"")</f>
        <v/>
      </c>
      <c r="I193">
        <f>IFERROR(IF(ISNUMBER(INDEX(SPPR!$E:$X,MATCH($A193,SPPR!$A:$A,0),6)),$C193*INDEX(SPPR!$E:$X,MATCH($A193,SPPR!$A:$A,0),6),""),"")</f>
        <v/>
      </c>
      <c r="J193">
        <f>IFERROR(IF(ISNUMBER(INDEX(SPPR!$E:$X,MATCH($A193,SPPR!$A:$A,0),7)),$C193*INDEX(SPPR!$E:$X,MATCH($A193,SPPR!$A:$A,0),7),""),"")</f>
        <v/>
      </c>
      <c r="K193">
        <f>IFERROR(IF(ISNUMBER(INDEX(SPPR!$E:$X,MATCH($A193,SPPR!$A:$A,0),8)),$C193*INDEX(SPPR!$E:$X,MATCH($A193,SPPR!$A:$A,0),8),""),"")</f>
        <v/>
      </c>
      <c r="L193">
        <f>IFERROR(IF(ISNUMBER(INDEX(SPPR!$E:$X,MATCH($A193,SPPR!$A:$A,0),9)),$C193*INDEX(SPPR!$E:$X,MATCH($A193,SPPR!$A:$A,0),9),""),"")</f>
        <v/>
      </c>
      <c r="M193">
        <f>IFERROR(IF(ISNUMBER(INDEX(SPPR!$E:$X,MATCH($A193,SPPR!$A:$A,0),10)),$C193*INDEX(SPPR!$E:$X,MATCH($A193,SPPR!$A:$A,0),10),""),"")</f>
        <v/>
      </c>
      <c r="N193">
        <f>IFERROR(IF(ISNUMBER(INDEX(SPPR!$E:$X,MATCH($A193,SPPR!$A:$A,0),11)),$C193*INDEX(SPPR!$E:$X,MATCH($A193,SPPR!$A:$A,0),11),""),"")</f>
        <v/>
      </c>
      <c r="O193">
        <f>IFERROR(IF(ISNUMBER(INDEX(SPPR!$E:$X,MATCH($A193,SPPR!$A:$A,0),12)),$C193*INDEX(SPPR!$E:$X,MATCH($A193,SPPR!$A:$A,0),12),""),"")</f>
        <v/>
      </c>
      <c r="P193">
        <f>IFERROR(IF(ISNUMBER(INDEX(SPPR!$E:$X,MATCH($A193,SPPR!$A:$A,0),13)),$C193*INDEX(SPPR!$E:$X,MATCH($A193,SPPR!$A:$A,0),13),""),"")</f>
        <v/>
      </c>
      <c r="Q193">
        <f>IFERROR(IF(ISNUMBER(INDEX(SPPR!$E:$X,MATCH($A193,SPPR!$A:$A,0),14)),$C193*INDEX(SPPR!$E:$X,MATCH($A193,SPPR!$A:$A,0),14),""),"")</f>
        <v/>
      </c>
      <c r="R193">
        <f>IFERROR(IF(ISNUMBER(INDEX(SPPR!$E:$X,MATCH($A193,SPPR!$A:$A,0),15)),$C193*INDEX(SPPR!$E:$X,MATCH($A193,SPPR!$A:$A,0),15),""),"")</f>
        <v/>
      </c>
      <c r="S193">
        <f>IFERROR(IF(ISNUMBER(INDEX(SPPR!$E:$X,MATCH($A193,SPPR!$A:$A,0),16)),$C193*INDEX(SPPR!$E:$X,MATCH($A193,SPPR!$A:$A,0),16),""),"")</f>
        <v/>
      </c>
      <c r="T193">
        <f>IFERROR(IF(ISNUMBER(INDEX(SPPR!$E:$X,MATCH($A193,SPPR!$A:$A,0),17)),$C193*INDEX(SPPR!$E:$X,MATCH($A193,SPPR!$A:$A,0),17),""),"")</f>
        <v/>
      </c>
      <c r="U193">
        <f>IFERROR(IF(ISNUMBER(INDEX(SPPR!$E:$X,MATCH($A193,SPPR!$A:$A,0),18)),$C193*INDEX(SPPR!$E:$X,MATCH($A193,SPPR!$A:$A,0),18),""),"")</f>
        <v/>
      </c>
      <c r="V193">
        <f>IFERROR(IF(ISNUMBER(INDEX(SPPR!$E:$X,MATCH($A193,SPPR!$A:$A,0),19)),$C193*INDEX(SPPR!$E:$X,MATCH($A193,SPPR!$A:$A,0),19),""),"")</f>
        <v/>
      </c>
      <c r="W193">
        <f>IFERROR(IF(ISNUMBER(INDEX(SPPR!$E:$X,MATCH($A193,SPPR!$A:$A,0),20)),$C193*INDEX(SPPR!$E:$X,MATCH($A193,SPPR!$A:$A,0),20),""),"")</f>
        <v/>
      </c>
    </row>
    <row r="194">
      <c r="A194" t="inlineStr">
        <is>
          <t>Crassostrea</t>
        </is>
      </c>
      <c r="B194">
        <f>IFERROR(INDEX(SPPR!$D:$D,MATCH($A194,SPPR!$A:$A,0)),"")</f>
        <v/>
      </c>
      <c r="C194">
        <f>IFERROR(INDEX(Catch!$E:$BV,MATCH($A194,Catch!$A:$A,0),MATCH($B$4,Catch!$E$1:$BV$1,0)),0)</f>
        <v/>
      </c>
      <c r="D194">
        <f>IFERROR(IF(ISNUMBER(INDEX(SPPR!$E:$X,MATCH($A194,SPPR!$A:$A,0),1)),$C194*INDEX(SPPR!$E:$X,MATCH($A194,SPPR!$A:$A,0),1),""),"")</f>
        <v/>
      </c>
      <c r="E194">
        <f>IFERROR(IF(ISNUMBER(INDEX(SPPR!$E:$X,MATCH($A194,SPPR!$A:$A,0),2)),$C194*INDEX(SPPR!$E:$X,MATCH($A194,SPPR!$A:$A,0),2),""),"")</f>
        <v/>
      </c>
      <c r="F194">
        <f>IFERROR(IF(ISNUMBER(INDEX(SPPR!$E:$X,MATCH($A194,SPPR!$A:$A,0),3)),$C194*INDEX(SPPR!$E:$X,MATCH($A194,SPPR!$A:$A,0),3),""),"")</f>
        <v/>
      </c>
      <c r="G194">
        <f>IFERROR(IF(ISNUMBER(INDEX(SPPR!$E:$X,MATCH($A194,SPPR!$A:$A,0),4)),$C194*INDEX(SPPR!$E:$X,MATCH($A194,SPPR!$A:$A,0),4),""),"")</f>
        <v/>
      </c>
      <c r="H194">
        <f>IFERROR(IF(ISNUMBER(INDEX(SPPR!$E:$X,MATCH($A194,SPPR!$A:$A,0),5)),$C194*INDEX(SPPR!$E:$X,MATCH($A194,SPPR!$A:$A,0),5),""),"")</f>
        <v/>
      </c>
      <c r="I194">
        <f>IFERROR(IF(ISNUMBER(INDEX(SPPR!$E:$X,MATCH($A194,SPPR!$A:$A,0),6)),$C194*INDEX(SPPR!$E:$X,MATCH($A194,SPPR!$A:$A,0),6),""),"")</f>
        <v/>
      </c>
      <c r="J194">
        <f>IFERROR(IF(ISNUMBER(INDEX(SPPR!$E:$X,MATCH($A194,SPPR!$A:$A,0),7)),$C194*INDEX(SPPR!$E:$X,MATCH($A194,SPPR!$A:$A,0),7),""),"")</f>
        <v/>
      </c>
      <c r="K194">
        <f>IFERROR(IF(ISNUMBER(INDEX(SPPR!$E:$X,MATCH($A194,SPPR!$A:$A,0),8)),$C194*INDEX(SPPR!$E:$X,MATCH($A194,SPPR!$A:$A,0),8),""),"")</f>
        <v/>
      </c>
      <c r="L194">
        <f>IFERROR(IF(ISNUMBER(INDEX(SPPR!$E:$X,MATCH($A194,SPPR!$A:$A,0),9)),$C194*INDEX(SPPR!$E:$X,MATCH($A194,SPPR!$A:$A,0),9),""),"")</f>
        <v/>
      </c>
      <c r="M194">
        <f>IFERROR(IF(ISNUMBER(INDEX(SPPR!$E:$X,MATCH($A194,SPPR!$A:$A,0),10)),$C194*INDEX(SPPR!$E:$X,MATCH($A194,SPPR!$A:$A,0),10),""),"")</f>
        <v/>
      </c>
      <c r="N194">
        <f>IFERROR(IF(ISNUMBER(INDEX(SPPR!$E:$X,MATCH($A194,SPPR!$A:$A,0),11)),$C194*INDEX(SPPR!$E:$X,MATCH($A194,SPPR!$A:$A,0),11),""),"")</f>
        <v/>
      </c>
      <c r="O194">
        <f>IFERROR(IF(ISNUMBER(INDEX(SPPR!$E:$X,MATCH($A194,SPPR!$A:$A,0),12)),$C194*INDEX(SPPR!$E:$X,MATCH($A194,SPPR!$A:$A,0),12),""),"")</f>
        <v/>
      </c>
      <c r="P194">
        <f>IFERROR(IF(ISNUMBER(INDEX(SPPR!$E:$X,MATCH($A194,SPPR!$A:$A,0),13)),$C194*INDEX(SPPR!$E:$X,MATCH($A194,SPPR!$A:$A,0),13),""),"")</f>
        <v/>
      </c>
      <c r="Q194">
        <f>IFERROR(IF(ISNUMBER(INDEX(SPPR!$E:$X,MATCH($A194,SPPR!$A:$A,0),14)),$C194*INDEX(SPPR!$E:$X,MATCH($A194,SPPR!$A:$A,0),14),""),"")</f>
        <v/>
      </c>
      <c r="R194">
        <f>IFERROR(IF(ISNUMBER(INDEX(SPPR!$E:$X,MATCH($A194,SPPR!$A:$A,0),15)),$C194*INDEX(SPPR!$E:$X,MATCH($A194,SPPR!$A:$A,0),15),""),"")</f>
        <v/>
      </c>
      <c r="S194">
        <f>IFERROR(IF(ISNUMBER(INDEX(SPPR!$E:$X,MATCH($A194,SPPR!$A:$A,0),16)),$C194*INDEX(SPPR!$E:$X,MATCH($A194,SPPR!$A:$A,0),16),""),"")</f>
        <v/>
      </c>
      <c r="T194">
        <f>IFERROR(IF(ISNUMBER(INDEX(SPPR!$E:$X,MATCH($A194,SPPR!$A:$A,0),17)),$C194*INDEX(SPPR!$E:$X,MATCH($A194,SPPR!$A:$A,0),17),""),"")</f>
        <v/>
      </c>
      <c r="U194">
        <f>IFERROR(IF(ISNUMBER(INDEX(SPPR!$E:$X,MATCH($A194,SPPR!$A:$A,0),18)),$C194*INDEX(SPPR!$E:$X,MATCH($A194,SPPR!$A:$A,0),18),""),"")</f>
        <v/>
      </c>
      <c r="V194">
        <f>IFERROR(IF(ISNUMBER(INDEX(SPPR!$E:$X,MATCH($A194,SPPR!$A:$A,0),19)),$C194*INDEX(SPPR!$E:$X,MATCH($A194,SPPR!$A:$A,0),19),""),"")</f>
        <v/>
      </c>
      <c r="W194">
        <f>IFERROR(IF(ISNUMBER(INDEX(SPPR!$E:$X,MATCH($A194,SPPR!$A:$A,0),20)),$C194*INDEX(SPPR!$E:$X,MATCH($A194,SPPR!$A:$A,0),20),""),"")</f>
        <v/>
      </c>
    </row>
    <row r="195">
      <c r="A195" t="inlineStr">
        <is>
          <t>Sarda sarda</t>
        </is>
      </c>
      <c r="B195">
        <f>IFERROR(INDEX(SPPR!$D:$D,MATCH($A195,SPPR!$A:$A,0)),"")</f>
        <v/>
      </c>
      <c r="C195">
        <f>IFERROR(INDEX(Catch!$E:$BV,MATCH($A195,Catch!$A:$A,0),MATCH($B$4,Catch!$E$1:$BV$1,0)),0)</f>
        <v/>
      </c>
      <c r="D195">
        <f>IFERROR(IF(ISNUMBER(INDEX(SPPR!$E:$X,MATCH($A195,SPPR!$A:$A,0),1)),$C195*INDEX(SPPR!$E:$X,MATCH($A195,SPPR!$A:$A,0),1),""),"")</f>
        <v/>
      </c>
      <c r="E195">
        <f>IFERROR(IF(ISNUMBER(INDEX(SPPR!$E:$X,MATCH($A195,SPPR!$A:$A,0),2)),$C195*INDEX(SPPR!$E:$X,MATCH($A195,SPPR!$A:$A,0),2),""),"")</f>
        <v/>
      </c>
      <c r="F195">
        <f>IFERROR(IF(ISNUMBER(INDEX(SPPR!$E:$X,MATCH($A195,SPPR!$A:$A,0),3)),$C195*INDEX(SPPR!$E:$X,MATCH($A195,SPPR!$A:$A,0),3),""),"")</f>
        <v/>
      </c>
      <c r="G195">
        <f>IFERROR(IF(ISNUMBER(INDEX(SPPR!$E:$X,MATCH($A195,SPPR!$A:$A,0),4)),$C195*INDEX(SPPR!$E:$X,MATCH($A195,SPPR!$A:$A,0),4),""),"")</f>
        <v/>
      </c>
      <c r="H195">
        <f>IFERROR(IF(ISNUMBER(INDEX(SPPR!$E:$X,MATCH($A195,SPPR!$A:$A,0),5)),$C195*INDEX(SPPR!$E:$X,MATCH($A195,SPPR!$A:$A,0),5),""),"")</f>
        <v/>
      </c>
      <c r="I195">
        <f>IFERROR(IF(ISNUMBER(INDEX(SPPR!$E:$X,MATCH($A195,SPPR!$A:$A,0),6)),$C195*INDEX(SPPR!$E:$X,MATCH($A195,SPPR!$A:$A,0),6),""),"")</f>
        <v/>
      </c>
      <c r="J195">
        <f>IFERROR(IF(ISNUMBER(INDEX(SPPR!$E:$X,MATCH($A195,SPPR!$A:$A,0),7)),$C195*INDEX(SPPR!$E:$X,MATCH($A195,SPPR!$A:$A,0),7),""),"")</f>
        <v/>
      </c>
      <c r="K195">
        <f>IFERROR(IF(ISNUMBER(INDEX(SPPR!$E:$X,MATCH($A195,SPPR!$A:$A,0),8)),$C195*INDEX(SPPR!$E:$X,MATCH($A195,SPPR!$A:$A,0),8),""),"")</f>
        <v/>
      </c>
      <c r="L195">
        <f>IFERROR(IF(ISNUMBER(INDEX(SPPR!$E:$X,MATCH($A195,SPPR!$A:$A,0),9)),$C195*INDEX(SPPR!$E:$X,MATCH($A195,SPPR!$A:$A,0),9),""),"")</f>
        <v/>
      </c>
      <c r="M195">
        <f>IFERROR(IF(ISNUMBER(INDEX(SPPR!$E:$X,MATCH($A195,SPPR!$A:$A,0),10)),$C195*INDEX(SPPR!$E:$X,MATCH($A195,SPPR!$A:$A,0),10),""),"")</f>
        <v/>
      </c>
      <c r="N195">
        <f>IFERROR(IF(ISNUMBER(INDEX(SPPR!$E:$X,MATCH($A195,SPPR!$A:$A,0),11)),$C195*INDEX(SPPR!$E:$X,MATCH($A195,SPPR!$A:$A,0),11),""),"")</f>
        <v/>
      </c>
      <c r="O195">
        <f>IFERROR(IF(ISNUMBER(INDEX(SPPR!$E:$X,MATCH($A195,SPPR!$A:$A,0),12)),$C195*INDEX(SPPR!$E:$X,MATCH($A195,SPPR!$A:$A,0),12),""),"")</f>
        <v/>
      </c>
      <c r="P195">
        <f>IFERROR(IF(ISNUMBER(INDEX(SPPR!$E:$X,MATCH($A195,SPPR!$A:$A,0),13)),$C195*INDEX(SPPR!$E:$X,MATCH($A195,SPPR!$A:$A,0),13),""),"")</f>
        <v/>
      </c>
      <c r="Q195">
        <f>IFERROR(IF(ISNUMBER(INDEX(SPPR!$E:$X,MATCH($A195,SPPR!$A:$A,0),14)),$C195*INDEX(SPPR!$E:$X,MATCH($A195,SPPR!$A:$A,0),14),""),"")</f>
        <v/>
      </c>
      <c r="R195">
        <f>IFERROR(IF(ISNUMBER(INDEX(SPPR!$E:$X,MATCH($A195,SPPR!$A:$A,0),15)),$C195*INDEX(SPPR!$E:$X,MATCH($A195,SPPR!$A:$A,0),15),""),"")</f>
        <v/>
      </c>
      <c r="S195">
        <f>IFERROR(IF(ISNUMBER(INDEX(SPPR!$E:$X,MATCH($A195,SPPR!$A:$A,0),16)),$C195*INDEX(SPPR!$E:$X,MATCH($A195,SPPR!$A:$A,0),16),""),"")</f>
        <v/>
      </c>
      <c r="T195">
        <f>IFERROR(IF(ISNUMBER(INDEX(SPPR!$E:$X,MATCH($A195,SPPR!$A:$A,0),17)),$C195*INDEX(SPPR!$E:$X,MATCH($A195,SPPR!$A:$A,0),17),""),"")</f>
        <v/>
      </c>
      <c r="U195">
        <f>IFERROR(IF(ISNUMBER(INDEX(SPPR!$E:$X,MATCH($A195,SPPR!$A:$A,0),18)),$C195*INDEX(SPPR!$E:$X,MATCH($A195,SPPR!$A:$A,0),18),""),"")</f>
        <v/>
      </c>
      <c r="V195">
        <f>IFERROR(IF(ISNUMBER(INDEX(SPPR!$E:$X,MATCH($A195,SPPR!$A:$A,0),19)),$C195*INDEX(SPPR!$E:$X,MATCH($A195,SPPR!$A:$A,0),19),""),"")</f>
        <v/>
      </c>
      <c r="W195">
        <f>IFERROR(IF(ISNUMBER(INDEX(SPPR!$E:$X,MATCH($A195,SPPR!$A:$A,0),20)),$C195*INDEX(SPPR!$E:$X,MATCH($A195,SPPR!$A:$A,0),20),""),"")</f>
        <v/>
      </c>
    </row>
    <row r="196">
      <c r="A196" t="inlineStr">
        <is>
          <t>Chaceon affinis</t>
        </is>
      </c>
      <c r="B196">
        <f>IFERROR(INDEX(SPPR!$D:$D,MATCH($A196,SPPR!$A:$A,0)),"")</f>
        <v/>
      </c>
      <c r="C196">
        <f>IFERROR(INDEX(Catch!$E:$BV,MATCH($A196,Catch!$A:$A,0),MATCH($B$4,Catch!$E$1:$BV$1,0)),0)</f>
        <v/>
      </c>
      <c r="D196">
        <f>IFERROR(IF(ISNUMBER(INDEX(SPPR!$E:$X,MATCH($A196,SPPR!$A:$A,0),1)),$C196*INDEX(SPPR!$E:$X,MATCH($A196,SPPR!$A:$A,0),1),""),"")</f>
        <v/>
      </c>
      <c r="E196">
        <f>IFERROR(IF(ISNUMBER(INDEX(SPPR!$E:$X,MATCH($A196,SPPR!$A:$A,0),2)),$C196*INDEX(SPPR!$E:$X,MATCH($A196,SPPR!$A:$A,0),2),""),"")</f>
        <v/>
      </c>
      <c r="F196">
        <f>IFERROR(IF(ISNUMBER(INDEX(SPPR!$E:$X,MATCH($A196,SPPR!$A:$A,0),3)),$C196*INDEX(SPPR!$E:$X,MATCH($A196,SPPR!$A:$A,0),3),""),"")</f>
        <v/>
      </c>
      <c r="G196">
        <f>IFERROR(IF(ISNUMBER(INDEX(SPPR!$E:$X,MATCH($A196,SPPR!$A:$A,0),4)),$C196*INDEX(SPPR!$E:$X,MATCH($A196,SPPR!$A:$A,0),4),""),"")</f>
        <v/>
      </c>
      <c r="H196">
        <f>IFERROR(IF(ISNUMBER(INDEX(SPPR!$E:$X,MATCH($A196,SPPR!$A:$A,0),5)),$C196*INDEX(SPPR!$E:$X,MATCH($A196,SPPR!$A:$A,0),5),""),"")</f>
        <v/>
      </c>
      <c r="I196">
        <f>IFERROR(IF(ISNUMBER(INDEX(SPPR!$E:$X,MATCH($A196,SPPR!$A:$A,0),6)),$C196*INDEX(SPPR!$E:$X,MATCH($A196,SPPR!$A:$A,0),6),""),"")</f>
        <v/>
      </c>
      <c r="J196">
        <f>IFERROR(IF(ISNUMBER(INDEX(SPPR!$E:$X,MATCH($A196,SPPR!$A:$A,0),7)),$C196*INDEX(SPPR!$E:$X,MATCH($A196,SPPR!$A:$A,0),7),""),"")</f>
        <v/>
      </c>
      <c r="K196">
        <f>IFERROR(IF(ISNUMBER(INDEX(SPPR!$E:$X,MATCH($A196,SPPR!$A:$A,0),8)),$C196*INDEX(SPPR!$E:$X,MATCH($A196,SPPR!$A:$A,0),8),""),"")</f>
        <v/>
      </c>
      <c r="L196">
        <f>IFERROR(IF(ISNUMBER(INDEX(SPPR!$E:$X,MATCH($A196,SPPR!$A:$A,0),9)),$C196*INDEX(SPPR!$E:$X,MATCH($A196,SPPR!$A:$A,0),9),""),"")</f>
        <v/>
      </c>
      <c r="M196">
        <f>IFERROR(IF(ISNUMBER(INDEX(SPPR!$E:$X,MATCH($A196,SPPR!$A:$A,0),10)),$C196*INDEX(SPPR!$E:$X,MATCH($A196,SPPR!$A:$A,0),10),""),"")</f>
        <v/>
      </c>
      <c r="N196">
        <f>IFERROR(IF(ISNUMBER(INDEX(SPPR!$E:$X,MATCH($A196,SPPR!$A:$A,0),11)),$C196*INDEX(SPPR!$E:$X,MATCH($A196,SPPR!$A:$A,0),11),""),"")</f>
        <v/>
      </c>
      <c r="O196">
        <f>IFERROR(IF(ISNUMBER(INDEX(SPPR!$E:$X,MATCH($A196,SPPR!$A:$A,0),12)),$C196*INDEX(SPPR!$E:$X,MATCH($A196,SPPR!$A:$A,0),12),""),"")</f>
        <v/>
      </c>
      <c r="P196">
        <f>IFERROR(IF(ISNUMBER(INDEX(SPPR!$E:$X,MATCH($A196,SPPR!$A:$A,0),13)),$C196*INDEX(SPPR!$E:$X,MATCH($A196,SPPR!$A:$A,0),13),""),"")</f>
        <v/>
      </c>
      <c r="Q196">
        <f>IFERROR(IF(ISNUMBER(INDEX(SPPR!$E:$X,MATCH($A196,SPPR!$A:$A,0),14)),$C196*INDEX(SPPR!$E:$X,MATCH($A196,SPPR!$A:$A,0),14),""),"")</f>
        <v/>
      </c>
      <c r="R196">
        <f>IFERROR(IF(ISNUMBER(INDEX(SPPR!$E:$X,MATCH($A196,SPPR!$A:$A,0),15)),$C196*INDEX(SPPR!$E:$X,MATCH($A196,SPPR!$A:$A,0),15),""),"")</f>
        <v/>
      </c>
      <c r="S196">
        <f>IFERROR(IF(ISNUMBER(INDEX(SPPR!$E:$X,MATCH($A196,SPPR!$A:$A,0),16)),$C196*INDEX(SPPR!$E:$X,MATCH($A196,SPPR!$A:$A,0),16),""),"")</f>
        <v/>
      </c>
      <c r="T196">
        <f>IFERROR(IF(ISNUMBER(INDEX(SPPR!$E:$X,MATCH($A196,SPPR!$A:$A,0),17)),$C196*INDEX(SPPR!$E:$X,MATCH($A196,SPPR!$A:$A,0),17),""),"")</f>
        <v/>
      </c>
      <c r="U196">
        <f>IFERROR(IF(ISNUMBER(INDEX(SPPR!$E:$X,MATCH($A196,SPPR!$A:$A,0),18)),$C196*INDEX(SPPR!$E:$X,MATCH($A196,SPPR!$A:$A,0),18),""),"")</f>
        <v/>
      </c>
      <c r="V196">
        <f>IFERROR(IF(ISNUMBER(INDEX(SPPR!$E:$X,MATCH($A196,SPPR!$A:$A,0),19)),$C196*INDEX(SPPR!$E:$X,MATCH($A196,SPPR!$A:$A,0),19),""),"")</f>
        <v/>
      </c>
      <c r="W196">
        <f>IFERROR(IF(ISNUMBER(INDEX(SPPR!$E:$X,MATCH($A196,SPPR!$A:$A,0),20)),$C196*INDEX(SPPR!$E:$X,MATCH($A196,SPPR!$A:$A,0),20),""),"")</f>
        <v/>
      </c>
    </row>
    <row r="197">
      <c r="A197" t="inlineStr">
        <is>
          <t>Illex</t>
        </is>
      </c>
      <c r="B197">
        <f>IFERROR(INDEX(SPPR!$D:$D,MATCH($A197,SPPR!$A:$A,0)),"")</f>
        <v/>
      </c>
      <c r="C197">
        <f>IFERROR(INDEX(Catch!$E:$BV,MATCH($A197,Catch!$A:$A,0),MATCH($B$4,Catch!$E$1:$BV$1,0)),0)</f>
        <v/>
      </c>
      <c r="D197">
        <f>IFERROR(IF(ISNUMBER(INDEX(SPPR!$E:$X,MATCH($A197,SPPR!$A:$A,0),1)),$C197*INDEX(SPPR!$E:$X,MATCH($A197,SPPR!$A:$A,0),1),""),"")</f>
        <v/>
      </c>
      <c r="E197">
        <f>IFERROR(IF(ISNUMBER(INDEX(SPPR!$E:$X,MATCH($A197,SPPR!$A:$A,0),2)),$C197*INDEX(SPPR!$E:$X,MATCH($A197,SPPR!$A:$A,0),2),""),"")</f>
        <v/>
      </c>
      <c r="F197">
        <f>IFERROR(IF(ISNUMBER(INDEX(SPPR!$E:$X,MATCH($A197,SPPR!$A:$A,0),3)),$C197*INDEX(SPPR!$E:$X,MATCH($A197,SPPR!$A:$A,0),3),""),"")</f>
        <v/>
      </c>
      <c r="G197">
        <f>IFERROR(IF(ISNUMBER(INDEX(SPPR!$E:$X,MATCH($A197,SPPR!$A:$A,0),4)),$C197*INDEX(SPPR!$E:$X,MATCH($A197,SPPR!$A:$A,0),4),""),"")</f>
        <v/>
      </c>
      <c r="H197">
        <f>IFERROR(IF(ISNUMBER(INDEX(SPPR!$E:$X,MATCH($A197,SPPR!$A:$A,0),5)),$C197*INDEX(SPPR!$E:$X,MATCH($A197,SPPR!$A:$A,0),5),""),"")</f>
        <v/>
      </c>
      <c r="I197">
        <f>IFERROR(IF(ISNUMBER(INDEX(SPPR!$E:$X,MATCH($A197,SPPR!$A:$A,0),6)),$C197*INDEX(SPPR!$E:$X,MATCH($A197,SPPR!$A:$A,0),6),""),"")</f>
        <v/>
      </c>
      <c r="J197">
        <f>IFERROR(IF(ISNUMBER(INDEX(SPPR!$E:$X,MATCH($A197,SPPR!$A:$A,0),7)),$C197*INDEX(SPPR!$E:$X,MATCH($A197,SPPR!$A:$A,0),7),""),"")</f>
        <v/>
      </c>
      <c r="K197">
        <f>IFERROR(IF(ISNUMBER(INDEX(SPPR!$E:$X,MATCH($A197,SPPR!$A:$A,0),8)),$C197*INDEX(SPPR!$E:$X,MATCH($A197,SPPR!$A:$A,0),8),""),"")</f>
        <v/>
      </c>
      <c r="L197">
        <f>IFERROR(IF(ISNUMBER(INDEX(SPPR!$E:$X,MATCH($A197,SPPR!$A:$A,0),9)),$C197*INDEX(SPPR!$E:$X,MATCH($A197,SPPR!$A:$A,0),9),""),"")</f>
        <v/>
      </c>
      <c r="M197">
        <f>IFERROR(IF(ISNUMBER(INDEX(SPPR!$E:$X,MATCH($A197,SPPR!$A:$A,0),10)),$C197*INDEX(SPPR!$E:$X,MATCH($A197,SPPR!$A:$A,0),10),""),"")</f>
        <v/>
      </c>
      <c r="N197">
        <f>IFERROR(IF(ISNUMBER(INDEX(SPPR!$E:$X,MATCH($A197,SPPR!$A:$A,0),11)),$C197*INDEX(SPPR!$E:$X,MATCH($A197,SPPR!$A:$A,0),11),""),"")</f>
        <v/>
      </c>
      <c r="O197">
        <f>IFERROR(IF(ISNUMBER(INDEX(SPPR!$E:$X,MATCH($A197,SPPR!$A:$A,0),12)),$C197*INDEX(SPPR!$E:$X,MATCH($A197,SPPR!$A:$A,0),12),""),"")</f>
        <v/>
      </c>
      <c r="P197">
        <f>IFERROR(IF(ISNUMBER(INDEX(SPPR!$E:$X,MATCH($A197,SPPR!$A:$A,0),13)),$C197*INDEX(SPPR!$E:$X,MATCH($A197,SPPR!$A:$A,0),13),""),"")</f>
        <v/>
      </c>
      <c r="Q197">
        <f>IFERROR(IF(ISNUMBER(INDEX(SPPR!$E:$X,MATCH($A197,SPPR!$A:$A,0),14)),$C197*INDEX(SPPR!$E:$X,MATCH($A197,SPPR!$A:$A,0),14),""),"")</f>
        <v/>
      </c>
      <c r="R197">
        <f>IFERROR(IF(ISNUMBER(INDEX(SPPR!$E:$X,MATCH($A197,SPPR!$A:$A,0),15)),$C197*INDEX(SPPR!$E:$X,MATCH($A197,SPPR!$A:$A,0),15),""),"")</f>
        <v/>
      </c>
      <c r="S197">
        <f>IFERROR(IF(ISNUMBER(INDEX(SPPR!$E:$X,MATCH($A197,SPPR!$A:$A,0),16)),$C197*INDEX(SPPR!$E:$X,MATCH($A197,SPPR!$A:$A,0),16),""),"")</f>
        <v/>
      </c>
      <c r="T197">
        <f>IFERROR(IF(ISNUMBER(INDEX(SPPR!$E:$X,MATCH($A197,SPPR!$A:$A,0),17)),$C197*INDEX(SPPR!$E:$X,MATCH($A197,SPPR!$A:$A,0),17),""),"")</f>
        <v/>
      </c>
      <c r="U197">
        <f>IFERROR(IF(ISNUMBER(INDEX(SPPR!$E:$X,MATCH($A197,SPPR!$A:$A,0),18)),$C197*INDEX(SPPR!$E:$X,MATCH($A197,SPPR!$A:$A,0),18),""),"")</f>
        <v/>
      </c>
      <c r="V197">
        <f>IFERROR(IF(ISNUMBER(INDEX(SPPR!$E:$X,MATCH($A197,SPPR!$A:$A,0),19)),$C197*INDEX(SPPR!$E:$X,MATCH($A197,SPPR!$A:$A,0),19),""),"")</f>
        <v/>
      </c>
      <c r="W197">
        <f>IFERROR(IF(ISNUMBER(INDEX(SPPR!$E:$X,MATCH($A197,SPPR!$A:$A,0),20)),$C197*INDEX(SPPR!$E:$X,MATCH($A197,SPPR!$A:$A,0),20),""),"")</f>
        <v/>
      </c>
    </row>
    <row r="198">
      <c r="A198" t="inlineStr">
        <is>
          <t>Helicolenus dactylopterus</t>
        </is>
      </c>
      <c r="B198">
        <f>IFERROR(INDEX(SPPR!$D:$D,MATCH($A198,SPPR!$A:$A,0)),"")</f>
        <v/>
      </c>
      <c r="C198">
        <f>IFERROR(INDEX(Catch!$E:$BV,MATCH($A198,Catch!$A:$A,0),MATCH($B$4,Catch!$E$1:$BV$1,0)),0)</f>
        <v/>
      </c>
      <c r="D198">
        <f>IFERROR(IF(ISNUMBER(INDEX(SPPR!$E:$X,MATCH($A198,SPPR!$A:$A,0),1)),$C198*INDEX(SPPR!$E:$X,MATCH($A198,SPPR!$A:$A,0),1),""),"")</f>
        <v/>
      </c>
      <c r="E198">
        <f>IFERROR(IF(ISNUMBER(INDEX(SPPR!$E:$X,MATCH($A198,SPPR!$A:$A,0),2)),$C198*INDEX(SPPR!$E:$X,MATCH($A198,SPPR!$A:$A,0),2),""),"")</f>
        <v/>
      </c>
      <c r="F198">
        <f>IFERROR(IF(ISNUMBER(INDEX(SPPR!$E:$X,MATCH($A198,SPPR!$A:$A,0),3)),$C198*INDEX(SPPR!$E:$X,MATCH($A198,SPPR!$A:$A,0),3),""),"")</f>
        <v/>
      </c>
      <c r="G198">
        <f>IFERROR(IF(ISNUMBER(INDEX(SPPR!$E:$X,MATCH($A198,SPPR!$A:$A,0),4)),$C198*INDEX(SPPR!$E:$X,MATCH($A198,SPPR!$A:$A,0),4),""),"")</f>
        <v/>
      </c>
      <c r="H198">
        <f>IFERROR(IF(ISNUMBER(INDEX(SPPR!$E:$X,MATCH($A198,SPPR!$A:$A,0),5)),$C198*INDEX(SPPR!$E:$X,MATCH($A198,SPPR!$A:$A,0),5),""),"")</f>
        <v/>
      </c>
      <c r="I198">
        <f>IFERROR(IF(ISNUMBER(INDEX(SPPR!$E:$X,MATCH($A198,SPPR!$A:$A,0),6)),$C198*INDEX(SPPR!$E:$X,MATCH($A198,SPPR!$A:$A,0),6),""),"")</f>
        <v/>
      </c>
      <c r="J198">
        <f>IFERROR(IF(ISNUMBER(INDEX(SPPR!$E:$X,MATCH($A198,SPPR!$A:$A,0),7)),$C198*INDEX(SPPR!$E:$X,MATCH($A198,SPPR!$A:$A,0),7),""),"")</f>
        <v/>
      </c>
      <c r="K198">
        <f>IFERROR(IF(ISNUMBER(INDEX(SPPR!$E:$X,MATCH($A198,SPPR!$A:$A,0),8)),$C198*INDEX(SPPR!$E:$X,MATCH($A198,SPPR!$A:$A,0),8),""),"")</f>
        <v/>
      </c>
      <c r="L198">
        <f>IFERROR(IF(ISNUMBER(INDEX(SPPR!$E:$X,MATCH($A198,SPPR!$A:$A,0),9)),$C198*INDEX(SPPR!$E:$X,MATCH($A198,SPPR!$A:$A,0),9),""),"")</f>
        <v/>
      </c>
      <c r="M198">
        <f>IFERROR(IF(ISNUMBER(INDEX(SPPR!$E:$X,MATCH($A198,SPPR!$A:$A,0),10)),$C198*INDEX(SPPR!$E:$X,MATCH($A198,SPPR!$A:$A,0),10),""),"")</f>
        <v/>
      </c>
      <c r="N198">
        <f>IFERROR(IF(ISNUMBER(INDEX(SPPR!$E:$X,MATCH($A198,SPPR!$A:$A,0),11)),$C198*INDEX(SPPR!$E:$X,MATCH($A198,SPPR!$A:$A,0),11),""),"")</f>
        <v/>
      </c>
      <c r="O198">
        <f>IFERROR(IF(ISNUMBER(INDEX(SPPR!$E:$X,MATCH($A198,SPPR!$A:$A,0),12)),$C198*INDEX(SPPR!$E:$X,MATCH($A198,SPPR!$A:$A,0),12),""),"")</f>
        <v/>
      </c>
      <c r="P198">
        <f>IFERROR(IF(ISNUMBER(INDEX(SPPR!$E:$X,MATCH($A198,SPPR!$A:$A,0),13)),$C198*INDEX(SPPR!$E:$X,MATCH($A198,SPPR!$A:$A,0),13),""),"")</f>
        <v/>
      </c>
      <c r="Q198">
        <f>IFERROR(IF(ISNUMBER(INDEX(SPPR!$E:$X,MATCH($A198,SPPR!$A:$A,0),14)),$C198*INDEX(SPPR!$E:$X,MATCH($A198,SPPR!$A:$A,0),14),""),"")</f>
        <v/>
      </c>
      <c r="R198">
        <f>IFERROR(IF(ISNUMBER(INDEX(SPPR!$E:$X,MATCH($A198,SPPR!$A:$A,0),15)),$C198*INDEX(SPPR!$E:$X,MATCH($A198,SPPR!$A:$A,0),15),""),"")</f>
        <v/>
      </c>
      <c r="S198">
        <f>IFERROR(IF(ISNUMBER(INDEX(SPPR!$E:$X,MATCH($A198,SPPR!$A:$A,0),16)),$C198*INDEX(SPPR!$E:$X,MATCH($A198,SPPR!$A:$A,0),16),""),"")</f>
        <v/>
      </c>
      <c r="T198">
        <f>IFERROR(IF(ISNUMBER(INDEX(SPPR!$E:$X,MATCH($A198,SPPR!$A:$A,0),17)),$C198*INDEX(SPPR!$E:$X,MATCH($A198,SPPR!$A:$A,0),17),""),"")</f>
        <v/>
      </c>
      <c r="U198">
        <f>IFERROR(IF(ISNUMBER(INDEX(SPPR!$E:$X,MATCH($A198,SPPR!$A:$A,0),18)),$C198*INDEX(SPPR!$E:$X,MATCH($A198,SPPR!$A:$A,0),18),""),"")</f>
        <v/>
      </c>
      <c r="V198">
        <f>IFERROR(IF(ISNUMBER(INDEX(SPPR!$E:$X,MATCH($A198,SPPR!$A:$A,0),19)),$C198*INDEX(SPPR!$E:$X,MATCH($A198,SPPR!$A:$A,0),19),""),"")</f>
        <v/>
      </c>
      <c r="W198">
        <f>IFERROR(IF(ISNUMBER(INDEX(SPPR!$E:$X,MATCH($A198,SPPR!$A:$A,0),20)),$C198*INDEX(SPPR!$E:$X,MATCH($A198,SPPR!$A:$A,0),20),""),"")</f>
        <v/>
      </c>
    </row>
    <row r="199">
      <c r="A199" t="inlineStr">
        <is>
          <t>Prionace glauca</t>
        </is>
      </c>
      <c r="B199">
        <f>IFERROR(INDEX(SPPR!$D:$D,MATCH($A199,SPPR!$A:$A,0)),"")</f>
        <v/>
      </c>
      <c r="C199">
        <f>IFERROR(INDEX(Catch!$E:$BV,MATCH($A199,Catch!$A:$A,0),MATCH($B$4,Catch!$E$1:$BV$1,0)),0)</f>
        <v/>
      </c>
      <c r="D199">
        <f>IFERROR(IF(ISNUMBER(INDEX(SPPR!$E:$X,MATCH($A199,SPPR!$A:$A,0),1)),$C199*INDEX(SPPR!$E:$X,MATCH($A199,SPPR!$A:$A,0),1),""),"")</f>
        <v/>
      </c>
      <c r="E199">
        <f>IFERROR(IF(ISNUMBER(INDEX(SPPR!$E:$X,MATCH($A199,SPPR!$A:$A,0),2)),$C199*INDEX(SPPR!$E:$X,MATCH($A199,SPPR!$A:$A,0),2),""),"")</f>
        <v/>
      </c>
      <c r="F199">
        <f>IFERROR(IF(ISNUMBER(INDEX(SPPR!$E:$X,MATCH($A199,SPPR!$A:$A,0),3)),$C199*INDEX(SPPR!$E:$X,MATCH($A199,SPPR!$A:$A,0),3),""),"")</f>
        <v/>
      </c>
      <c r="G199">
        <f>IFERROR(IF(ISNUMBER(INDEX(SPPR!$E:$X,MATCH($A199,SPPR!$A:$A,0),4)),$C199*INDEX(SPPR!$E:$X,MATCH($A199,SPPR!$A:$A,0),4),""),"")</f>
        <v/>
      </c>
      <c r="H199">
        <f>IFERROR(IF(ISNUMBER(INDEX(SPPR!$E:$X,MATCH($A199,SPPR!$A:$A,0),5)),$C199*INDEX(SPPR!$E:$X,MATCH($A199,SPPR!$A:$A,0),5),""),"")</f>
        <v/>
      </c>
      <c r="I199">
        <f>IFERROR(IF(ISNUMBER(INDEX(SPPR!$E:$X,MATCH($A199,SPPR!$A:$A,0),6)),$C199*INDEX(SPPR!$E:$X,MATCH($A199,SPPR!$A:$A,0),6),""),"")</f>
        <v/>
      </c>
      <c r="J199">
        <f>IFERROR(IF(ISNUMBER(INDEX(SPPR!$E:$X,MATCH($A199,SPPR!$A:$A,0),7)),$C199*INDEX(SPPR!$E:$X,MATCH($A199,SPPR!$A:$A,0),7),""),"")</f>
        <v/>
      </c>
      <c r="K199">
        <f>IFERROR(IF(ISNUMBER(INDEX(SPPR!$E:$X,MATCH($A199,SPPR!$A:$A,0),8)),$C199*INDEX(SPPR!$E:$X,MATCH($A199,SPPR!$A:$A,0),8),""),"")</f>
        <v/>
      </c>
      <c r="L199">
        <f>IFERROR(IF(ISNUMBER(INDEX(SPPR!$E:$X,MATCH($A199,SPPR!$A:$A,0),9)),$C199*INDEX(SPPR!$E:$X,MATCH($A199,SPPR!$A:$A,0),9),""),"")</f>
        <v/>
      </c>
      <c r="M199">
        <f>IFERROR(IF(ISNUMBER(INDEX(SPPR!$E:$X,MATCH($A199,SPPR!$A:$A,0),10)),$C199*INDEX(SPPR!$E:$X,MATCH($A199,SPPR!$A:$A,0),10),""),"")</f>
        <v/>
      </c>
      <c r="N199">
        <f>IFERROR(IF(ISNUMBER(INDEX(SPPR!$E:$X,MATCH($A199,SPPR!$A:$A,0),11)),$C199*INDEX(SPPR!$E:$X,MATCH($A199,SPPR!$A:$A,0),11),""),"")</f>
        <v/>
      </c>
      <c r="O199">
        <f>IFERROR(IF(ISNUMBER(INDEX(SPPR!$E:$X,MATCH($A199,SPPR!$A:$A,0),12)),$C199*INDEX(SPPR!$E:$X,MATCH($A199,SPPR!$A:$A,0),12),""),"")</f>
        <v/>
      </c>
      <c r="P199">
        <f>IFERROR(IF(ISNUMBER(INDEX(SPPR!$E:$X,MATCH($A199,SPPR!$A:$A,0),13)),$C199*INDEX(SPPR!$E:$X,MATCH($A199,SPPR!$A:$A,0),13),""),"")</f>
        <v/>
      </c>
      <c r="Q199">
        <f>IFERROR(IF(ISNUMBER(INDEX(SPPR!$E:$X,MATCH($A199,SPPR!$A:$A,0),14)),$C199*INDEX(SPPR!$E:$X,MATCH($A199,SPPR!$A:$A,0),14),""),"")</f>
        <v/>
      </c>
      <c r="R199">
        <f>IFERROR(IF(ISNUMBER(INDEX(SPPR!$E:$X,MATCH($A199,SPPR!$A:$A,0),15)),$C199*INDEX(SPPR!$E:$X,MATCH($A199,SPPR!$A:$A,0),15),""),"")</f>
        <v/>
      </c>
      <c r="S199">
        <f>IFERROR(IF(ISNUMBER(INDEX(SPPR!$E:$X,MATCH($A199,SPPR!$A:$A,0),16)),$C199*INDEX(SPPR!$E:$X,MATCH($A199,SPPR!$A:$A,0),16),""),"")</f>
        <v/>
      </c>
      <c r="T199">
        <f>IFERROR(IF(ISNUMBER(INDEX(SPPR!$E:$X,MATCH($A199,SPPR!$A:$A,0),17)),$C199*INDEX(SPPR!$E:$X,MATCH($A199,SPPR!$A:$A,0),17),""),"")</f>
        <v/>
      </c>
      <c r="U199">
        <f>IFERROR(IF(ISNUMBER(INDEX(SPPR!$E:$X,MATCH($A199,SPPR!$A:$A,0),18)),$C199*INDEX(SPPR!$E:$X,MATCH($A199,SPPR!$A:$A,0),18),""),"")</f>
        <v/>
      </c>
      <c r="V199">
        <f>IFERROR(IF(ISNUMBER(INDEX(SPPR!$E:$X,MATCH($A199,SPPR!$A:$A,0),19)),$C199*INDEX(SPPR!$E:$X,MATCH($A199,SPPR!$A:$A,0),19),""),"")</f>
        <v/>
      </c>
      <c r="W199">
        <f>IFERROR(IF(ISNUMBER(INDEX(SPPR!$E:$X,MATCH($A199,SPPR!$A:$A,0),20)),$C199*INDEX(SPPR!$E:$X,MATCH($A199,SPPR!$A:$A,0),20),""),"")</f>
        <v/>
      </c>
    </row>
    <row r="200">
      <c r="A200" t="inlineStr">
        <is>
          <t>Mugil</t>
        </is>
      </c>
      <c r="B200">
        <f>IFERROR(INDEX(SPPR!$D:$D,MATCH($A200,SPPR!$A:$A,0)),"")</f>
        <v/>
      </c>
      <c r="C200">
        <f>IFERROR(INDEX(Catch!$E:$BV,MATCH($A200,Catch!$A:$A,0),MATCH($B$4,Catch!$E$1:$BV$1,0)),0)</f>
        <v/>
      </c>
      <c r="D200">
        <f>IFERROR(IF(ISNUMBER(INDEX(SPPR!$E:$X,MATCH($A200,SPPR!$A:$A,0),1)),$C200*INDEX(SPPR!$E:$X,MATCH($A200,SPPR!$A:$A,0),1),""),"")</f>
        <v/>
      </c>
      <c r="E200">
        <f>IFERROR(IF(ISNUMBER(INDEX(SPPR!$E:$X,MATCH($A200,SPPR!$A:$A,0),2)),$C200*INDEX(SPPR!$E:$X,MATCH($A200,SPPR!$A:$A,0),2),""),"")</f>
        <v/>
      </c>
      <c r="F200">
        <f>IFERROR(IF(ISNUMBER(INDEX(SPPR!$E:$X,MATCH($A200,SPPR!$A:$A,0),3)),$C200*INDEX(SPPR!$E:$X,MATCH($A200,SPPR!$A:$A,0),3),""),"")</f>
        <v/>
      </c>
      <c r="G200">
        <f>IFERROR(IF(ISNUMBER(INDEX(SPPR!$E:$X,MATCH($A200,SPPR!$A:$A,0),4)),$C200*INDEX(SPPR!$E:$X,MATCH($A200,SPPR!$A:$A,0),4),""),"")</f>
        <v/>
      </c>
      <c r="H200">
        <f>IFERROR(IF(ISNUMBER(INDEX(SPPR!$E:$X,MATCH($A200,SPPR!$A:$A,0),5)),$C200*INDEX(SPPR!$E:$X,MATCH($A200,SPPR!$A:$A,0),5),""),"")</f>
        <v/>
      </c>
      <c r="I200">
        <f>IFERROR(IF(ISNUMBER(INDEX(SPPR!$E:$X,MATCH($A200,SPPR!$A:$A,0),6)),$C200*INDEX(SPPR!$E:$X,MATCH($A200,SPPR!$A:$A,0),6),""),"")</f>
        <v/>
      </c>
      <c r="J200">
        <f>IFERROR(IF(ISNUMBER(INDEX(SPPR!$E:$X,MATCH($A200,SPPR!$A:$A,0),7)),$C200*INDEX(SPPR!$E:$X,MATCH($A200,SPPR!$A:$A,0),7),""),"")</f>
        <v/>
      </c>
      <c r="K200">
        <f>IFERROR(IF(ISNUMBER(INDEX(SPPR!$E:$X,MATCH($A200,SPPR!$A:$A,0),8)),$C200*INDEX(SPPR!$E:$X,MATCH($A200,SPPR!$A:$A,0),8),""),"")</f>
        <v/>
      </c>
      <c r="L200">
        <f>IFERROR(IF(ISNUMBER(INDEX(SPPR!$E:$X,MATCH($A200,SPPR!$A:$A,0),9)),$C200*INDEX(SPPR!$E:$X,MATCH($A200,SPPR!$A:$A,0),9),""),"")</f>
        <v/>
      </c>
      <c r="M200">
        <f>IFERROR(IF(ISNUMBER(INDEX(SPPR!$E:$X,MATCH($A200,SPPR!$A:$A,0),10)),$C200*INDEX(SPPR!$E:$X,MATCH($A200,SPPR!$A:$A,0),10),""),"")</f>
        <v/>
      </c>
      <c r="N200">
        <f>IFERROR(IF(ISNUMBER(INDEX(SPPR!$E:$X,MATCH($A200,SPPR!$A:$A,0),11)),$C200*INDEX(SPPR!$E:$X,MATCH($A200,SPPR!$A:$A,0),11),""),"")</f>
        <v/>
      </c>
      <c r="O200">
        <f>IFERROR(IF(ISNUMBER(INDEX(SPPR!$E:$X,MATCH($A200,SPPR!$A:$A,0),12)),$C200*INDEX(SPPR!$E:$X,MATCH($A200,SPPR!$A:$A,0),12),""),"")</f>
        <v/>
      </c>
      <c r="P200">
        <f>IFERROR(IF(ISNUMBER(INDEX(SPPR!$E:$X,MATCH($A200,SPPR!$A:$A,0),13)),$C200*INDEX(SPPR!$E:$X,MATCH($A200,SPPR!$A:$A,0),13),""),"")</f>
        <v/>
      </c>
      <c r="Q200">
        <f>IFERROR(IF(ISNUMBER(INDEX(SPPR!$E:$X,MATCH($A200,SPPR!$A:$A,0),14)),$C200*INDEX(SPPR!$E:$X,MATCH($A200,SPPR!$A:$A,0),14),""),"")</f>
        <v/>
      </c>
      <c r="R200">
        <f>IFERROR(IF(ISNUMBER(INDEX(SPPR!$E:$X,MATCH($A200,SPPR!$A:$A,0),15)),$C200*INDEX(SPPR!$E:$X,MATCH($A200,SPPR!$A:$A,0),15),""),"")</f>
        <v/>
      </c>
      <c r="S200">
        <f>IFERROR(IF(ISNUMBER(INDEX(SPPR!$E:$X,MATCH($A200,SPPR!$A:$A,0),16)),$C200*INDEX(SPPR!$E:$X,MATCH($A200,SPPR!$A:$A,0),16),""),"")</f>
        <v/>
      </c>
      <c r="T200">
        <f>IFERROR(IF(ISNUMBER(INDEX(SPPR!$E:$X,MATCH($A200,SPPR!$A:$A,0),17)),$C200*INDEX(SPPR!$E:$X,MATCH($A200,SPPR!$A:$A,0),17),""),"")</f>
        <v/>
      </c>
      <c r="U200">
        <f>IFERROR(IF(ISNUMBER(INDEX(SPPR!$E:$X,MATCH($A200,SPPR!$A:$A,0),18)),$C200*INDEX(SPPR!$E:$X,MATCH($A200,SPPR!$A:$A,0),18),""),"")</f>
        <v/>
      </c>
      <c r="V200">
        <f>IFERROR(IF(ISNUMBER(INDEX(SPPR!$E:$X,MATCH($A200,SPPR!$A:$A,0),19)),$C200*INDEX(SPPR!$E:$X,MATCH($A200,SPPR!$A:$A,0),19),""),"")</f>
        <v/>
      </c>
      <c r="W200">
        <f>IFERROR(IF(ISNUMBER(INDEX(SPPR!$E:$X,MATCH($A200,SPPR!$A:$A,0),20)),$C200*INDEX(SPPR!$E:$X,MATCH($A200,SPPR!$A:$A,0),20),""),"")</f>
        <v/>
      </c>
    </row>
    <row r="201">
      <c r="A201" t="inlineStr">
        <is>
          <t>Batoidea</t>
        </is>
      </c>
      <c r="B201">
        <f>IFERROR(INDEX(SPPR!$D:$D,MATCH($A201,SPPR!$A:$A,0)),"")</f>
        <v/>
      </c>
      <c r="C201">
        <f>IFERROR(INDEX(Catch!$E:$BV,MATCH($A201,Catch!$A:$A,0),MATCH($B$4,Catch!$E$1:$BV$1,0)),0)</f>
        <v/>
      </c>
      <c r="D201">
        <f>IFERROR(IF(ISNUMBER(INDEX(SPPR!$E:$X,MATCH($A201,SPPR!$A:$A,0),1)),$C201*INDEX(SPPR!$E:$X,MATCH($A201,SPPR!$A:$A,0),1),""),"")</f>
        <v/>
      </c>
      <c r="E201">
        <f>IFERROR(IF(ISNUMBER(INDEX(SPPR!$E:$X,MATCH($A201,SPPR!$A:$A,0),2)),$C201*INDEX(SPPR!$E:$X,MATCH($A201,SPPR!$A:$A,0),2),""),"")</f>
        <v/>
      </c>
      <c r="F201">
        <f>IFERROR(IF(ISNUMBER(INDEX(SPPR!$E:$X,MATCH($A201,SPPR!$A:$A,0),3)),$C201*INDEX(SPPR!$E:$X,MATCH($A201,SPPR!$A:$A,0),3),""),"")</f>
        <v/>
      </c>
      <c r="G201">
        <f>IFERROR(IF(ISNUMBER(INDEX(SPPR!$E:$X,MATCH($A201,SPPR!$A:$A,0),4)),$C201*INDEX(SPPR!$E:$X,MATCH($A201,SPPR!$A:$A,0),4),""),"")</f>
        <v/>
      </c>
      <c r="H201">
        <f>IFERROR(IF(ISNUMBER(INDEX(SPPR!$E:$X,MATCH($A201,SPPR!$A:$A,0),5)),$C201*INDEX(SPPR!$E:$X,MATCH($A201,SPPR!$A:$A,0),5),""),"")</f>
        <v/>
      </c>
      <c r="I201">
        <f>IFERROR(IF(ISNUMBER(INDEX(SPPR!$E:$X,MATCH($A201,SPPR!$A:$A,0),6)),$C201*INDEX(SPPR!$E:$X,MATCH($A201,SPPR!$A:$A,0),6),""),"")</f>
        <v/>
      </c>
      <c r="J201">
        <f>IFERROR(IF(ISNUMBER(INDEX(SPPR!$E:$X,MATCH($A201,SPPR!$A:$A,0),7)),$C201*INDEX(SPPR!$E:$X,MATCH($A201,SPPR!$A:$A,0),7),""),"")</f>
        <v/>
      </c>
      <c r="K201">
        <f>IFERROR(IF(ISNUMBER(INDEX(SPPR!$E:$X,MATCH($A201,SPPR!$A:$A,0),8)),$C201*INDEX(SPPR!$E:$X,MATCH($A201,SPPR!$A:$A,0),8),""),"")</f>
        <v/>
      </c>
      <c r="L201">
        <f>IFERROR(IF(ISNUMBER(INDEX(SPPR!$E:$X,MATCH($A201,SPPR!$A:$A,0),9)),$C201*INDEX(SPPR!$E:$X,MATCH($A201,SPPR!$A:$A,0),9),""),"")</f>
        <v/>
      </c>
      <c r="M201">
        <f>IFERROR(IF(ISNUMBER(INDEX(SPPR!$E:$X,MATCH($A201,SPPR!$A:$A,0),10)),$C201*INDEX(SPPR!$E:$X,MATCH($A201,SPPR!$A:$A,0),10),""),"")</f>
        <v/>
      </c>
      <c r="N201">
        <f>IFERROR(IF(ISNUMBER(INDEX(SPPR!$E:$X,MATCH($A201,SPPR!$A:$A,0),11)),$C201*INDEX(SPPR!$E:$X,MATCH($A201,SPPR!$A:$A,0),11),""),"")</f>
        <v/>
      </c>
      <c r="O201">
        <f>IFERROR(IF(ISNUMBER(INDEX(SPPR!$E:$X,MATCH($A201,SPPR!$A:$A,0),12)),$C201*INDEX(SPPR!$E:$X,MATCH($A201,SPPR!$A:$A,0),12),""),"")</f>
        <v/>
      </c>
      <c r="P201">
        <f>IFERROR(IF(ISNUMBER(INDEX(SPPR!$E:$X,MATCH($A201,SPPR!$A:$A,0),13)),$C201*INDEX(SPPR!$E:$X,MATCH($A201,SPPR!$A:$A,0),13),""),"")</f>
        <v/>
      </c>
      <c r="Q201">
        <f>IFERROR(IF(ISNUMBER(INDEX(SPPR!$E:$X,MATCH($A201,SPPR!$A:$A,0),14)),$C201*INDEX(SPPR!$E:$X,MATCH($A201,SPPR!$A:$A,0),14),""),"")</f>
        <v/>
      </c>
      <c r="R201">
        <f>IFERROR(IF(ISNUMBER(INDEX(SPPR!$E:$X,MATCH($A201,SPPR!$A:$A,0),15)),$C201*INDEX(SPPR!$E:$X,MATCH($A201,SPPR!$A:$A,0),15),""),"")</f>
        <v/>
      </c>
      <c r="S201">
        <f>IFERROR(IF(ISNUMBER(INDEX(SPPR!$E:$X,MATCH($A201,SPPR!$A:$A,0),16)),$C201*INDEX(SPPR!$E:$X,MATCH($A201,SPPR!$A:$A,0),16),""),"")</f>
        <v/>
      </c>
      <c r="T201">
        <f>IFERROR(IF(ISNUMBER(INDEX(SPPR!$E:$X,MATCH($A201,SPPR!$A:$A,0),17)),$C201*INDEX(SPPR!$E:$X,MATCH($A201,SPPR!$A:$A,0),17),""),"")</f>
        <v/>
      </c>
      <c r="U201">
        <f>IFERROR(IF(ISNUMBER(INDEX(SPPR!$E:$X,MATCH($A201,SPPR!$A:$A,0),18)),$C201*INDEX(SPPR!$E:$X,MATCH($A201,SPPR!$A:$A,0),18),""),"")</f>
        <v/>
      </c>
      <c r="V201">
        <f>IFERROR(IF(ISNUMBER(INDEX(SPPR!$E:$X,MATCH($A201,SPPR!$A:$A,0),19)),$C201*INDEX(SPPR!$E:$X,MATCH($A201,SPPR!$A:$A,0),19),""),"")</f>
        <v/>
      </c>
      <c r="W201">
        <f>IFERROR(IF(ISNUMBER(INDEX(SPPR!$E:$X,MATCH($A201,SPPR!$A:$A,0),20)),$C201*INDEX(SPPR!$E:$X,MATCH($A201,SPPR!$A:$A,0),20),""),"")</f>
        <v/>
      </c>
    </row>
    <row r="202">
      <c r="A202" t="inlineStr">
        <is>
          <t>Mustelus</t>
        </is>
      </c>
      <c r="B202">
        <f>IFERROR(INDEX(SPPR!$D:$D,MATCH($A202,SPPR!$A:$A,0)),"")</f>
        <v/>
      </c>
      <c r="C202">
        <f>IFERROR(INDEX(Catch!$E:$BV,MATCH($A202,Catch!$A:$A,0),MATCH($B$4,Catch!$E$1:$BV$1,0)),0)</f>
        <v/>
      </c>
      <c r="D202">
        <f>IFERROR(IF(ISNUMBER(INDEX(SPPR!$E:$X,MATCH($A202,SPPR!$A:$A,0),1)),$C202*INDEX(SPPR!$E:$X,MATCH($A202,SPPR!$A:$A,0),1),""),"")</f>
        <v/>
      </c>
      <c r="E202">
        <f>IFERROR(IF(ISNUMBER(INDEX(SPPR!$E:$X,MATCH($A202,SPPR!$A:$A,0),2)),$C202*INDEX(SPPR!$E:$X,MATCH($A202,SPPR!$A:$A,0),2),""),"")</f>
        <v/>
      </c>
      <c r="F202">
        <f>IFERROR(IF(ISNUMBER(INDEX(SPPR!$E:$X,MATCH($A202,SPPR!$A:$A,0),3)),$C202*INDEX(SPPR!$E:$X,MATCH($A202,SPPR!$A:$A,0),3),""),"")</f>
        <v/>
      </c>
      <c r="G202">
        <f>IFERROR(IF(ISNUMBER(INDEX(SPPR!$E:$X,MATCH($A202,SPPR!$A:$A,0),4)),$C202*INDEX(SPPR!$E:$X,MATCH($A202,SPPR!$A:$A,0),4),""),"")</f>
        <v/>
      </c>
      <c r="H202">
        <f>IFERROR(IF(ISNUMBER(INDEX(SPPR!$E:$X,MATCH($A202,SPPR!$A:$A,0),5)),$C202*INDEX(SPPR!$E:$X,MATCH($A202,SPPR!$A:$A,0),5),""),"")</f>
        <v/>
      </c>
      <c r="I202">
        <f>IFERROR(IF(ISNUMBER(INDEX(SPPR!$E:$X,MATCH($A202,SPPR!$A:$A,0),6)),$C202*INDEX(SPPR!$E:$X,MATCH($A202,SPPR!$A:$A,0),6),""),"")</f>
        <v/>
      </c>
      <c r="J202">
        <f>IFERROR(IF(ISNUMBER(INDEX(SPPR!$E:$X,MATCH($A202,SPPR!$A:$A,0),7)),$C202*INDEX(SPPR!$E:$X,MATCH($A202,SPPR!$A:$A,0),7),""),"")</f>
        <v/>
      </c>
      <c r="K202">
        <f>IFERROR(IF(ISNUMBER(INDEX(SPPR!$E:$X,MATCH($A202,SPPR!$A:$A,0),8)),$C202*INDEX(SPPR!$E:$X,MATCH($A202,SPPR!$A:$A,0),8),""),"")</f>
        <v/>
      </c>
      <c r="L202">
        <f>IFERROR(IF(ISNUMBER(INDEX(SPPR!$E:$X,MATCH($A202,SPPR!$A:$A,0),9)),$C202*INDEX(SPPR!$E:$X,MATCH($A202,SPPR!$A:$A,0),9),""),"")</f>
        <v/>
      </c>
      <c r="M202">
        <f>IFERROR(IF(ISNUMBER(INDEX(SPPR!$E:$X,MATCH($A202,SPPR!$A:$A,0),10)),$C202*INDEX(SPPR!$E:$X,MATCH($A202,SPPR!$A:$A,0),10),""),"")</f>
        <v/>
      </c>
      <c r="N202">
        <f>IFERROR(IF(ISNUMBER(INDEX(SPPR!$E:$X,MATCH($A202,SPPR!$A:$A,0),11)),$C202*INDEX(SPPR!$E:$X,MATCH($A202,SPPR!$A:$A,0),11),""),"")</f>
        <v/>
      </c>
      <c r="O202">
        <f>IFERROR(IF(ISNUMBER(INDEX(SPPR!$E:$X,MATCH($A202,SPPR!$A:$A,0),12)),$C202*INDEX(SPPR!$E:$X,MATCH($A202,SPPR!$A:$A,0),12),""),"")</f>
        <v/>
      </c>
      <c r="P202">
        <f>IFERROR(IF(ISNUMBER(INDEX(SPPR!$E:$X,MATCH($A202,SPPR!$A:$A,0),13)),$C202*INDEX(SPPR!$E:$X,MATCH($A202,SPPR!$A:$A,0),13),""),"")</f>
        <v/>
      </c>
      <c r="Q202">
        <f>IFERROR(IF(ISNUMBER(INDEX(SPPR!$E:$X,MATCH($A202,SPPR!$A:$A,0),14)),$C202*INDEX(SPPR!$E:$X,MATCH($A202,SPPR!$A:$A,0),14),""),"")</f>
        <v/>
      </c>
      <c r="R202">
        <f>IFERROR(IF(ISNUMBER(INDEX(SPPR!$E:$X,MATCH($A202,SPPR!$A:$A,0),15)),$C202*INDEX(SPPR!$E:$X,MATCH($A202,SPPR!$A:$A,0),15),""),"")</f>
        <v/>
      </c>
      <c r="S202">
        <f>IFERROR(IF(ISNUMBER(INDEX(SPPR!$E:$X,MATCH($A202,SPPR!$A:$A,0),16)),$C202*INDEX(SPPR!$E:$X,MATCH($A202,SPPR!$A:$A,0),16),""),"")</f>
        <v/>
      </c>
      <c r="T202">
        <f>IFERROR(IF(ISNUMBER(INDEX(SPPR!$E:$X,MATCH($A202,SPPR!$A:$A,0),17)),$C202*INDEX(SPPR!$E:$X,MATCH($A202,SPPR!$A:$A,0),17),""),"")</f>
        <v/>
      </c>
      <c r="U202">
        <f>IFERROR(IF(ISNUMBER(INDEX(SPPR!$E:$X,MATCH($A202,SPPR!$A:$A,0),18)),$C202*INDEX(SPPR!$E:$X,MATCH($A202,SPPR!$A:$A,0),18),""),"")</f>
        <v/>
      </c>
      <c r="V202">
        <f>IFERROR(IF(ISNUMBER(INDEX(SPPR!$E:$X,MATCH($A202,SPPR!$A:$A,0),19)),$C202*INDEX(SPPR!$E:$X,MATCH($A202,SPPR!$A:$A,0),19),""),"")</f>
        <v/>
      </c>
      <c r="W202">
        <f>IFERROR(IF(ISNUMBER(INDEX(SPPR!$E:$X,MATCH($A202,SPPR!$A:$A,0),20)),$C202*INDEX(SPPR!$E:$X,MATCH($A202,SPPR!$A:$A,0),20),""),"")</f>
        <v/>
      </c>
    </row>
    <row r="203">
      <c r="A203" t="inlineStr">
        <is>
          <t>Salmo</t>
        </is>
      </c>
      <c r="B203">
        <f>IFERROR(INDEX(SPPR!$D:$D,MATCH($A203,SPPR!$A:$A,0)),"")</f>
        <v/>
      </c>
      <c r="C203">
        <f>IFERROR(INDEX(Catch!$E:$BV,MATCH($A203,Catch!$A:$A,0),MATCH($B$4,Catch!$E$1:$BV$1,0)),0)</f>
        <v/>
      </c>
      <c r="D203">
        <f>IFERROR(IF(ISNUMBER(INDEX(SPPR!$E:$X,MATCH($A203,SPPR!$A:$A,0),1)),$C203*INDEX(SPPR!$E:$X,MATCH($A203,SPPR!$A:$A,0),1),""),"")</f>
        <v/>
      </c>
      <c r="E203">
        <f>IFERROR(IF(ISNUMBER(INDEX(SPPR!$E:$X,MATCH($A203,SPPR!$A:$A,0),2)),$C203*INDEX(SPPR!$E:$X,MATCH($A203,SPPR!$A:$A,0),2),""),"")</f>
        <v/>
      </c>
      <c r="F203">
        <f>IFERROR(IF(ISNUMBER(INDEX(SPPR!$E:$X,MATCH($A203,SPPR!$A:$A,0),3)),$C203*INDEX(SPPR!$E:$X,MATCH($A203,SPPR!$A:$A,0),3),""),"")</f>
        <v/>
      </c>
      <c r="G203">
        <f>IFERROR(IF(ISNUMBER(INDEX(SPPR!$E:$X,MATCH($A203,SPPR!$A:$A,0),4)),$C203*INDEX(SPPR!$E:$X,MATCH($A203,SPPR!$A:$A,0),4),""),"")</f>
        <v/>
      </c>
      <c r="H203">
        <f>IFERROR(IF(ISNUMBER(INDEX(SPPR!$E:$X,MATCH($A203,SPPR!$A:$A,0),5)),$C203*INDEX(SPPR!$E:$X,MATCH($A203,SPPR!$A:$A,0),5),""),"")</f>
        <v/>
      </c>
      <c r="I203">
        <f>IFERROR(IF(ISNUMBER(INDEX(SPPR!$E:$X,MATCH($A203,SPPR!$A:$A,0),6)),$C203*INDEX(SPPR!$E:$X,MATCH($A203,SPPR!$A:$A,0),6),""),"")</f>
        <v/>
      </c>
      <c r="J203">
        <f>IFERROR(IF(ISNUMBER(INDEX(SPPR!$E:$X,MATCH($A203,SPPR!$A:$A,0),7)),$C203*INDEX(SPPR!$E:$X,MATCH($A203,SPPR!$A:$A,0),7),""),"")</f>
        <v/>
      </c>
      <c r="K203">
        <f>IFERROR(IF(ISNUMBER(INDEX(SPPR!$E:$X,MATCH($A203,SPPR!$A:$A,0),8)),$C203*INDEX(SPPR!$E:$X,MATCH($A203,SPPR!$A:$A,0),8),""),"")</f>
        <v/>
      </c>
      <c r="L203">
        <f>IFERROR(IF(ISNUMBER(INDEX(SPPR!$E:$X,MATCH($A203,SPPR!$A:$A,0),9)),$C203*INDEX(SPPR!$E:$X,MATCH($A203,SPPR!$A:$A,0),9),""),"")</f>
        <v/>
      </c>
      <c r="M203">
        <f>IFERROR(IF(ISNUMBER(INDEX(SPPR!$E:$X,MATCH($A203,SPPR!$A:$A,0),10)),$C203*INDEX(SPPR!$E:$X,MATCH($A203,SPPR!$A:$A,0),10),""),"")</f>
        <v/>
      </c>
      <c r="N203">
        <f>IFERROR(IF(ISNUMBER(INDEX(SPPR!$E:$X,MATCH($A203,SPPR!$A:$A,0),11)),$C203*INDEX(SPPR!$E:$X,MATCH($A203,SPPR!$A:$A,0),11),""),"")</f>
        <v/>
      </c>
      <c r="O203">
        <f>IFERROR(IF(ISNUMBER(INDEX(SPPR!$E:$X,MATCH($A203,SPPR!$A:$A,0),12)),$C203*INDEX(SPPR!$E:$X,MATCH($A203,SPPR!$A:$A,0),12),""),"")</f>
        <v/>
      </c>
      <c r="P203">
        <f>IFERROR(IF(ISNUMBER(INDEX(SPPR!$E:$X,MATCH($A203,SPPR!$A:$A,0),13)),$C203*INDEX(SPPR!$E:$X,MATCH($A203,SPPR!$A:$A,0),13),""),"")</f>
        <v/>
      </c>
      <c r="Q203">
        <f>IFERROR(IF(ISNUMBER(INDEX(SPPR!$E:$X,MATCH($A203,SPPR!$A:$A,0),14)),$C203*INDEX(SPPR!$E:$X,MATCH($A203,SPPR!$A:$A,0),14),""),"")</f>
        <v/>
      </c>
      <c r="R203">
        <f>IFERROR(IF(ISNUMBER(INDEX(SPPR!$E:$X,MATCH($A203,SPPR!$A:$A,0),15)),$C203*INDEX(SPPR!$E:$X,MATCH($A203,SPPR!$A:$A,0),15),""),"")</f>
        <v/>
      </c>
      <c r="S203">
        <f>IFERROR(IF(ISNUMBER(INDEX(SPPR!$E:$X,MATCH($A203,SPPR!$A:$A,0),16)),$C203*INDEX(SPPR!$E:$X,MATCH($A203,SPPR!$A:$A,0),16),""),"")</f>
        <v/>
      </c>
      <c r="T203">
        <f>IFERROR(IF(ISNUMBER(INDEX(SPPR!$E:$X,MATCH($A203,SPPR!$A:$A,0),17)),$C203*INDEX(SPPR!$E:$X,MATCH($A203,SPPR!$A:$A,0),17),""),"")</f>
        <v/>
      </c>
      <c r="U203">
        <f>IFERROR(IF(ISNUMBER(INDEX(SPPR!$E:$X,MATCH($A203,SPPR!$A:$A,0),18)),$C203*INDEX(SPPR!$E:$X,MATCH($A203,SPPR!$A:$A,0),18),""),"")</f>
        <v/>
      </c>
      <c r="V203">
        <f>IFERROR(IF(ISNUMBER(INDEX(SPPR!$E:$X,MATCH($A203,SPPR!$A:$A,0),19)),$C203*INDEX(SPPR!$E:$X,MATCH($A203,SPPR!$A:$A,0),19),""),"")</f>
        <v/>
      </c>
      <c r="W203">
        <f>IFERROR(IF(ISNUMBER(INDEX(SPPR!$E:$X,MATCH($A203,SPPR!$A:$A,0),20)),$C203*INDEX(SPPR!$E:$X,MATCH($A203,SPPR!$A:$A,0),20),""),"")</f>
        <v/>
      </c>
    </row>
    <row r="204">
      <c r="A204" t="inlineStr">
        <is>
          <t>Triakidae</t>
        </is>
      </c>
      <c r="B204">
        <f>IFERROR(INDEX(SPPR!$D:$D,MATCH($A204,SPPR!$A:$A,0)),"")</f>
        <v/>
      </c>
      <c r="C204">
        <f>IFERROR(INDEX(Catch!$E:$BV,MATCH($A204,Catch!$A:$A,0),MATCH($B$4,Catch!$E$1:$BV$1,0)),0)</f>
        <v/>
      </c>
      <c r="D204">
        <f>IFERROR(IF(ISNUMBER(INDEX(SPPR!$E:$X,MATCH($A204,SPPR!$A:$A,0),1)),$C204*INDEX(SPPR!$E:$X,MATCH($A204,SPPR!$A:$A,0),1),""),"")</f>
        <v/>
      </c>
      <c r="E204">
        <f>IFERROR(IF(ISNUMBER(INDEX(SPPR!$E:$X,MATCH($A204,SPPR!$A:$A,0),2)),$C204*INDEX(SPPR!$E:$X,MATCH($A204,SPPR!$A:$A,0),2),""),"")</f>
        <v/>
      </c>
      <c r="F204">
        <f>IFERROR(IF(ISNUMBER(INDEX(SPPR!$E:$X,MATCH($A204,SPPR!$A:$A,0),3)),$C204*INDEX(SPPR!$E:$X,MATCH($A204,SPPR!$A:$A,0),3),""),"")</f>
        <v/>
      </c>
      <c r="G204">
        <f>IFERROR(IF(ISNUMBER(INDEX(SPPR!$E:$X,MATCH($A204,SPPR!$A:$A,0),4)),$C204*INDEX(SPPR!$E:$X,MATCH($A204,SPPR!$A:$A,0),4),""),"")</f>
        <v/>
      </c>
      <c r="H204">
        <f>IFERROR(IF(ISNUMBER(INDEX(SPPR!$E:$X,MATCH($A204,SPPR!$A:$A,0),5)),$C204*INDEX(SPPR!$E:$X,MATCH($A204,SPPR!$A:$A,0),5),""),"")</f>
        <v/>
      </c>
      <c r="I204">
        <f>IFERROR(IF(ISNUMBER(INDEX(SPPR!$E:$X,MATCH($A204,SPPR!$A:$A,0),6)),$C204*INDEX(SPPR!$E:$X,MATCH($A204,SPPR!$A:$A,0),6),""),"")</f>
        <v/>
      </c>
      <c r="J204">
        <f>IFERROR(IF(ISNUMBER(INDEX(SPPR!$E:$X,MATCH($A204,SPPR!$A:$A,0),7)),$C204*INDEX(SPPR!$E:$X,MATCH($A204,SPPR!$A:$A,0),7),""),"")</f>
        <v/>
      </c>
      <c r="K204">
        <f>IFERROR(IF(ISNUMBER(INDEX(SPPR!$E:$X,MATCH($A204,SPPR!$A:$A,0),8)),$C204*INDEX(SPPR!$E:$X,MATCH($A204,SPPR!$A:$A,0),8),""),"")</f>
        <v/>
      </c>
      <c r="L204">
        <f>IFERROR(IF(ISNUMBER(INDEX(SPPR!$E:$X,MATCH($A204,SPPR!$A:$A,0),9)),$C204*INDEX(SPPR!$E:$X,MATCH($A204,SPPR!$A:$A,0),9),""),"")</f>
        <v/>
      </c>
      <c r="M204">
        <f>IFERROR(IF(ISNUMBER(INDEX(SPPR!$E:$X,MATCH($A204,SPPR!$A:$A,0),10)),$C204*INDEX(SPPR!$E:$X,MATCH($A204,SPPR!$A:$A,0),10),""),"")</f>
        <v/>
      </c>
      <c r="N204">
        <f>IFERROR(IF(ISNUMBER(INDEX(SPPR!$E:$X,MATCH($A204,SPPR!$A:$A,0),11)),$C204*INDEX(SPPR!$E:$X,MATCH($A204,SPPR!$A:$A,0),11),""),"")</f>
        <v/>
      </c>
      <c r="O204">
        <f>IFERROR(IF(ISNUMBER(INDEX(SPPR!$E:$X,MATCH($A204,SPPR!$A:$A,0),12)),$C204*INDEX(SPPR!$E:$X,MATCH($A204,SPPR!$A:$A,0),12),""),"")</f>
        <v/>
      </c>
      <c r="P204">
        <f>IFERROR(IF(ISNUMBER(INDEX(SPPR!$E:$X,MATCH($A204,SPPR!$A:$A,0),13)),$C204*INDEX(SPPR!$E:$X,MATCH($A204,SPPR!$A:$A,0),13),""),"")</f>
        <v/>
      </c>
      <c r="Q204">
        <f>IFERROR(IF(ISNUMBER(INDEX(SPPR!$E:$X,MATCH($A204,SPPR!$A:$A,0),14)),$C204*INDEX(SPPR!$E:$X,MATCH($A204,SPPR!$A:$A,0),14),""),"")</f>
        <v/>
      </c>
      <c r="R204">
        <f>IFERROR(IF(ISNUMBER(INDEX(SPPR!$E:$X,MATCH($A204,SPPR!$A:$A,0),15)),$C204*INDEX(SPPR!$E:$X,MATCH($A204,SPPR!$A:$A,0),15),""),"")</f>
        <v/>
      </c>
      <c r="S204">
        <f>IFERROR(IF(ISNUMBER(INDEX(SPPR!$E:$X,MATCH($A204,SPPR!$A:$A,0),16)),$C204*INDEX(SPPR!$E:$X,MATCH($A204,SPPR!$A:$A,0),16),""),"")</f>
        <v/>
      </c>
      <c r="T204">
        <f>IFERROR(IF(ISNUMBER(INDEX(SPPR!$E:$X,MATCH($A204,SPPR!$A:$A,0),17)),$C204*INDEX(SPPR!$E:$X,MATCH($A204,SPPR!$A:$A,0),17),""),"")</f>
        <v/>
      </c>
      <c r="U204">
        <f>IFERROR(IF(ISNUMBER(INDEX(SPPR!$E:$X,MATCH($A204,SPPR!$A:$A,0),18)),$C204*INDEX(SPPR!$E:$X,MATCH($A204,SPPR!$A:$A,0),18),""),"")</f>
        <v/>
      </c>
      <c r="V204">
        <f>IFERROR(IF(ISNUMBER(INDEX(SPPR!$E:$X,MATCH($A204,SPPR!$A:$A,0),19)),$C204*INDEX(SPPR!$E:$X,MATCH($A204,SPPR!$A:$A,0),19),""),"")</f>
        <v/>
      </c>
      <c r="W204">
        <f>IFERROR(IF(ISNUMBER(INDEX(SPPR!$E:$X,MATCH($A204,SPPR!$A:$A,0),20)),$C204*INDEX(SPPR!$E:$X,MATCH($A204,SPPR!$A:$A,0),20),""),"")</f>
        <v/>
      </c>
    </row>
    <row r="205">
      <c r="A205" t="inlineStr">
        <is>
          <t>Galeocerdo cuvier</t>
        </is>
      </c>
      <c r="B205">
        <f>IFERROR(INDEX(SPPR!$D:$D,MATCH($A205,SPPR!$A:$A,0)),"")</f>
        <v/>
      </c>
      <c r="C205">
        <f>IFERROR(INDEX(Catch!$E:$BV,MATCH($A205,Catch!$A:$A,0),MATCH($B$4,Catch!$E$1:$BV$1,0)),0)</f>
        <v/>
      </c>
      <c r="D205">
        <f>IFERROR(IF(ISNUMBER(INDEX(SPPR!$E:$X,MATCH($A205,SPPR!$A:$A,0),1)),$C205*INDEX(SPPR!$E:$X,MATCH($A205,SPPR!$A:$A,0),1),""),"")</f>
        <v/>
      </c>
      <c r="E205">
        <f>IFERROR(IF(ISNUMBER(INDEX(SPPR!$E:$X,MATCH($A205,SPPR!$A:$A,0),2)),$C205*INDEX(SPPR!$E:$X,MATCH($A205,SPPR!$A:$A,0),2),""),"")</f>
        <v/>
      </c>
      <c r="F205">
        <f>IFERROR(IF(ISNUMBER(INDEX(SPPR!$E:$X,MATCH($A205,SPPR!$A:$A,0),3)),$C205*INDEX(SPPR!$E:$X,MATCH($A205,SPPR!$A:$A,0),3),""),"")</f>
        <v/>
      </c>
      <c r="G205">
        <f>IFERROR(IF(ISNUMBER(INDEX(SPPR!$E:$X,MATCH($A205,SPPR!$A:$A,0),4)),$C205*INDEX(SPPR!$E:$X,MATCH($A205,SPPR!$A:$A,0),4),""),"")</f>
        <v/>
      </c>
      <c r="H205">
        <f>IFERROR(IF(ISNUMBER(INDEX(SPPR!$E:$X,MATCH($A205,SPPR!$A:$A,0),5)),$C205*INDEX(SPPR!$E:$X,MATCH($A205,SPPR!$A:$A,0),5),""),"")</f>
        <v/>
      </c>
      <c r="I205">
        <f>IFERROR(IF(ISNUMBER(INDEX(SPPR!$E:$X,MATCH($A205,SPPR!$A:$A,0),6)),$C205*INDEX(SPPR!$E:$X,MATCH($A205,SPPR!$A:$A,0),6),""),"")</f>
        <v/>
      </c>
      <c r="J205">
        <f>IFERROR(IF(ISNUMBER(INDEX(SPPR!$E:$X,MATCH($A205,SPPR!$A:$A,0),7)),$C205*INDEX(SPPR!$E:$X,MATCH($A205,SPPR!$A:$A,0),7),""),"")</f>
        <v/>
      </c>
      <c r="K205">
        <f>IFERROR(IF(ISNUMBER(INDEX(SPPR!$E:$X,MATCH($A205,SPPR!$A:$A,0),8)),$C205*INDEX(SPPR!$E:$X,MATCH($A205,SPPR!$A:$A,0),8),""),"")</f>
        <v/>
      </c>
      <c r="L205">
        <f>IFERROR(IF(ISNUMBER(INDEX(SPPR!$E:$X,MATCH($A205,SPPR!$A:$A,0),9)),$C205*INDEX(SPPR!$E:$X,MATCH($A205,SPPR!$A:$A,0),9),""),"")</f>
        <v/>
      </c>
      <c r="M205">
        <f>IFERROR(IF(ISNUMBER(INDEX(SPPR!$E:$X,MATCH($A205,SPPR!$A:$A,0),10)),$C205*INDEX(SPPR!$E:$X,MATCH($A205,SPPR!$A:$A,0),10),""),"")</f>
        <v/>
      </c>
      <c r="N205">
        <f>IFERROR(IF(ISNUMBER(INDEX(SPPR!$E:$X,MATCH($A205,SPPR!$A:$A,0),11)),$C205*INDEX(SPPR!$E:$X,MATCH($A205,SPPR!$A:$A,0),11),""),"")</f>
        <v/>
      </c>
      <c r="O205">
        <f>IFERROR(IF(ISNUMBER(INDEX(SPPR!$E:$X,MATCH($A205,SPPR!$A:$A,0),12)),$C205*INDEX(SPPR!$E:$X,MATCH($A205,SPPR!$A:$A,0),12),""),"")</f>
        <v/>
      </c>
      <c r="P205">
        <f>IFERROR(IF(ISNUMBER(INDEX(SPPR!$E:$X,MATCH($A205,SPPR!$A:$A,0),13)),$C205*INDEX(SPPR!$E:$X,MATCH($A205,SPPR!$A:$A,0),13),""),"")</f>
        <v/>
      </c>
      <c r="Q205">
        <f>IFERROR(IF(ISNUMBER(INDEX(SPPR!$E:$X,MATCH($A205,SPPR!$A:$A,0),14)),$C205*INDEX(SPPR!$E:$X,MATCH($A205,SPPR!$A:$A,0),14),""),"")</f>
        <v/>
      </c>
      <c r="R205">
        <f>IFERROR(IF(ISNUMBER(INDEX(SPPR!$E:$X,MATCH($A205,SPPR!$A:$A,0),15)),$C205*INDEX(SPPR!$E:$X,MATCH($A205,SPPR!$A:$A,0),15),""),"")</f>
        <v/>
      </c>
      <c r="S205">
        <f>IFERROR(IF(ISNUMBER(INDEX(SPPR!$E:$X,MATCH($A205,SPPR!$A:$A,0),16)),$C205*INDEX(SPPR!$E:$X,MATCH($A205,SPPR!$A:$A,0),16),""),"")</f>
        <v/>
      </c>
      <c r="T205">
        <f>IFERROR(IF(ISNUMBER(INDEX(SPPR!$E:$X,MATCH($A205,SPPR!$A:$A,0),17)),$C205*INDEX(SPPR!$E:$X,MATCH($A205,SPPR!$A:$A,0),17),""),"")</f>
        <v/>
      </c>
      <c r="U205">
        <f>IFERROR(IF(ISNUMBER(INDEX(SPPR!$E:$X,MATCH($A205,SPPR!$A:$A,0),18)),$C205*INDEX(SPPR!$E:$X,MATCH($A205,SPPR!$A:$A,0),18),""),"")</f>
        <v/>
      </c>
      <c r="V205">
        <f>IFERROR(IF(ISNUMBER(INDEX(SPPR!$E:$X,MATCH($A205,SPPR!$A:$A,0),19)),$C205*INDEX(SPPR!$E:$X,MATCH($A205,SPPR!$A:$A,0),19),""),"")</f>
        <v/>
      </c>
      <c r="W205">
        <f>IFERROR(IF(ISNUMBER(INDEX(SPPR!$E:$X,MATCH($A205,SPPR!$A:$A,0),20)),$C205*INDEX(SPPR!$E:$X,MATCH($A205,SPPR!$A:$A,0),20),""),"")</f>
        <v/>
      </c>
    </row>
    <row r="206">
      <c r="A206" t="inlineStr">
        <is>
          <t>Pagellus bogaraveo</t>
        </is>
      </c>
      <c r="B206">
        <f>IFERROR(INDEX(SPPR!$D:$D,MATCH($A206,SPPR!$A:$A,0)),"")</f>
        <v/>
      </c>
      <c r="C206">
        <f>IFERROR(INDEX(Catch!$E:$BV,MATCH($A206,Catch!$A:$A,0),MATCH($B$4,Catch!$E$1:$BV$1,0)),0)</f>
        <v/>
      </c>
      <c r="D206">
        <f>IFERROR(IF(ISNUMBER(INDEX(SPPR!$E:$X,MATCH($A206,SPPR!$A:$A,0),1)),$C206*INDEX(SPPR!$E:$X,MATCH($A206,SPPR!$A:$A,0),1),""),"")</f>
        <v/>
      </c>
      <c r="E206">
        <f>IFERROR(IF(ISNUMBER(INDEX(SPPR!$E:$X,MATCH($A206,SPPR!$A:$A,0),2)),$C206*INDEX(SPPR!$E:$X,MATCH($A206,SPPR!$A:$A,0),2),""),"")</f>
        <v/>
      </c>
      <c r="F206">
        <f>IFERROR(IF(ISNUMBER(INDEX(SPPR!$E:$X,MATCH($A206,SPPR!$A:$A,0),3)),$C206*INDEX(SPPR!$E:$X,MATCH($A206,SPPR!$A:$A,0),3),""),"")</f>
        <v/>
      </c>
      <c r="G206">
        <f>IFERROR(IF(ISNUMBER(INDEX(SPPR!$E:$X,MATCH($A206,SPPR!$A:$A,0),4)),$C206*INDEX(SPPR!$E:$X,MATCH($A206,SPPR!$A:$A,0),4),""),"")</f>
        <v/>
      </c>
      <c r="H206">
        <f>IFERROR(IF(ISNUMBER(INDEX(SPPR!$E:$X,MATCH($A206,SPPR!$A:$A,0),5)),$C206*INDEX(SPPR!$E:$X,MATCH($A206,SPPR!$A:$A,0),5),""),"")</f>
        <v/>
      </c>
      <c r="I206">
        <f>IFERROR(IF(ISNUMBER(INDEX(SPPR!$E:$X,MATCH($A206,SPPR!$A:$A,0),6)),$C206*INDEX(SPPR!$E:$X,MATCH($A206,SPPR!$A:$A,0),6),""),"")</f>
        <v/>
      </c>
      <c r="J206">
        <f>IFERROR(IF(ISNUMBER(INDEX(SPPR!$E:$X,MATCH($A206,SPPR!$A:$A,0),7)),$C206*INDEX(SPPR!$E:$X,MATCH($A206,SPPR!$A:$A,0),7),""),"")</f>
        <v/>
      </c>
      <c r="K206">
        <f>IFERROR(IF(ISNUMBER(INDEX(SPPR!$E:$X,MATCH($A206,SPPR!$A:$A,0),8)),$C206*INDEX(SPPR!$E:$X,MATCH($A206,SPPR!$A:$A,0),8),""),"")</f>
        <v/>
      </c>
      <c r="L206">
        <f>IFERROR(IF(ISNUMBER(INDEX(SPPR!$E:$X,MATCH($A206,SPPR!$A:$A,0),9)),$C206*INDEX(SPPR!$E:$X,MATCH($A206,SPPR!$A:$A,0),9),""),"")</f>
        <v/>
      </c>
      <c r="M206">
        <f>IFERROR(IF(ISNUMBER(INDEX(SPPR!$E:$X,MATCH($A206,SPPR!$A:$A,0),10)),$C206*INDEX(SPPR!$E:$X,MATCH($A206,SPPR!$A:$A,0),10),""),"")</f>
        <v/>
      </c>
      <c r="N206">
        <f>IFERROR(IF(ISNUMBER(INDEX(SPPR!$E:$X,MATCH($A206,SPPR!$A:$A,0),11)),$C206*INDEX(SPPR!$E:$X,MATCH($A206,SPPR!$A:$A,0),11),""),"")</f>
        <v/>
      </c>
      <c r="O206">
        <f>IFERROR(IF(ISNUMBER(INDEX(SPPR!$E:$X,MATCH($A206,SPPR!$A:$A,0),12)),$C206*INDEX(SPPR!$E:$X,MATCH($A206,SPPR!$A:$A,0),12),""),"")</f>
        <v/>
      </c>
      <c r="P206">
        <f>IFERROR(IF(ISNUMBER(INDEX(SPPR!$E:$X,MATCH($A206,SPPR!$A:$A,0),13)),$C206*INDEX(SPPR!$E:$X,MATCH($A206,SPPR!$A:$A,0),13),""),"")</f>
        <v/>
      </c>
      <c r="Q206">
        <f>IFERROR(IF(ISNUMBER(INDEX(SPPR!$E:$X,MATCH($A206,SPPR!$A:$A,0),14)),$C206*INDEX(SPPR!$E:$X,MATCH($A206,SPPR!$A:$A,0),14),""),"")</f>
        <v/>
      </c>
      <c r="R206">
        <f>IFERROR(IF(ISNUMBER(INDEX(SPPR!$E:$X,MATCH($A206,SPPR!$A:$A,0),15)),$C206*INDEX(SPPR!$E:$X,MATCH($A206,SPPR!$A:$A,0),15),""),"")</f>
        <v/>
      </c>
      <c r="S206">
        <f>IFERROR(IF(ISNUMBER(INDEX(SPPR!$E:$X,MATCH($A206,SPPR!$A:$A,0),16)),$C206*INDEX(SPPR!$E:$X,MATCH($A206,SPPR!$A:$A,0),16),""),"")</f>
        <v/>
      </c>
      <c r="T206">
        <f>IFERROR(IF(ISNUMBER(INDEX(SPPR!$E:$X,MATCH($A206,SPPR!$A:$A,0),17)),$C206*INDEX(SPPR!$E:$X,MATCH($A206,SPPR!$A:$A,0),17),""),"")</f>
        <v/>
      </c>
      <c r="U206">
        <f>IFERROR(IF(ISNUMBER(INDEX(SPPR!$E:$X,MATCH($A206,SPPR!$A:$A,0),18)),$C206*INDEX(SPPR!$E:$X,MATCH($A206,SPPR!$A:$A,0),18),""),"")</f>
        <v/>
      </c>
      <c r="V206">
        <f>IFERROR(IF(ISNUMBER(INDEX(SPPR!$E:$X,MATCH($A206,SPPR!$A:$A,0),19)),$C206*INDEX(SPPR!$E:$X,MATCH($A206,SPPR!$A:$A,0),19),""),"")</f>
        <v/>
      </c>
      <c r="W206">
        <f>IFERROR(IF(ISNUMBER(INDEX(SPPR!$E:$X,MATCH($A206,SPPR!$A:$A,0),20)),$C206*INDEX(SPPR!$E:$X,MATCH($A206,SPPR!$A:$A,0),20),""),"")</f>
        <v/>
      </c>
    </row>
    <row r="207">
      <c r="A207" t="inlineStr">
        <is>
          <t>Chimaera monstrosa</t>
        </is>
      </c>
      <c r="B207">
        <f>IFERROR(INDEX(SPPR!$D:$D,MATCH($A207,SPPR!$A:$A,0)),"")</f>
        <v/>
      </c>
      <c r="C207">
        <f>IFERROR(INDEX(Catch!$E:$BV,MATCH($A207,Catch!$A:$A,0),MATCH($B$4,Catch!$E$1:$BV$1,0)),0)</f>
        <v/>
      </c>
      <c r="D207">
        <f>IFERROR(IF(ISNUMBER(INDEX(SPPR!$E:$X,MATCH($A207,SPPR!$A:$A,0),1)),$C207*INDEX(SPPR!$E:$X,MATCH($A207,SPPR!$A:$A,0),1),""),"")</f>
        <v/>
      </c>
      <c r="E207">
        <f>IFERROR(IF(ISNUMBER(INDEX(SPPR!$E:$X,MATCH($A207,SPPR!$A:$A,0),2)),$C207*INDEX(SPPR!$E:$X,MATCH($A207,SPPR!$A:$A,0),2),""),"")</f>
        <v/>
      </c>
      <c r="F207">
        <f>IFERROR(IF(ISNUMBER(INDEX(SPPR!$E:$X,MATCH($A207,SPPR!$A:$A,0),3)),$C207*INDEX(SPPR!$E:$X,MATCH($A207,SPPR!$A:$A,0),3),""),"")</f>
        <v/>
      </c>
      <c r="G207">
        <f>IFERROR(IF(ISNUMBER(INDEX(SPPR!$E:$X,MATCH($A207,SPPR!$A:$A,0),4)),$C207*INDEX(SPPR!$E:$X,MATCH($A207,SPPR!$A:$A,0),4),""),"")</f>
        <v/>
      </c>
      <c r="H207">
        <f>IFERROR(IF(ISNUMBER(INDEX(SPPR!$E:$X,MATCH($A207,SPPR!$A:$A,0),5)),$C207*INDEX(SPPR!$E:$X,MATCH($A207,SPPR!$A:$A,0),5),""),"")</f>
        <v/>
      </c>
      <c r="I207">
        <f>IFERROR(IF(ISNUMBER(INDEX(SPPR!$E:$X,MATCH($A207,SPPR!$A:$A,0),6)),$C207*INDEX(SPPR!$E:$X,MATCH($A207,SPPR!$A:$A,0),6),""),"")</f>
        <v/>
      </c>
      <c r="J207">
        <f>IFERROR(IF(ISNUMBER(INDEX(SPPR!$E:$X,MATCH($A207,SPPR!$A:$A,0),7)),$C207*INDEX(SPPR!$E:$X,MATCH($A207,SPPR!$A:$A,0),7),""),"")</f>
        <v/>
      </c>
      <c r="K207">
        <f>IFERROR(IF(ISNUMBER(INDEX(SPPR!$E:$X,MATCH($A207,SPPR!$A:$A,0),8)),$C207*INDEX(SPPR!$E:$X,MATCH($A207,SPPR!$A:$A,0),8),""),"")</f>
        <v/>
      </c>
      <c r="L207">
        <f>IFERROR(IF(ISNUMBER(INDEX(SPPR!$E:$X,MATCH($A207,SPPR!$A:$A,0),9)),$C207*INDEX(SPPR!$E:$X,MATCH($A207,SPPR!$A:$A,0),9),""),"")</f>
        <v/>
      </c>
      <c r="M207">
        <f>IFERROR(IF(ISNUMBER(INDEX(SPPR!$E:$X,MATCH($A207,SPPR!$A:$A,0),10)),$C207*INDEX(SPPR!$E:$X,MATCH($A207,SPPR!$A:$A,0),10),""),"")</f>
        <v/>
      </c>
      <c r="N207">
        <f>IFERROR(IF(ISNUMBER(INDEX(SPPR!$E:$X,MATCH($A207,SPPR!$A:$A,0),11)),$C207*INDEX(SPPR!$E:$X,MATCH($A207,SPPR!$A:$A,0),11),""),"")</f>
        <v/>
      </c>
      <c r="O207">
        <f>IFERROR(IF(ISNUMBER(INDEX(SPPR!$E:$X,MATCH($A207,SPPR!$A:$A,0),12)),$C207*INDEX(SPPR!$E:$X,MATCH($A207,SPPR!$A:$A,0),12),""),"")</f>
        <v/>
      </c>
      <c r="P207">
        <f>IFERROR(IF(ISNUMBER(INDEX(SPPR!$E:$X,MATCH($A207,SPPR!$A:$A,0),13)),$C207*INDEX(SPPR!$E:$X,MATCH($A207,SPPR!$A:$A,0),13),""),"")</f>
        <v/>
      </c>
      <c r="Q207">
        <f>IFERROR(IF(ISNUMBER(INDEX(SPPR!$E:$X,MATCH($A207,SPPR!$A:$A,0),14)),$C207*INDEX(SPPR!$E:$X,MATCH($A207,SPPR!$A:$A,0),14),""),"")</f>
        <v/>
      </c>
      <c r="R207">
        <f>IFERROR(IF(ISNUMBER(INDEX(SPPR!$E:$X,MATCH($A207,SPPR!$A:$A,0),15)),$C207*INDEX(SPPR!$E:$X,MATCH($A207,SPPR!$A:$A,0),15),""),"")</f>
        <v/>
      </c>
      <c r="S207">
        <f>IFERROR(IF(ISNUMBER(INDEX(SPPR!$E:$X,MATCH($A207,SPPR!$A:$A,0),16)),$C207*INDEX(SPPR!$E:$X,MATCH($A207,SPPR!$A:$A,0),16),""),"")</f>
        <v/>
      </c>
      <c r="T207">
        <f>IFERROR(IF(ISNUMBER(INDEX(SPPR!$E:$X,MATCH($A207,SPPR!$A:$A,0),17)),$C207*INDEX(SPPR!$E:$X,MATCH($A207,SPPR!$A:$A,0),17),""),"")</f>
        <v/>
      </c>
      <c r="U207">
        <f>IFERROR(IF(ISNUMBER(INDEX(SPPR!$E:$X,MATCH($A207,SPPR!$A:$A,0),18)),$C207*INDEX(SPPR!$E:$X,MATCH($A207,SPPR!$A:$A,0),18),""),"")</f>
        <v/>
      </c>
      <c r="V207">
        <f>IFERROR(IF(ISNUMBER(INDEX(SPPR!$E:$X,MATCH($A207,SPPR!$A:$A,0),19)),$C207*INDEX(SPPR!$E:$X,MATCH($A207,SPPR!$A:$A,0),19),""),"")</f>
        <v/>
      </c>
      <c r="W207">
        <f>IFERROR(IF(ISNUMBER(INDEX(SPPR!$E:$X,MATCH($A207,SPPR!$A:$A,0),20)),$C207*INDEX(SPPR!$E:$X,MATCH($A207,SPPR!$A:$A,0),20),""),"")</f>
        <v/>
      </c>
    </row>
    <row r="208">
      <c r="A208" t="inlineStr">
        <is>
          <t>Alepocephalus bairdii</t>
        </is>
      </c>
      <c r="B208">
        <f>IFERROR(INDEX(SPPR!$D:$D,MATCH($A208,SPPR!$A:$A,0)),"")</f>
        <v/>
      </c>
      <c r="C208">
        <f>IFERROR(INDEX(Catch!$E:$BV,MATCH($A208,Catch!$A:$A,0),MATCH($B$4,Catch!$E$1:$BV$1,0)),0)</f>
        <v/>
      </c>
      <c r="D208">
        <f>IFERROR(IF(ISNUMBER(INDEX(SPPR!$E:$X,MATCH($A208,SPPR!$A:$A,0),1)),$C208*INDEX(SPPR!$E:$X,MATCH($A208,SPPR!$A:$A,0),1),""),"")</f>
        <v/>
      </c>
      <c r="E208">
        <f>IFERROR(IF(ISNUMBER(INDEX(SPPR!$E:$X,MATCH($A208,SPPR!$A:$A,0),2)),$C208*INDEX(SPPR!$E:$X,MATCH($A208,SPPR!$A:$A,0),2),""),"")</f>
        <v/>
      </c>
      <c r="F208">
        <f>IFERROR(IF(ISNUMBER(INDEX(SPPR!$E:$X,MATCH($A208,SPPR!$A:$A,0),3)),$C208*INDEX(SPPR!$E:$X,MATCH($A208,SPPR!$A:$A,0),3),""),"")</f>
        <v/>
      </c>
      <c r="G208">
        <f>IFERROR(IF(ISNUMBER(INDEX(SPPR!$E:$X,MATCH($A208,SPPR!$A:$A,0),4)),$C208*INDEX(SPPR!$E:$X,MATCH($A208,SPPR!$A:$A,0),4),""),"")</f>
        <v/>
      </c>
      <c r="H208">
        <f>IFERROR(IF(ISNUMBER(INDEX(SPPR!$E:$X,MATCH($A208,SPPR!$A:$A,0),5)),$C208*INDEX(SPPR!$E:$X,MATCH($A208,SPPR!$A:$A,0),5),""),"")</f>
        <v/>
      </c>
      <c r="I208">
        <f>IFERROR(IF(ISNUMBER(INDEX(SPPR!$E:$X,MATCH($A208,SPPR!$A:$A,0),6)),$C208*INDEX(SPPR!$E:$X,MATCH($A208,SPPR!$A:$A,0),6),""),"")</f>
        <v/>
      </c>
      <c r="J208">
        <f>IFERROR(IF(ISNUMBER(INDEX(SPPR!$E:$X,MATCH($A208,SPPR!$A:$A,0),7)),$C208*INDEX(SPPR!$E:$X,MATCH($A208,SPPR!$A:$A,0),7),""),"")</f>
        <v/>
      </c>
      <c r="K208">
        <f>IFERROR(IF(ISNUMBER(INDEX(SPPR!$E:$X,MATCH($A208,SPPR!$A:$A,0),8)),$C208*INDEX(SPPR!$E:$X,MATCH($A208,SPPR!$A:$A,0),8),""),"")</f>
        <v/>
      </c>
      <c r="L208">
        <f>IFERROR(IF(ISNUMBER(INDEX(SPPR!$E:$X,MATCH($A208,SPPR!$A:$A,0),9)),$C208*INDEX(SPPR!$E:$X,MATCH($A208,SPPR!$A:$A,0),9),""),"")</f>
        <v/>
      </c>
      <c r="M208">
        <f>IFERROR(IF(ISNUMBER(INDEX(SPPR!$E:$X,MATCH($A208,SPPR!$A:$A,0),10)),$C208*INDEX(SPPR!$E:$X,MATCH($A208,SPPR!$A:$A,0),10),""),"")</f>
        <v/>
      </c>
      <c r="N208">
        <f>IFERROR(IF(ISNUMBER(INDEX(SPPR!$E:$X,MATCH($A208,SPPR!$A:$A,0),11)),$C208*INDEX(SPPR!$E:$X,MATCH($A208,SPPR!$A:$A,0),11),""),"")</f>
        <v/>
      </c>
      <c r="O208">
        <f>IFERROR(IF(ISNUMBER(INDEX(SPPR!$E:$X,MATCH($A208,SPPR!$A:$A,0),12)),$C208*INDEX(SPPR!$E:$X,MATCH($A208,SPPR!$A:$A,0),12),""),"")</f>
        <v/>
      </c>
      <c r="P208">
        <f>IFERROR(IF(ISNUMBER(INDEX(SPPR!$E:$X,MATCH($A208,SPPR!$A:$A,0),13)),$C208*INDEX(SPPR!$E:$X,MATCH($A208,SPPR!$A:$A,0),13),""),"")</f>
        <v/>
      </c>
      <c r="Q208">
        <f>IFERROR(IF(ISNUMBER(INDEX(SPPR!$E:$X,MATCH($A208,SPPR!$A:$A,0),14)),$C208*INDEX(SPPR!$E:$X,MATCH($A208,SPPR!$A:$A,0),14),""),"")</f>
        <v/>
      </c>
      <c r="R208">
        <f>IFERROR(IF(ISNUMBER(INDEX(SPPR!$E:$X,MATCH($A208,SPPR!$A:$A,0),15)),$C208*INDEX(SPPR!$E:$X,MATCH($A208,SPPR!$A:$A,0),15),""),"")</f>
        <v/>
      </c>
      <c r="S208">
        <f>IFERROR(IF(ISNUMBER(INDEX(SPPR!$E:$X,MATCH($A208,SPPR!$A:$A,0),16)),$C208*INDEX(SPPR!$E:$X,MATCH($A208,SPPR!$A:$A,0),16),""),"")</f>
        <v/>
      </c>
      <c r="T208">
        <f>IFERROR(IF(ISNUMBER(INDEX(SPPR!$E:$X,MATCH($A208,SPPR!$A:$A,0),17)),$C208*INDEX(SPPR!$E:$X,MATCH($A208,SPPR!$A:$A,0),17),""),"")</f>
        <v/>
      </c>
      <c r="U208">
        <f>IFERROR(IF(ISNUMBER(INDEX(SPPR!$E:$X,MATCH($A208,SPPR!$A:$A,0),18)),$C208*INDEX(SPPR!$E:$X,MATCH($A208,SPPR!$A:$A,0),18),""),"")</f>
        <v/>
      </c>
      <c r="V208">
        <f>IFERROR(IF(ISNUMBER(INDEX(SPPR!$E:$X,MATCH($A208,SPPR!$A:$A,0),19)),$C208*INDEX(SPPR!$E:$X,MATCH($A208,SPPR!$A:$A,0),19),""),"")</f>
        <v/>
      </c>
      <c r="W208">
        <f>IFERROR(IF(ISNUMBER(INDEX(SPPR!$E:$X,MATCH($A208,SPPR!$A:$A,0),20)),$C208*INDEX(SPPR!$E:$X,MATCH($A208,SPPR!$A:$A,0),20),""),"")</f>
        <v/>
      </c>
    </row>
    <row r="209">
      <c r="A209" t="inlineStr">
        <is>
          <t>Leucoraja circularis</t>
        </is>
      </c>
      <c r="B209">
        <f>IFERROR(INDEX(SPPR!$D:$D,MATCH($A209,SPPR!$A:$A,0)),"")</f>
        <v/>
      </c>
      <c r="C209">
        <f>IFERROR(INDEX(Catch!$E:$BV,MATCH($A209,Catch!$A:$A,0),MATCH($B$4,Catch!$E$1:$BV$1,0)),0)</f>
        <v/>
      </c>
      <c r="D209">
        <f>IFERROR(IF(ISNUMBER(INDEX(SPPR!$E:$X,MATCH($A209,SPPR!$A:$A,0),1)),$C209*INDEX(SPPR!$E:$X,MATCH($A209,SPPR!$A:$A,0),1),""),"")</f>
        <v/>
      </c>
      <c r="E209">
        <f>IFERROR(IF(ISNUMBER(INDEX(SPPR!$E:$X,MATCH($A209,SPPR!$A:$A,0),2)),$C209*INDEX(SPPR!$E:$X,MATCH($A209,SPPR!$A:$A,0),2),""),"")</f>
        <v/>
      </c>
      <c r="F209">
        <f>IFERROR(IF(ISNUMBER(INDEX(SPPR!$E:$X,MATCH($A209,SPPR!$A:$A,0),3)),$C209*INDEX(SPPR!$E:$X,MATCH($A209,SPPR!$A:$A,0),3),""),"")</f>
        <v/>
      </c>
      <c r="G209">
        <f>IFERROR(IF(ISNUMBER(INDEX(SPPR!$E:$X,MATCH($A209,SPPR!$A:$A,0),4)),$C209*INDEX(SPPR!$E:$X,MATCH($A209,SPPR!$A:$A,0),4),""),"")</f>
        <v/>
      </c>
      <c r="H209">
        <f>IFERROR(IF(ISNUMBER(INDEX(SPPR!$E:$X,MATCH($A209,SPPR!$A:$A,0),5)),$C209*INDEX(SPPR!$E:$X,MATCH($A209,SPPR!$A:$A,0),5),""),"")</f>
        <v/>
      </c>
      <c r="I209">
        <f>IFERROR(IF(ISNUMBER(INDEX(SPPR!$E:$X,MATCH($A209,SPPR!$A:$A,0),6)),$C209*INDEX(SPPR!$E:$X,MATCH($A209,SPPR!$A:$A,0),6),""),"")</f>
        <v/>
      </c>
      <c r="J209">
        <f>IFERROR(IF(ISNUMBER(INDEX(SPPR!$E:$X,MATCH($A209,SPPR!$A:$A,0),7)),$C209*INDEX(SPPR!$E:$X,MATCH($A209,SPPR!$A:$A,0),7),""),"")</f>
        <v/>
      </c>
      <c r="K209">
        <f>IFERROR(IF(ISNUMBER(INDEX(SPPR!$E:$X,MATCH($A209,SPPR!$A:$A,0),8)),$C209*INDEX(SPPR!$E:$X,MATCH($A209,SPPR!$A:$A,0),8),""),"")</f>
        <v/>
      </c>
      <c r="L209">
        <f>IFERROR(IF(ISNUMBER(INDEX(SPPR!$E:$X,MATCH($A209,SPPR!$A:$A,0),9)),$C209*INDEX(SPPR!$E:$X,MATCH($A209,SPPR!$A:$A,0),9),""),"")</f>
        <v/>
      </c>
      <c r="M209">
        <f>IFERROR(IF(ISNUMBER(INDEX(SPPR!$E:$X,MATCH($A209,SPPR!$A:$A,0),10)),$C209*INDEX(SPPR!$E:$X,MATCH($A209,SPPR!$A:$A,0),10),""),"")</f>
        <v/>
      </c>
      <c r="N209">
        <f>IFERROR(IF(ISNUMBER(INDEX(SPPR!$E:$X,MATCH($A209,SPPR!$A:$A,0),11)),$C209*INDEX(SPPR!$E:$X,MATCH($A209,SPPR!$A:$A,0),11),""),"")</f>
        <v/>
      </c>
      <c r="O209">
        <f>IFERROR(IF(ISNUMBER(INDEX(SPPR!$E:$X,MATCH($A209,SPPR!$A:$A,0),12)),$C209*INDEX(SPPR!$E:$X,MATCH($A209,SPPR!$A:$A,0),12),""),"")</f>
        <v/>
      </c>
      <c r="P209">
        <f>IFERROR(IF(ISNUMBER(INDEX(SPPR!$E:$X,MATCH($A209,SPPR!$A:$A,0),13)),$C209*INDEX(SPPR!$E:$X,MATCH($A209,SPPR!$A:$A,0),13),""),"")</f>
        <v/>
      </c>
      <c r="Q209">
        <f>IFERROR(IF(ISNUMBER(INDEX(SPPR!$E:$X,MATCH($A209,SPPR!$A:$A,0),14)),$C209*INDEX(SPPR!$E:$X,MATCH($A209,SPPR!$A:$A,0),14),""),"")</f>
        <v/>
      </c>
      <c r="R209">
        <f>IFERROR(IF(ISNUMBER(INDEX(SPPR!$E:$X,MATCH($A209,SPPR!$A:$A,0),15)),$C209*INDEX(SPPR!$E:$X,MATCH($A209,SPPR!$A:$A,0),15),""),"")</f>
        <v/>
      </c>
      <c r="S209">
        <f>IFERROR(IF(ISNUMBER(INDEX(SPPR!$E:$X,MATCH($A209,SPPR!$A:$A,0),16)),$C209*INDEX(SPPR!$E:$X,MATCH($A209,SPPR!$A:$A,0),16),""),"")</f>
        <v/>
      </c>
      <c r="T209">
        <f>IFERROR(IF(ISNUMBER(INDEX(SPPR!$E:$X,MATCH($A209,SPPR!$A:$A,0),17)),$C209*INDEX(SPPR!$E:$X,MATCH($A209,SPPR!$A:$A,0),17),""),"")</f>
        <v/>
      </c>
      <c r="U209">
        <f>IFERROR(IF(ISNUMBER(INDEX(SPPR!$E:$X,MATCH($A209,SPPR!$A:$A,0),18)),$C209*INDEX(SPPR!$E:$X,MATCH($A209,SPPR!$A:$A,0),18),""),"")</f>
        <v/>
      </c>
      <c r="V209">
        <f>IFERROR(IF(ISNUMBER(INDEX(SPPR!$E:$X,MATCH($A209,SPPR!$A:$A,0),19)),$C209*INDEX(SPPR!$E:$X,MATCH($A209,SPPR!$A:$A,0),19),""),"")</f>
        <v/>
      </c>
      <c r="W209">
        <f>IFERROR(IF(ISNUMBER(INDEX(SPPR!$E:$X,MATCH($A209,SPPR!$A:$A,0),20)),$C209*INDEX(SPPR!$E:$X,MATCH($A209,SPPR!$A:$A,0),20),""),"")</f>
        <v/>
      </c>
    </row>
    <row r="210">
      <c r="A210" t="inlineStr">
        <is>
          <t>Meganyctiphanes norvegica</t>
        </is>
      </c>
      <c r="B210">
        <f>IFERROR(INDEX(SPPR!$D:$D,MATCH($A210,SPPR!$A:$A,0)),"")</f>
        <v/>
      </c>
      <c r="C210">
        <f>IFERROR(INDEX(Catch!$E:$BV,MATCH($A210,Catch!$A:$A,0),MATCH($B$4,Catch!$E$1:$BV$1,0)),0)</f>
        <v/>
      </c>
      <c r="D210">
        <f>IFERROR(IF(ISNUMBER(INDEX(SPPR!$E:$X,MATCH($A210,SPPR!$A:$A,0),1)),$C210*INDEX(SPPR!$E:$X,MATCH($A210,SPPR!$A:$A,0),1),""),"")</f>
        <v/>
      </c>
      <c r="E210">
        <f>IFERROR(IF(ISNUMBER(INDEX(SPPR!$E:$X,MATCH($A210,SPPR!$A:$A,0),2)),$C210*INDEX(SPPR!$E:$X,MATCH($A210,SPPR!$A:$A,0),2),""),"")</f>
        <v/>
      </c>
      <c r="F210">
        <f>IFERROR(IF(ISNUMBER(INDEX(SPPR!$E:$X,MATCH($A210,SPPR!$A:$A,0),3)),$C210*INDEX(SPPR!$E:$X,MATCH($A210,SPPR!$A:$A,0),3),""),"")</f>
        <v/>
      </c>
      <c r="G210">
        <f>IFERROR(IF(ISNUMBER(INDEX(SPPR!$E:$X,MATCH($A210,SPPR!$A:$A,0),4)),$C210*INDEX(SPPR!$E:$X,MATCH($A210,SPPR!$A:$A,0),4),""),"")</f>
        <v/>
      </c>
      <c r="H210">
        <f>IFERROR(IF(ISNUMBER(INDEX(SPPR!$E:$X,MATCH($A210,SPPR!$A:$A,0),5)),$C210*INDEX(SPPR!$E:$X,MATCH($A210,SPPR!$A:$A,0),5),""),"")</f>
        <v/>
      </c>
      <c r="I210">
        <f>IFERROR(IF(ISNUMBER(INDEX(SPPR!$E:$X,MATCH($A210,SPPR!$A:$A,0),6)),$C210*INDEX(SPPR!$E:$X,MATCH($A210,SPPR!$A:$A,0),6),""),"")</f>
        <v/>
      </c>
      <c r="J210">
        <f>IFERROR(IF(ISNUMBER(INDEX(SPPR!$E:$X,MATCH($A210,SPPR!$A:$A,0),7)),$C210*INDEX(SPPR!$E:$X,MATCH($A210,SPPR!$A:$A,0),7),""),"")</f>
        <v/>
      </c>
      <c r="K210">
        <f>IFERROR(IF(ISNUMBER(INDEX(SPPR!$E:$X,MATCH($A210,SPPR!$A:$A,0),8)),$C210*INDEX(SPPR!$E:$X,MATCH($A210,SPPR!$A:$A,0),8),""),"")</f>
        <v/>
      </c>
      <c r="L210">
        <f>IFERROR(IF(ISNUMBER(INDEX(SPPR!$E:$X,MATCH($A210,SPPR!$A:$A,0),9)),$C210*INDEX(SPPR!$E:$X,MATCH($A210,SPPR!$A:$A,0),9),""),"")</f>
        <v/>
      </c>
      <c r="M210">
        <f>IFERROR(IF(ISNUMBER(INDEX(SPPR!$E:$X,MATCH($A210,SPPR!$A:$A,0),10)),$C210*INDEX(SPPR!$E:$X,MATCH($A210,SPPR!$A:$A,0),10),""),"")</f>
        <v/>
      </c>
      <c r="N210">
        <f>IFERROR(IF(ISNUMBER(INDEX(SPPR!$E:$X,MATCH($A210,SPPR!$A:$A,0),11)),$C210*INDEX(SPPR!$E:$X,MATCH($A210,SPPR!$A:$A,0),11),""),"")</f>
        <v/>
      </c>
      <c r="O210">
        <f>IFERROR(IF(ISNUMBER(INDEX(SPPR!$E:$X,MATCH($A210,SPPR!$A:$A,0),12)),$C210*INDEX(SPPR!$E:$X,MATCH($A210,SPPR!$A:$A,0),12),""),"")</f>
        <v/>
      </c>
      <c r="P210">
        <f>IFERROR(IF(ISNUMBER(INDEX(SPPR!$E:$X,MATCH($A210,SPPR!$A:$A,0),13)),$C210*INDEX(SPPR!$E:$X,MATCH($A210,SPPR!$A:$A,0),13),""),"")</f>
        <v/>
      </c>
      <c r="Q210">
        <f>IFERROR(IF(ISNUMBER(INDEX(SPPR!$E:$X,MATCH($A210,SPPR!$A:$A,0),14)),$C210*INDEX(SPPR!$E:$X,MATCH($A210,SPPR!$A:$A,0),14),""),"")</f>
        <v/>
      </c>
      <c r="R210">
        <f>IFERROR(IF(ISNUMBER(INDEX(SPPR!$E:$X,MATCH($A210,SPPR!$A:$A,0),15)),$C210*INDEX(SPPR!$E:$X,MATCH($A210,SPPR!$A:$A,0),15),""),"")</f>
        <v/>
      </c>
      <c r="S210">
        <f>IFERROR(IF(ISNUMBER(INDEX(SPPR!$E:$X,MATCH($A210,SPPR!$A:$A,0),16)),$C210*INDEX(SPPR!$E:$X,MATCH($A210,SPPR!$A:$A,0),16),""),"")</f>
        <v/>
      </c>
      <c r="T210">
        <f>IFERROR(IF(ISNUMBER(INDEX(SPPR!$E:$X,MATCH($A210,SPPR!$A:$A,0),17)),$C210*INDEX(SPPR!$E:$X,MATCH($A210,SPPR!$A:$A,0),17),""),"")</f>
        <v/>
      </c>
      <c r="U210">
        <f>IFERROR(IF(ISNUMBER(INDEX(SPPR!$E:$X,MATCH($A210,SPPR!$A:$A,0),18)),$C210*INDEX(SPPR!$E:$X,MATCH($A210,SPPR!$A:$A,0),18),""),"")</f>
        <v/>
      </c>
      <c r="V210">
        <f>IFERROR(IF(ISNUMBER(INDEX(SPPR!$E:$X,MATCH($A210,SPPR!$A:$A,0),19)),$C210*INDEX(SPPR!$E:$X,MATCH($A210,SPPR!$A:$A,0),19),""),"")</f>
        <v/>
      </c>
      <c r="W210">
        <f>IFERROR(IF(ISNUMBER(INDEX(SPPR!$E:$X,MATCH($A210,SPPR!$A:$A,0),20)),$C210*INDEX(SPPR!$E:$X,MATCH($A210,SPPR!$A:$A,0),20),""),"")</f>
        <v/>
      </c>
    </row>
    <row r="211">
      <c r="A211" t="inlineStr">
        <is>
          <t>Mya arenaria</t>
        </is>
      </c>
      <c r="B211">
        <f>IFERROR(INDEX(SPPR!$D:$D,MATCH($A211,SPPR!$A:$A,0)),"")</f>
        <v/>
      </c>
      <c r="C211">
        <f>IFERROR(INDEX(Catch!$E:$BV,MATCH($A211,Catch!$A:$A,0),MATCH($B$4,Catch!$E$1:$BV$1,0)),0)</f>
        <v/>
      </c>
      <c r="D211">
        <f>IFERROR(IF(ISNUMBER(INDEX(SPPR!$E:$X,MATCH($A211,SPPR!$A:$A,0),1)),$C211*INDEX(SPPR!$E:$X,MATCH($A211,SPPR!$A:$A,0),1),""),"")</f>
        <v/>
      </c>
      <c r="E211">
        <f>IFERROR(IF(ISNUMBER(INDEX(SPPR!$E:$X,MATCH($A211,SPPR!$A:$A,0),2)),$C211*INDEX(SPPR!$E:$X,MATCH($A211,SPPR!$A:$A,0),2),""),"")</f>
        <v/>
      </c>
      <c r="F211">
        <f>IFERROR(IF(ISNUMBER(INDEX(SPPR!$E:$X,MATCH($A211,SPPR!$A:$A,0),3)),$C211*INDEX(SPPR!$E:$X,MATCH($A211,SPPR!$A:$A,0),3),""),"")</f>
        <v/>
      </c>
      <c r="G211">
        <f>IFERROR(IF(ISNUMBER(INDEX(SPPR!$E:$X,MATCH($A211,SPPR!$A:$A,0),4)),$C211*INDEX(SPPR!$E:$X,MATCH($A211,SPPR!$A:$A,0),4),""),"")</f>
        <v/>
      </c>
      <c r="H211">
        <f>IFERROR(IF(ISNUMBER(INDEX(SPPR!$E:$X,MATCH($A211,SPPR!$A:$A,0),5)),$C211*INDEX(SPPR!$E:$X,MATCH($A211,SPPR!$A:$A,0),5),""),"")</f>
        <v/>
      </c>
      <c r="I211">
        <f>IFERROR(IF(ISNUMBER(INDEX(SPPR!$E:$X,MATCH($A211,SPPR!$A:$A,0),6)),$C211*INDEX(SPPR!$E:$X,MATCH($A211,SPPR!$A:$A,0),6),""),"")</f>
        <v/>
      </c>
      <c r="J211">
        <f>IFERROR(IF(ISNUMBER(INDEX(SPPR!$E:$X,MATCH($A211,SPPR!$A:$A,0),7)),$C211*INDEX(SPPR!$E:$X,MATCH($A211,SPPR!$A:$A,0),7),""),"")</f>
        <v/>
      </c>
      <c r="K211">
        <f>IFERROR(IF(ISNUMBER(INDEX(SPPR!$E:$X,MATCH($A211,SPPR!$A:$A,0),8)),$C211*INDEX(SPPR!$E:$X,MATCH($A211,SPPR!$A:$A,0),8),""),"")</f>
        <v/>
      </c>
      <c r="L211">
        <f>IFERROR(IF(ISNUMBER(INDEX(SPPR!$E:$X,MATCH($A211,SPPR!$A:$A,0),9)),$C211*INDEX(SPPR!$E:$X,MATCH($A211,SPPR!$A:$A,0),9),""),"")</f>
        <v/>
      </c>
      <c r="M211">
        <f>IFERROR(IF(ISNUMBER(INDEX(SPPR!$E:$X,MATCH($A211,SPPR!$A:$A,0),10)),$C211*INDEX(SPPR!$E:$X,MATCH($A211,SPPR!$A:$A,0),10),""),"")</f>
        <v/>
      </c>
      <c r="N211">
        <f>IFERROR(IF(ISNUMBER(INDEX(SPPR!$E:$X,MATCH($A211,SPPR!$A:$A,0),11)),$C211*INDEX(SPPR!$E:$X,MATCH($A211,SPPR!$A:$A,0),11),""),"")</f>
        <v/>
      </c>
      <c r="O211">
        <f>IFERROR(IF(ISNUMBER(INDEX(SPPR!$E:$X,MATCH($A211,SPPR!$A:$A,0),12)),$C211*INDEX(SPPR!$E:$X,MATCH($A211,SPPR!$A:$A,0),12),""),"")</f>
        <v/>
      </c>
      <c r="P211">
        <f>IFERROR(IF(ISNUMBER(INDEX(SPPR!$E:$X,MATCH($A211,SPPR!$A:$A,0),13)),$C211*INDEX(SPPR!$E:$X,MATCH($A211,SPPR!$A:$A,0),13),""),"")</f>
        <v/>
      </c>
      <c r="Q211">
        <f>IFERROR(IF(ISNUMBER(INDEX(SPPR!$E:$X,MATCH($A211,SPPR!$A:$A,0),14)),$C211*INDEX(SPPR!$E:$X,MATCH($A211,SPPR!$A:$A,0),14),""),"")</f>
        <v/>
      </c>
      <c r="R211">
        <f>IFERROR(IF(ISNUMBER(INDEX(SPPR!$E:$X,MATCH($A211,SPPR!$A:$A,0),15)),$C211*INDEX(SPPR!$E:$X,MATCH($A211,SPPR!$A:$A,0),15),""),"")</f>
        <v/>
      </c>
      <c r="S211">
        <f>IFERROR(IF(ISNUMBER(INDEX(SPPR!$E:$X,MATCH($A211,SPPR!$A:$A,0),16)),$C211*INDEX(SPPR!$E:$X,MATCH($A211,SPPR!$A:$A,0),16),""),"")</f>
        <v/>
      </c>
      <c r="T211">
        <f>IFERROR(IF(ISNUMBER(INDEX(SPPR!$E:$X,MATCH($A211,SPPR!$A:$A,0),17)),$C211*INDEX(SPPR!$E:$X,MATCH($A211,SPPR!$A:$A,0),17),""),"")</f>
        <v/>
      </c>
      <c r="U211">
        <f>IFERROR(IF(ISNUMBER(INDEX(SPPR!$E:$X,MATCH($A211,SPPR!$A:$A,0),18)),$C211*INDEX(SPPR!$E:$X,MATCH($A211,SPPR!$A:$A,0),18),""),"")</f>
        <v/>
      </c>
      <c r="V211">
        <f>IFERROR(IF(ISNUMBER(INDEX(SPPR!$E:$X,MATCH($A211,SPPR!$A:$A,0),19)),$C211*INDEX(SPPR!$E:$X,MATCH($A211,SPPR!$A:$A,0),19),""),"")</f>
        <v/>
      </c>
      <c r="W211">
        <f>IFERROR(IF(ISNUMBER(INDEX(SPPR!$E:$X,MATCH($A211,SPPR!$A:$A,0),20)),$C211*INDEX(SPPR!$E:$X,MATCH($A211,SPPR!$A:$A,0),20),""),"")</f>
        <v/>
      </c>
    </row>
    <row r="212">
      <c r="A212" t="inlineStr">
        <is>
          <t>Osteichthyes</t>
        </is>
      </c>
      <c r="B212">
        <f>IFERROR(INDEX(SPPR!$D:$D,MATCH($A212,SPPR!$A:$A,0)),"")</f>
        <v/>
      </c>
      <c r="C212">
        <f>IFERROR(INDEX(Catch!$E:$BV,MATCH($A212,Catch!$A:$A,0),MATCH($B$4,Catch!$E$1:$BV$1,0)),0)</f>
        <v/>
      </c>
      <c r="D212">
        <f>IFERROR(IF(ISNUMBER(INDEX(SPPR!$E:$X,MATCH($A212,SPPR!$A:$A,0),1)),$C212*INDEX(SPPR!$E:$X,MATCH($A212,SPPR!$A:$A,0),1),""),"")</f>
        <v/>
      </c>
      <c r="E212">
        <f>IFERROR(IF(ISNUMBER(INDEX(SPPR!$E:$X,MATCH($A212,SPPR!$A:$A,0),2)),$C212*INDEX(SPPR!$E:$X,MATCH($A212,SPPR!$A:$A,0),2),""),"")</f>
        <v/>
      </c>
      <c r="F212">
        <f>IFERROR(IF(ISNUMBER(INDEX(SPPR!$E:$X,MATCH($A212,SPPR!$A:$A,0),3)),$C212*INDEX(SPPR!$E:$X,MATCH($A212,SPPR!$A:$A,0),3),""),"")</f>
        <v/>
      </c>
      <c r="G212">
        <f>IFERROR(IF(ISNUMBER(INDEX(SPPR!$E:$X,MATCH($A212,SPPR!$A:$A,0),4)),$C212*INDEX(SPPR!$E:$X,MATCH($A212,SPPR!$A:$A,0),4),""),"")</f>
        <v/>
      </c>
      <c r="H212">
        <f>IFERROR(IF(ISNUMBER(INDEX(SPPR!$E:$X,MATCH($A212,SPPR!$A:$A,0),5)),$C212*INDEX(SPPR!$E:$X,MATCH($A212,SPPR!$A:$A,0),5),""),"")</f>
        <v/>
      </c>
      <c r="I212">
        <f>IFERROR(IF(ISNUMBER(INDEX(SPPR!$E:$X,MATCH($A212,SPPR!$A:$A,0),6)),$C212*INDEX(SPPR!$E:$X,MATCH($A212,SPPR!$A:$A,0),6),""),"")</f>
        <v/>
      </c>
      <c r="J212">
        <f>IFERROR(IF(ISNUMBER(INDEX(SPPR!$E:$X,MATCH($A212,SPPR!$A:$A,0),7)),$C212*INDEX(SPPR!$E:$X,MATCH($A212,SPPR!$A:$A,0),7),""),"")</f>
        <v/>
      </c>
      <c r="K212">
        <f>IFERROR(IF(ISNUMBER(INDEX(SPPR!$E:$X,MATCH($A212,SPPR!$A:$A,0),8)),$C212*INDEX(SPPR!$E:$X,MATCH($A212,SPPR!$A:$A,0),8),""),"")</f>
        <v/>
      </c>
      <c r="L212">
        <f>IFERROR(IF(ISNUMBER(INDEX(SPPR!$E:$X,MATCH($A212,SPPR!$A:$A,0),9)),$C212*INDEX(SPPR!$E:$X,MATCH($A212,SPPR!$A:$A,0),9),""),"")</f>
        <v/>
      </c>
      <c r="M212">
        <f>IFERROR(IF(ISNUMBER(INDEX(SPPR!$E:$X,MATCH($A212,SPPR!$A:$A,0),10)),$C212*INDEX(SPPR!$E:$X,MATCH($A212,SPPR!$A:$A,0),10),""),"")</f>
        <v/>
      </c>
      <c r="N212">
        <f>IFERROR(IF(ISNUMBER(INDEX(SPPR!$E:$X,MATCH($A212,SPPR!$A:$A,0),11)),$C212*INDEX(SPPR!$E:$X,MATCH($A212,SPPR!$A:$A,0),11),""),"")</f>
        <v/>
      </c>
      <c r="O212">
        <f>IFERROR(IF(ISNUMBER(INDEX(SPPR!$E:$X,MATCH($A212,SPPR!$A:$A,0),12)),$C212*INDEX(SPPR!$E:$X,MATCH($A212,SPPR!$A:$A,0),12),""),"")</f>
        <v/>
      </c>
      <c r="P212">
        <f>IFERROR(IF(ISNUMBER(INDEX(SPPR!$E:$X,MATCH($A212,SPPR!$A:$A,0),13)),$C212*INDEX(SPPR!$E:$X,MATCH($A212,SPPR!$A:$A,0),13),""),"")</f>
        <v/>
      </c>
      <c r="Q212">
        <f>IFERROR(IF(ISNUMBER(INDEX(SPPR!$E:$X,MATCH($A212,SPPR!$A:$A,0),14)),$C212*INDEX(SPPR!$E:$X,MATCH($A212,SPPR!$A:$A,0),14),""),"")</f>
        <v/>
      </c>
      <c r="R212">
        <f>IFERROR(IF(ISNUMBER(INDEX(SPPR!$E:$X,MATCH($A212,SPPR!$A:$A,0),15)),$C212*INDEX(SPPR!$E:$X,MATCH($A212,SPPR!$A:$A,0),15),""),"")</f>
        <v/>
      </c>
      <c r="S212">
        <f>IFERROR(IF(ISNUMBER(INDEX(SPPR!$E:$X,MATCH($A212,SPPR!$A:$A,0),16)),$C212*INDEX(SPPR!$E:$X,MATCH($A212,SPPR!$A:$A,0),16),""),"")</f>
        <v/>
      </c>
      <c r="T212">
        <f>IFERROR(IF(ISNUMBER(INDEX(SPPR!$E:$X,MATCH($A212,SPPR!$A:$A,0),17)),$C212*INDEX(SPPR!$E:$X,MATCH($A212,SPPR!$A:$A,0),17),""),"")</f>
        <v/>
      </c>
      <c r="U212">
        <f>IFERROR(IF(ISNUMBER(INDEX(SPPR!$E:$X,MATCH($A212,SPPR!$A:$A,0),18)),$C212*INDEX(SPPR!$E:$X,MATCH($A212,SPPR!$A:$A,0),18),""),"")</f>
        <v/>
      </c>
      <c r="V212">
        <f>IFERROR(IF(ISNUMBER(INDEX(SPPR!$E:$X,MATCH($A212,SPPR!$A:$A,0),19)),$C212*INDEX(SPPR!$E:$X,MATCH($A212,SPPR!$A:$A,0),19),""),"")</f>
        <v/>
      </c>
      <c r="W212">
        <f>IFERROR(IF(ISNUMBER(INDEX(SPPR!$E:$X,MATCH($A212,SPPR!$A:$A,0),20)),$C212*INDEX(SPPR!$E:$X,MATCH($A212,SPPR!$A:$A,0),20),""),"")</f>
        <v/>
      </c>
    </row>
    <row r="213">
      <c r="A213" t="inlineStr">
        <is>
          <t>Octopoda</t>
        </is>
      </c>
      <c r="B213">
        <f>IFERROR(INDEX(SPPR!$D:$D,MATCH($A213,SPPR!$A:$A,0)),"")</f>
        <v/>
      </c>
      <c r="C213">
        <f>IFERROR(INDEX(Catch!$E:$BV,MATCH($A213,Catch!$A:$A,0),MATCH($B$4,Catch!$E$1:$BV$1,0)),0)</f>
        <v/>
      </c>
      <c r="D213">
        <f>IFERROR(IF(ISNUMBER(INDEX(SPPR!$E:$X,MATCH($A213,SPPR!$A:$A,0),1)),$C213*INDEX(SPPR!$E:$X,MATCH($A213,SPPR!$A:$A,0),1),""),"")</f>
        <v/>
      </c>
      <c r="E213">
        <f>IFERROR(IF(ISNUMBER(INDEX(SPPR!$E:$X,MATCH($A213,SPPR!$A:$A,0),2)),$C213*INDEX(SPPR!$E:$X,MATCH($A213,SPPR!$A:$A,0),2),""),"")</f>
        <v/>
      </c>
      <c r="F213">
        <f>IFERROR(IF(ISNUMBER(INDEX(SPPR!$E:$X,MATCH($A213,SPPR!$A:$A,0),3)),$C213*INDEX(SPPR!$E:$X,MATCH($A213,SPPR!$A:$A,0),3),""),"")</f>
        <v/>
      </c>
      <c r="G213">
        <f>IFERROR(IF(ISNUMBER(INDEX(SPPR!$E:$X,MATCH($A213,SPPR!$A:$A,0),4)),$C213*INDEX(SPPR!$E:$X,MATCH($A213,SPPR!$A:$A,0),4),""),"")</f>
        <v/>
      </c>
      <c r="H213">
        <f>IFERROR(IF(ISNUMBER(INDEX(SPPR!$E:$X,MATCH($A213,SPPR!$A:$A,0),5)),$C213*INDEX(SPPR!$E:$X,MATCH($A213,SPPR!$A:$A,0),5),""),"")</f>
        <v/>
      </c>
      <c r="I213">
        <f>IFERROR(IF(ISNUMBER(INDEX(SPPR!$E:$X,MATCH($A213,SPPR!$A:$A,0),6)),$C213*INDEX(SPPR!$E:$X,MATCH($A213,SPPR!$A:$A,0),6),""),"")</f>
        <v/>
      </c>
      <c r="J213">
        <f>IFERROR(IF(ISNUMBER(INDEX(SPPR!$E:$X,MATCH($A213,SPPR!$A:$A,0),7)),$C213*INDEX(SPPR!$E:$X,MATCH($A213,SPPR!$A:$A,0),7),""),"")</f>
        <v/>
      </c>
      <c r="K213">
        <f>IFERROR(IF(ISNUMBER(INDEX(SPPR!$E:$X,MATCH($A213,SPPR!$A:$A,0),8)),$C213*INDEX(SPPR!$E:$X,MATCH($A213,SPPR!$A:$A,0),8),""),"")</f>
        <v/>
      </c>
      <c r="L213">
        <f>IFERROR(IF(ISNUMBER(INDEX(SPPR!$E:$X,MATCH($A213,SPPR!$A:$A,0),9)),$C213*INDEX(SPPR!$E:$X,MATCH($A213,SPPR!$A:$A,0),9),""),"")</f>
        <v/>
      </c>
      <c r="M213">
        <f>IFERROR(IF(ISNUMBER(INDEX(SPPR!$E:$X,MATCH($A213,SPPR!$A:$A,0),10)),$C213*INDEX(SPPR!$E:$X,MATCH($A213,SPPR!$A:$A,0),10),""),"")</f>
        <v/>
      </c>
      <c r="N213">
        <f>IFERROR(IF(ISNUMBER(INDEX(SPPR!$E:$X,MATCH($A213,SPPR!$A:$A,0),11)),$C213*INDEX(SPPR!$E:$X,MATCH($A213,SPPR!$A:$A,0),11),""),"")</f>
        <v/>
      </c>
      <c r="O213">
        <f>IFERROR(IF(ISNUMBER(INDEX(SPPR!$E:$X,MATCH($A213,SPPR!$A:$A,0),12)),$C213*INDEX(SPPR!$E:$X,MATCH($A213,SPPR!$A:$A,0),12),""),"")</f>
        <v/>
      </c>
      <c r="P213">
        <f>IFERROR(IF(ISNUMBER(INDEX(SPPR!$E:$X,MATCH($A213,SPPR!$A:$A,0),13)),$C213*INDEX(SPPR!$E:$X,MATCH($A213,SPPR!$A:$A,0),13),""),"")</f>
        <v/>
      </c>
      <c r="Q213">
        <f>IFERROR(IF(ISNUMBER(INDEX(SPPR!$E:$X,MATCH($A213,SPPR!$A:$A,0),14)),$C213*INDEX(SPPR!$E:$X,MATCH($A213,SPPR!$A:$A,0),14),""),"")</f>
        <v/>
      </c>
      <c r="R213">
        <f>IFERROR(IF(ISNUMBER(INDEX(SPPR!$E:$X,MATCH($A213,SPPR!$A:$A,0),15)),$C213*INDEX(SPPR!$E:$X,MATCH($A213,SPPR!$A:$A,0),15),""),"")</f>
        <v/>
      </c>
      <c r="S213">
        <f>IFERROR(IF(ISNUMBER(INDEX(SPPR!$E:$X,MATCH($A213,SPPR!$A:$A,0),16)),$C213*INDEX(SPPR!$E:$X,MATCH($A213,SPPR!$A:$A,0),16),""),"")</f>
        <v/>
      </c>
      <c r="T213">
        <f>IFERROR(IF(ISNUMBER(INDEX(SPPR!$E:$X,MATCH($A213,SPPR!$A:$A,0),17)),$C213*INDEX(SPPR!$E:$X,MATCH($A213,SPPR!$A:$A,0),17),""),"")</f>
        <v/>
      </c>
      <c r="U213">
        <f>IFERROR(IF(ISNUMBER(INDEX(SPPR!$E:$X,MATCH($A213,SPPR!$A:$A,0),18)),$C213*INDEX(SPPR!$E:$X,MATCH($A213,SPPR!$A:$A,0),18),""),"")</f>
        <v/>
      </c>
      <c r="V213">
        <f>IFERROR(IF(ISNUMBER(INDEX(SPPR!$E:$X,MATCH($A213,SPPR!$A:$A,0),19)),$C213*INDEX(SPPR!$E:$X,MATCH($A213,SPPR!$A:$A,0),19),""),"")</f>
        <v/>
      </c>
      <c r="W213">
        <f>IFERROR(IF(ISNUMBER(INDEX(SPPR!$E:$X,MATCH($A213,SPPR!$A:$A,0),20)),$C213*INDEX(SPPR!$E:$X,MATCH($A213,SPPR!$A:$A,0),20),""),"")</f>
        <v/>
      </c>
    </row>
    <row r="214">
      <c r="A214" t="inlineStr">
        <is>
          <t>Scorpaeniformes</t>
        </is>
      </c>
      <c r="B214">
        <f>IFERROR(INDEX(SPPR!$D:$D,MATCH($A214,SPPR!$A:$A,0)),"")</f>
        <v/>
      </c>
      <c r="C214">
        <f>IFERROR(INDEX(Catch!$E:$BV,MATCH($A214,Catch!$A:$A,0),MATCH($B$4,Catch!$E$1:$BV$1,0)),0)</f>
        <v/>
      </c>
      <c r="D214">
        <f>IFERROR(IF(ISNUMBER(INDEX(SPPR!$E:$X,MATCH($A214,SPPR!$A:$A,0),1)),$C214*INDEX(SPPR!$E:$X,MATCH($A214,SPPR!$A:$A,0),1),""),"")</f>
        <v/>
      </c>
      <c r="E214">
        <f>IFERROR(IF(ISNUMBER(INDEX(SPPR!$E:$X,MATCH($A214,SPPR!$A:$A,0),2)),$C214*INDEX(SPPR!$E:$X,MATCH($A214,SPPR!$A:$A,0),2),""),"")</f>
        <v/>
      </c>
      <c r="F214">
        <f>IFERROR(IF(ISNUMBER(INDEX(SPPR!$E:$X,MATCH($A214,SPPR!$A:$A,0),3)),$C214*INDEX(SPPR!$E:$X,MATCH($A214,SPPR!$A:$A,0),3),""),"")</f>
        <v/>
      </c>
      <c r="G214">
        <f>IFERROR(IF(ISNUMBER(INDEX(SPPR!$E:$X,MATCH($A214,SPPR!$A:$A,0),4)),$C214*INDEX(SPPR!$E:$X,MATCH($A214,SPPR!$A:$A,0),4),""),"")</f>
        <v/>
      </c>
      <c r="H214">
        <f>IFERROR(IF(ISNUMBER(INDEX(SPPR!$E:$X,MATCH($A214,SPPR!$A:$A,0),5)),$C214*INDEX(SPPR!$E:$X,MATCH($A214,SPPR!$A:$A,0),5),""),"")</f>
        <v/>
      </c>
      <c r="I214">
        <f>IFERROR(IF(ISNUMBER(INDEX(SPPR!$E:$X,MATCH($A214,SPPR!$A:$A,0),6)),$C214*INDEX(SPPR!$E:$X,MATCH($A214,SPPR!$A:$A,0),6),""),"")</f>
        <v/>
      </c>
      <c r="J214">
        <f>IFERROR(IF(ISNUMBER(INDEX(SPPR!$E:$X,MATCH($A214,SPPR!$A:$A,0),7)),$C214*INDEX(SPPR!$E:$X,MATCH($A214,SPPR!$A:$A,0),7),""),"")</f>
        <v/>
      </c>
      <c r="K214">
        <f>IFERROR(IF(ISNUMBER(INDEX(SPPR!$E:$X,MATCH($A214,SPPR!$A:$A,0),8)),$C214*INDEX(SPPR!$E:$X,MATCH($A214,SPPR!$A:$A,0),8),""),"")</f>
        <v/>
      </c>
      <c r="L214">
        <f>IFERROR(IF(ISNUMBER(INDEX(SPPR!$E:$X,MATCH($A214,SPPR!$A:$A,0),9)),$C214*INDEX(SPPR!$E:$X,MATCH($A214,SPPR!$A:$A,0),9),""),"")</f>
        <v/>
      </c>
      <c r="M214">
        <f>IFERROR(IF(ISNUMBER(INDEX(SPPR!$E:$X,MATCH($A214,SPPR!$A:$A,0),10)),$C214*INDEX(SPPR!$E:$X,MATCH($A214,SPPR!$A:$A,0),10),""),"")</f>
        <v/>
      </c>
      <c r="N214">
        <f>IFERROR(IF(ISNUMBER(INDEX(SPPR!$E:$X,MATCH($A214,SPPR!$A:$A,0),11)),$C214*INDEX(SPPR!$E:$X,MATCH($A214,SPPR!$A:$A,0),11),""),"")</f>
        <v/>
      </c>
      <c r="O214">
        <f>IFERROR(IF(ISNUMBER(INDEX(SPPR!$E:$X,MATCH($A214,SPPR!$A:$A,0),12)),$C214*INDEX(SPPR!$E:$X,MATCH($A214,SPPR!$A:$A,0),12),""),"")</f>
        <v/>
      </c>
      <c r="P214">
        <f>IFERROR(IF(ISNUMBER(INDEX(SPPR!$E:$X,MATCH($A214,SPPR!$A:$A,0),13)),$C214*INDEX(SPPR!$E:$X,MATCH($A214,SPPR!$A:$A,0),13),""),"")</f>
        <v/>
      </c>
      <c r="Q214">
        <f>IFERROR(IF(ISNUMBER(INDEX(SPPR!$E:$X,MATCH($A214,SPPR!$A:$A,0),14)),$C214*INDEX(SPPR!$E:$X,MATCH($A214,SPPR!$A:$A,0),14),""),"")</f>
        <v/>
      </c>
      <c r="R214">
        <f>IFERROR(IF(ISNUMBER(INDEX(SPPR!$E:$X,MATCH($A214,SPPR!$A:$A,0),15)),$C214*INDEX(SPPR!$E:$X,MATCH($A214,SPPR!$A:$A,0),15),""),"")</f>
        <v/>
      </c>
      <c r="S214">
        <f>IFERROR(IF(ISNUMBER(INDEX(SPPR!$E:$X,MATCH($A214,SPPR!$A:$A,0),16)),$C214*INDEX(SPPR!$E:$X,MATCH($A214,SPPR!$A:$A,0),16),""),"")</f>
        <v/>
      </c>
      <c r="T214">
        <f>IFERROR(IF(ISNUMBER(INDEX(SPPR!$E:$X,MATCH($A214,SPPR!$A:$A,0),17)),$C214*INDEX(SPPR!$E:$X,MATCH($A214,SPPR!$A:$A,0),17),""),"")</f>
        <v/>
      </c>
      <c r="U214">
        <f>IFERROR(IF(ISNUMBER(INDEX(SPPR!$E:$X,MATCH($A214,SPPR!$A:$A,0),18)),$C214*INDEX(SPPR!$E:$X,MATCH($A214,SPPR!$A:$A,0),18),""),"")</f>
        <v/>
      </c>
      <c r="V214">
        <f>IFERROR(IF(ISNUMBER(INDEX(SPPR!$E:$X,MATCH($A214,SPPR!$A:$A,0),19)),$C214*INDEX(SPPR!$E:$X,MATCH($A214,SPPR!$A:$A,0),19),""),"")</f>
        <v/>
      </c>
      <c r="W214">
        <f>IFERROR(IF(ISNUMBER(INDEX(SPPR!$E:$X,MATCH($A214,SPPR!$A:$A,0),20)),$C214*INDEX(SPPR!$E:$X,MATCH($A214,SPPR!$A:$A,0),20),""),"")</f>
        <v/>
      </c>
    </row>
    <row r="215">
      <c r="A215" t="inlineStr">
        <is>
          <t>Sander lucioperca</t>
        </is>
      </c>
      <c r="B215">
        <f>IFERROR(INDEX(SPPR!$D:$D,MATCH($A215,SPPR!$A:$A,0)),"")</f>
        <v/>
      </c>
      <c r="C215">
        <f>IFERROR(INDEX(Catch!$E:$BV,MATCH($A215,Catch!$A:$A,0),MATCH($B$4,Catch!$E$1:$BV$1,0)),0)</f>
        <v/>
      </c>
      <c r="D215">
        <f>IFERROR(IF(ISNUMBER(INDEX(SPPR!$E:$X,MATCH($A215,SPPR!$A:$A,0),1)),$C215*INDEX(SPPR!$E:$X,MATCH($A215,SPPR!$A:$A,0),1),""),"")</f>
        <v/>
      </c>
      <c r="E215">
        <f>IFERROR(IF(ISNUMBER(INDEX(SPPR!$E:$X,MATCH($A215,SPPR!$A:$A,0),2)),$C215*INDEX(SPPR!$E:$X,MATCH($A215,SPPR!$A:$A,0),2),""),"")</f>
        <v/>
      </c>
      <c r="F215">
        <f>IFERROR(IF(ISNUMBER(INDEX(SPPR!$E:$X,MATCH($A215,SPPR!$A:$A,0),3)),$C215*INDEX(SPPR!$E:$X,MATCH($A215,SPPR!$A:$A,0),3),""),"")</f>
        <v/>
      </c>
      <c r="G215">
        <f>IFERROR(IF(ISNUMBER(INDEX(SPPR!$E:$X,MATCH($A215,SPPR!$A:$A,0),4)),$C215*INDEX(SPPR!$E:$X,MATCH($A215,SPPR!$A:$A,0),4),""),"")</f>
        <v/>
      </c>
      <c r="H215">
        <f>IFERROR(IF(ISNUMBER(INDEX(SPPR!$E:$X,MATCH($A215,SPPR!$A:$A,0),5)),$C215*INDEX(SPPR!$E:$X,MATCH($A215,SPPR!$A:$A,0),5),""),"")</f>
        <v/>
      </c>
      <c r="I215">
        <f>IFERROR(IF(ISNUMBER(INDEX(SPPR!$E:$X,MATCH($A215,SPPR!$A:$A,0),6)),$C215*INDEX(SPPR!$E:$X,MATCH($A215,SPPR!$A:$A,0),6),""),"")</f>
        <v/>
      </c>
      <c r="J215">
        <f>IFERROR(IF(ISNUMBER(INDEX(SPPR!$E:$X,MATCH($A215,SPPR!$A:$A,0),7)),$C215*INDEX(SPPR!$E:$X,MATCH($A215,SPPR!$A:$A,0),7),""),"")</f>
        <v/>
      </c>
      <c r="K215">
        <f>IFERROR(IF(ISNUMBER(INDEX(SPPR!$E:$X,MATCH($A215,SPPR!$A:$A,0),8)),$C215*INDEX(SPPR!$E:$X,MATCH($A215,SPPR!$A:$A,0),8),""),"")</f>
        <v/>
      </c>
      <c r="L215">
        <f>IFERROR(IF(ISNUMBER(INDEX(SPPR!$E:$X,MATCH($A215,SPPR!$A:$A,0),9)),$C215*INDEX(SPPR!$E:$X,MATCH($A215,SPPR!$A:$A,0),9),""),"")</f>
        <v/>
      </c>
      <c r="M215">
        <f>IFERROR(IF(ISNUMBER(INDEX(SPPR!$E:$X,MATCH($A215,SPPR!$A:$A,0),10)),$C215*INDEX(SPPR!$E:$X,MATCH($A215,SPPR!$A:$A,0),10),""),"")</f>
        <v/>
      </c>
      <c r="N215">
        <f>IFERROR(IF(ISNUMBER(INDEX(SPPR!$E:$X,MATCH($A215,SPPR!$A:$A,0),11)),$C215*INDEX(SPPR!$E:$X,MATCH($A215,SPPR!$A:$A,0),11),""),"")</f>
        <v/>
      </c>
      <c r="O215">
        <f>IFERROR(IF(ISNUMBER(INDEX(SPPR!$E:$X,MATCH($A215,SPPR!$A:$A,0),12)),$C215*INDEX(SPPR!$E:$X,MATCH($A215,SPPR!$A:$A,0),12),""),"")</f>
        <v/>
      </c>
      <c r="P215">
        <f>IFERROR(IF(ISNUMBER(INDEX(SPPR!$E:$X,MATCH($A215,SPPR!$A:$A,0),13)),$C215*INDEX(SPPR!$E:$X,MATCH($A215,SPPR!$A:$A,0),13),""),"")</f>
        <v/>
      </c>
      <c r="Q215">
        <f>IFERROR(IF(ISNUMBER(INDEX(SPPR!$E:$X,MATCH($A215,SPPR!$A:$A,0),14)),$C215*INDEX(SPPR!$E:$X,MATCH($A215,SPPR!$A:$A,0),14),""),"")</f>
        <v/>
      </c>
      <c r="R215">
        <f>IFERROR(IF(ISNUMBER(INDEX(SPPR!$E:$X,MATCH($A215,SPPR!$A:$A,0),15)),$C215*INDEX(SPPR!$E:$X,MATCH($A215,SPPR!$A:$A,0),15),""),"")</f>
        <v/>
      </c>
      <c r="S215">
        <f>IFERROR(IF(ISNUMBER(INDEX(SPPR!$E:$X,MATCH($A215,SPPR!$A:$A,0),16)),$C215*INDEX(SPPR!$E:$X,MATCH($A215,SPPR!$A:$A,0),16),""),"")</f>
        <v/>
      </c>
      <c r="T215">
        <f>IFERROR(IF(ISNUMBER(INDEX(SPPR!$E:$X,MATCH($A215,SPPR!$A:$A,0),17)),$C215*INDEX(SPPR!$E:$X,MATCH($A215,SPPR!$A:$A,0),17),""),"")</f>
        <v/>
      </c>
      <c r="U215">
        <f>IFERROR(IF(ISNUMBER(INDEX(SPPR!$E:$X,MATCH($A215,SPPR!$A:$A,0),18)),$C215*INDEX(SPPR!$E:$X,MATCH($A215,SPPR!$A:$A,0),18),""),"")</f>
        <v/>
      </c>
      <c r="V215">
        <f>IFERROR(IF(ISNUMBER(INDEX(SPPR!$E:$X,MATCH($A215,SPPR!$A:$A,0),19)),$C215*INDEX(SPPR!$E:$X,MATCH($A215,SPPR!$A:$A,0),19),""),"")</f>
        <v/>
      </c>
      <c r="W215">
        <f>IFERROR(IF(ISNUMBER(INDEX(SPPR!$E:$X,MATCH($A215,SPPR!$A:$A,0),20)),$C215*INDEX(SPPR!$E:$X,MATCH($A215,SPPR!$A:$A,0),20),""),"")</f>
        <v/>
      </c>
    </row>
    <row r="216">
      <c r="A216" t="inlineStr">
        <is>
          <t>Chelon ramada</t>
        </is>
      </c>
      <c r="B216">
        <f>IFERROR(INDEX(SPPR!$D:$D,MATCH($A216,SPPR!$A:$A,0)),"")</f>
        <v/>
      </c>
      <c r="C216">
        <f>IFERROR(INDEX(Catch!$E:$BV,MATCH($A216,Catch!$A:$A,0),MATCH($B$4,Catch!$E$1:$BV$1,0)),0)</f>
        <v/>
      </c>
      <c r="D216">
        <f>IFERROR(IF(ISNUMBER(INDEX(SPPR!$E:$X,MATCH($A216,SPPR!$A:$A,0),1)),$C216*INDEX(SPPR!$E:$X,MATCH($A216,SPPR!$A:$A,0),1),""),"")</f>
        <v/>
      </c>
      <c r="E216">
        <f>IFERROR(IF(ISNUMBER(INDEX(SPPR!$E:$X,MATCH($A216,SPPR!$A:$A,0),2)),$C216*INDEX(SPPR!$E:$X,MATCH($A216,SPPR!$A:$A,0),2),""),"")</f>
        <v/>
      </c>
      <c r="F216">
        <f>IFERROR(IF(ISNUMBER(INDEX(SPPR!$E:$X,MATCH($A216,SPPR!$A:$A,0),3)),$C216*INDEX(SPPR!$E:$X,MATCH($A216,SPPR!$A:$A,0),3),""),"")</f>
        <v/>
      </c>
      <c r="G216">
        <f>IFERROR(IF(ISNUMBER(INDEX(SPPR!$E:$X,MATCH($A216,SPPR!$A:$A,0),4)),$C216*INDEX(SPPR!$E:$X,MATCH($A216,SPPR!$A:$A,0),4),""),"")</f>
        <v/>
      </c>
      <c r="H216">
        <f>IFERROR(IF(ISNUMBER(INDEX(SPPR!$E:$X,MATCH($A216,SPPR!$A:$A,0),5)),$C216*INDEX(SPPR!$E:$X,MATCH($A216,SPPR!$A:$A,0),5),""),"")</f>
        <v/>
      </c>
      <c r="I216">
        <f>IFERROR(IF(ISNUMBER(INDEX(SPPR!$E:$X,MATCH($A216,SPPR!$A:$A,0),6)),$C216*INDEX(SPPR!$E:$X,MATCH($A216,SPPR!$A:$A,0),6),""),"")</f>
        <v/>
      </c>
      <c r="J216">
        <f>IFERROR(IF(ISNUMBER(INDEX(SPPR!$E:$X,MATCH($A216,SPPR!$A:$A,0),7)),$C216*INDEX(SPPR!$E:$X,MATCH($A216,SPPR!$A:$A,0),7),""),"")</f>
        <v/>
      </c>
      <c r="K216">
        <f>IFERROR(IF(ISNUMBER(INDEX(SPPR!$E:$X,MATCH($A216,SPPR!$A:$A,0),8)),$C216*INDEX(SPPR!$E:$X,MATCH($A216,SPPR!$A:$A,0),8),""),"")</f>
        <v/>
      </c>
      <c r="L216">
        <f>IFERROR(IF(ISNUMBER(INDEX(SPPR!$E:$X,MATCH($A216,SPPR!$A:$A,0),9)),$C216*INDEX(SPPR!$E:$X,MATCH($A216,SPPR!$A:$A,0),9),""),"")</f>
        <v/>
      </c>
      <c r="M216">
        <f>IFERROR(IF(ISNUMBER(INDEX(SPPR!$E:$X,MATCH($A216,SPPR!$A:$A,0),10)),$C216*INDEX(SPPR!$E:$X,MATCH($A216,SPPR!$A:$A,0),10),""),"")</f>
        <v/>
      </c>
      <c r="N216">
        <f>IFERROR(IF(ISNUMBER(INDEX(SPPR!$E:$X,MATCH($A216,SPPR!$A:$A,0),11)),$C216*INDEX(SPPR!$E:$X,MATCH($A216,SPPR!$A:$A,0),11),""),"")</f>
        <v/>
      </c>
      <c r="O216">
        <f>IFERROR(IF(ISNUMBER(INDEX(SPPR!$E:$X,MATCH($A216,SPPR!$A:$A,0),12)),$C216*INDEX(SPPR!$E:$X,MATCH($A216,SPPR!$A:$A,0),12),""),"")</f>
        <v/>
      </c>
      <c r="P216">
        <f>IFERROR(IF(ISNUMBER(INDEX(SPPR!$E:$X,MATCH($A216,SPPR!$A:$A,0),13)),$C216*INDEX(SPPR!$E:$X,MATCH($A216,SPPR!$A:$A,0),13),""),"")</f>
        <v/>
      </c>
      <c r="Q216">
        <f>IFERROR(IF(ISNUMBER(INDEX(SPPR!$E:$X,MATCH($A216,SPPR!$A:$A,0),14)),$C216*INDEX(SPPR!$E:$X,MATCH($A216,SPPR!$A:$A,0),14),""),"")</f>
        <v/>
      </c>
      <c r="R216">
        <f>IFERROR(IF(ISNUMBER(INDEX(SPPR!$E:$X,MATCH($A216,SPPR!$A:$A,0),15)),$C216*INDEX(SPPR!$E:$X,MATCH($A216,SPPR!$A:$A,0),15),""),"")</f>
        <v/>
      </c>
      <c r="S216">
        <f>IFERROR(IF(ISNUMBER(INDEX(SPPR!$E:$X,MATCH($A216,SPPR!$A:$A,0),16)),$C216*INDEX(SPPR!$E:$X,MATCH($A216,SPPR!$A:$A,0),16),""),"")</f>
        <v/>
      </c>
      <c r="T216">
        <f>IFERROR(IF(ISNUMBER(INDEX(SPPR!$E:$X,MATCH($A216,SPPR!$A:$A,0),17)),$C216*INDEX(SPPR!$E:$X,MATCH($A216,SPPR!$A:$A,0),17),""),"")</f>
        <v/>
      </c>
      <c r="U216">
        <f>IFERROR(IF(ISNUMBER(INDEX(SPPR!$E:$X,MATCH($A216,SPPR!$A:$A,0),18)),$C216*INDEX(SPPR!$E:$X,MATCH($A216,SPPR!$A:$A,0),18),""),"")</f>
        <v/>
      </c>
      <c r="V216">
        <f>IFERROR(IF(ISNUMBER(INDEX(SPPR!$E:$X,MATCH($A216,SPPR!$A:$A,0),19)),$C216*INDEX(SPPR!$E:$X,MATCH($A216,SPPR!$A:$A,0),19),""),"")</f>
        <v/>
      </c>
      <c r="W216">
        <f>IFERROR(IF(ISNUMBER(INDEX(SPPR!$E:$X,MATCH($A216,SPPR!$A:$A,0),20)),$C216*INDEX(SPPR!$E:$X,MATCH($A216,SPPR!$A:$A,0),20),""),"")</f>
        <v/>
      </c>
    </row>
    <row r="217">
      <c r="A217" t="inlineStr">
        <is>
          <t>Chimaeriformes</t>
        </is>
      </c>
      <c r="B217">
        <f>IFERROR(INDEX(SPPR!$D:$D,MATCH($A217,SPPR!$A:$A,0)),"")</f>
        <v/>
      </c>
      <c r="C217">
        <f>IFERROR(INDEX(Catch!$E:$BV,MATCH($A217,Catch!$A:$A,0),MATCH($B$4,Catch!$E$1:$BV$1,0)),0)</f>
        <v/>
      </c>
      <c r="D217">
        <f>IFERROR(IF(ISNUMBER(INDEX(SPPR!$E:$X,MATCH($A217,SPPR!$A:$A,0),1)),$C217*INDEX(SPPR!$E:$X,MATCH($A217,SPPR!$A:$A,0),1),""),"")</f>
        <v/>
      </c>
      <c r="E217">
        <f>IFERROR(IF(ISNUMBER(INDEX(SPPR!$E:$X,MATCH($A217,SPPR!$A:$A,0),2)),$C217*INDEX(SPPR!$E:$X,MATCH($A217,SPPR!$A:$A,0),2),""),"")</f>
        <v/>
      </c>
      <c r="F217">
        <f>IFERROR(IF(ISNUMBER(INDEX(SPPR!$E:$X,MATCH($A217,SPPR!$A:$A,0),3)),$C217*INDEX(SPPR!$E:$X,MATCH($A217,SPPR!$A:$A,0),3),""),"")</f>
        <v/>
      </c>
      <c r="G217">
        <f>IFERROR(IF(ISNUMBER(INDEX(SPPR!$E:$X,MATCH($A217,SPPR!$A:$A,0),4)),$C217*INDEX(SPPR!$E:$X,MATCH($A217,SPPR!$A:$A,0),4),""),"")</f>
        <v/>
      </c>
      <c r="H217">
        <f>IFERROR(IF(ISNUMBER(INDEX(SPPR!$E:$X,MATCH($A217,SPPR!$A:$A,0),5)),$C217*INDEX(SPPR!$E:$X,MATCH($A217,SPPR!$A:$A,0),5),""),"")</f>
        <v/>
      </c>
      <c r="I217">
        <f>IFERROR(IF(ISNUMBER(INDEX(SPPR!$E:$X,MATCH($A217,SPPR!$A:$A,0),6)),$C217*INDEX(SPPR!$E:$X,MATCH($A217,SPPR!$A:$A,0),6),""),"")</f>
        <v/>
      </c>
      <c r="J217">
        <f>IFERROR(IF(ISNUMBER(INDEX(SPPR!$E:$X,MATCH($A217,SPPR!$A:$A,0),7)),$C217*INDEX(SPPR!$E:$X,MATCH($A217,SPPR!$A:$A,0),7),""),"")</f>
        <v/>
      </c>
      <c r="K217">
        <f>IFERROR(IF(ISNUMBER(INDEX(SPPR!$E:$X,MATCH($A217,SPPR!$A:$A,0),8)),$C217*INDEX(SPPR!$E:$X,MATCH($A217,SPPR!$A:$A,0),8),""),"")</f>
        <v/>
      </c>
      <c r="L217">
        <f>IFERROR(IF(ISNUMBER(INDEX(SPPR!$E:$X,MATCH($A217,SPPR!$A:$A,0),9)),$C217*INDEX(SPPR!$E:$X,MATCH($A217,SPPR!$A:$A,0),9),""),"")</f>
        <v/>
      </c>
      <c r="M217">
        <f>IFERROR(IF(ISNUMBER(INDEX(SPPR!$E:$X,MATCH($A217,SPPR!$A:$A,0),10)),$C217*INDEX(SPPR!$E:$X,MATCH($A217,SPPR!$A:$A,0),10),""),"")</f>
        <v/>
      </c>
      <c r="N217">
        <f>IFERROR(IF(ISNUMBER(INDEX(SPPR!$E:$X,MATCH($A217,SPPR!$A:$A,0),11)),$C217*INDEX(SPPR!$E:$X,MATCH($A217,SPPR!$A:$A,0),11),""),"")</f>
        <v/>
      </c>
      <c r="O217">
        <f>IFERROR(IF(ISNUMBER(INDEX(SPPR!$E:$X,MATCH($A217,SPPR!$A:$A,0),12)),$C217*INDEX(SPPR!$E:$X,MATCH($A217,SPPR!$A:$A,0),12),""),"")</f>
        <v/>
      </c>
      <c r="P217">
        <f>IFERROR(IF(ISNUMBER(INDEX(SPPR!$E:$X,MATCH($A217,SPPR!$A:$A,0),13)),$C217*INDEX(SPPR!$E:$X,MATCH($A217,SPPR!$A:$A,0),13),""),"")</f>
        <v/>
      </c>
      <c r="Q217">
        <f>IFERROR(IF(ISNUMBER(INDEX(SPPR!$E:$X,MATCH($A217,SPPR!$A:$A,0),14)),$C217*INDEX(SPPR!$E:$X,MATCH($A217,SPPR!$A:$A,0),14),""),"")</f>
        <v/>
      </c>
      <c r="R217">
        <f>IFERROR(IF(ISNUMBER(INDEX(SPPR!$E:$X,MATCH($A217,SPPR!$A:$A,0),15)),$C217*INDEX(SPPR!$E:$X,MATCH($A217,SPPR!$A:$A,0),15),""),"")</f>
        <v/>
      </c>
      <c r="S217">
        <f>IFERROR(IF(ISNUMBER(INDEX(SPPR!$E:$X,MATCH($A217,SPPR!$A:$A,0),16)),$C217*INDEX(SPPR!$E:$X,MATCH($A217,SPPR!$A:$A,0),16),""),"")</f>
        <v/>
      </c>
      <c r="T217">
        <f>IFERROR(IF(ISNUMBER(INDEX(SPPR!$E:$X,MATCH($A217,SPPR!$A:$A,0),17)),$C217*INDEX(SPPR!$E:$X,MATCH($A217,SPPR!$A:$A,0),17),""),"")</f>
        <v/>
      </c>
      <c r="U217">
        <f>IFERROR(IF(ISNUMBER(INDEX(SPPR!$E:$X,MATCH($A217,SPPR!$A:$A,0),18)),$C217*INDEX(SPPR!$E:$X,MATCH($A217,SPPR!$A:$A,0),18),""),"")</f>
        <v/>
      </c>
      <c r="V217">
        <f>IFERROR(IF(ISNUMBER(INDEX(SPPR!$E:$X,MATCH($A217,SPPR!$A:$A,0),19)),$C217*INDEX(SPPR!$E:$X,MATCH($A217,SPPR!$A:$A,0),19),""),"")</f>
        <v/>
      </c>
      <c r="W217">
        <f>IFERROR(IF(ISNUMBER(INDEX(SPPR!$E:$X,MATCH($A217,SPPR!$A:$A,0),20)),$C217*INDEX(SPPR!$E:$X,MATCH($A217,SPPR!$A:$A,0),20),""),"")</f>
        <v/>
      </c>
    </row>
    <row r="218">
      <c r="A218" t="inlineStr">
        <is>
          <t>Mullus</t>
        </is>
      </c>
      <c r="B218">
        <f>IFERROR(INDEX(SPPR!$D:$D,MATCH($A218,SPPR!$A:$A,0)),"")</f>
        <v/>
      </c>
      <c r="C218">
        <f>IFERROR(INDEX(Catch!$E:$BV,MATCH($A218,Catch!$A:$A,0),MATCH($B$4,Catch!$E$1:$BV$1,0)),0)</f>
        <v/>
      </c>
      <c r="D218">
        <f>IFERROR(IF(ISNUMBER(INDEX(SPPR!$E:$X,MATCH($A218,SPPR!$A:$A,0),1)),$C218*INDEX(SPPR!$E:$X,MATCH($A218,SPPR!$A:$A,0),1),""),"")</f>
        <v/>
      </c>
      <c r="E218">
        <f>IFERROR(IF(ISNUMBER(INDEX(SPPR!$E:$X,MATCH($A218,SPPR!$A:$A,0),2)),$C218*INDEX(SPPR!$E:$X,MATCH($A218,SPPR!$A:$A,0),2),""),"")</f>
        <v/>
      </c>
      <c r="F218">
        <f>IFERROR(IF(ISNUMBER(INDEX(SPPR!$E:$X,MATCH($A218,SPPR!$A:$A,0),3)),$C218*INDEX(SPPR!$E:$X,MATCH($A218,SPPR!$A:$A,0),3),""),"")</f>
        <v/>
      </c>
      <c r="G218">
        <f>IFERROR(IF(ISNUMBER(INDEX(SPPR!$E:$X,MATCH($A218,SPPR!$A:$A,0),4)),$C218*INDEX(SPPR!$E:$X,MATCH($A218,SPPR!$A:$A,0),4),""),"")</f>
        <v/>
      </c>
      <c r="H218">
        <f>IFERROR(IF(ISNUMBER(INDEX(SPPR!$E:$X,MATCH($A218,SPPR!$A:$A,0),5)),$C218*INDEX(SPPR!$E:$X,MATCH($A218,SPPR!$A:$A,0),5),""),"")</f>
        <v/>
      </c>
      <c r="I218">
        <f>IFERROR(IF(ISNUMBER(INDEX(SPPR!$E:$X,MATCH($A218,SPPR!$A:$A,0),6)),$C218*INDEX(SPPR!$E:$X,MATCH($A218,SPPR!$A:$A,0),6),""),"")</f>
        <v/>
      </c>
      <c r="J218">
        <f>IFERROR(IF(ISNUMBER(INDEX(SPPR!$E:$X,MATCH($A218,SPPR!$A:$A,0),7)),$C218*INDEX(SPPR!$E:$X,MATCH($A218,SPPR!$A:$A,0),7),""),"")</f>
        <v/>
      </c>
      <c r="K218">
        <f>IFERROR(IF(ISNUMBER(INDEX(SPPR!$E:$X,MATCH($A218,SPPR!$A:$A,0),8)),$C218*INDEX(SPPR!$E:$X,MATCH($A218,SPPR!$A:$A,0),8),""),"")</f>
        <v/>
      </c>
      <c r="L218">
        <f>IFERROR(IF(ISNUMBER(INDEX(SPPR!$E:$X,MATCH($A218,SPPR!$A:$A,0),9)),$C218*INDEX(SPPR!$E:$X,MATCH($A218,SPPR!$A:$A,0),9),""),"")</f>
        <v/>
      </c>
      <c r="M218">
        <f>IFERROR(IF(ISNUMBER(INDEX(SPPR!$E:$X,MATCH($A218,SPPR!$A:$A,0),10)),$C218*INDEX(SPPR!$E:$X,MATCH($A218,SPPR!$A:$A,0),10),""),"")</f>
        <v/>
      </c>
      <c r="N218">
        <f>IFERROR(IF(ISNUMBER(INDEX(SPPR!$E:$X,MATCH($A218,SPPR!$A:$A,0),11)),$C218*INDEX(SPPR!$E:$X,MATCH($A218,SPPR!$A:$A,0),11),""),"")</f>
        <v/>
      </c>
      <c r="O218">
        <f>IFERROR(IF(ISNUMBER(INDEX(SPPR!$E:$X,MATCH($A218,SPPR!$A:$A,0),12)),$C218*INDEX(SPPR!$E:$X,MATCH($A218,SPPR!$A:$A,0),12),""),"")</f>
        <v/>
      </c>
      <c r="P218">
        <f>IFERROR(IF(ISNUMBER(INDEX(SPPR!$E:$X,MATCH($A218,SPPR!$A:$A,0),13)),$C218*INDEX(SPPR!$E:$X,MATCH($A218,SPPR!$A:$A,0),13),""),"")</f>
        <v/>
      </c>
      <c r="Q218">
        <f>IFERROR(IF(ISNUMBER(INDEX(SPPR!$E:$X,MATCH($A218,SPPR!$A:$A,0),14)),$C218*INDEX(SPPR!$E:$X,MATCH($A218,SPPR!$A:$A,0),14),""),"")</f>
        <v/>
      </c>
      <c r="R218">
        <f>IFERROR(IF(ISNUMBER(INDEX(SPPR!$E:$X,MATCH($A218,SPPR!$A:$A,0),15)),$C218*INDEX(SPPR!$E:$X,MATCH($A218,SPPR!$A:$A,0),15),""),"")</f>
        <v/>
      </c>
      <c r="S218">
        <f>IFERROR(IF(ISNUMBER(INDEX(SPPR!$E:$X,MATCH($A218,SPPR!$A:$A,0),16)),$C218*INDEX(SPPR!$E:$X,MATCH($A218,SPPR!$A:$A,0),16),""),"")</f>
        <v/>
      </c>
      <c r="T218">
        <f>IFERROR(IF(ISNUMBER(INDEX(SPPR!$E:$X,MATCH($A218,SPPR!$A:$A,0),17)),$C218*INDEX(SPPR!$E:$X,MATCH($A218,SPPR!$A:$A,0),17),""),"")</f>
        <v/>
      </c>
      <c r="U218">
        <f>IFERROR(IF(ISNUMBER(INDEX(SPPR!$E:$X,MATCH($A218,SPPR!$A:$A,0),18)),$C218*INDEX(SPPR!$E:$X,MATCH($A218,SPPR!$A:$A,0),18),""),"")</f>
        <v/>
      </c>
      <c r="V218">
        <f>IFERROR(IF(ISNUMBER(INDEX(SPPR!$E:$X,MATCH($A218,SPPR!$A:$A,0),19)),$C218*INDEX(SPPR!$E:$X,MATCH($A218,SPPR!$A:$A,0),19),""),"")</f>
        <v/>
      </c>
      <c r="W218">
        <f>IFERROR(IF(ISNUMBER(INDEX(SPPR!$E:$X,MATCH($A218,SPPR!$A:$A,0),20)),$C218*INDEX(SPPR!$E:$X,MATCH($A218,SPPR!$A:$A,0),20),""),"")</f>
        <v/>
      </c>
    </row>
    <row r="219">
      <c r="A219" t="inlineStr">
        <is>
          <t>Octopus</t>
        </is>
      </c>
      <c r="B219">
        <f>IFERROR(INDEX(SPPR!$D:$D,MATCH($A219,SPPR!$A:$A,0)),"")</f>
        <v/>
      </c>
      <c r="C219">
        <f>IFERROR(INDEX(Catch!$E:$BV,MATCH($A219,Catch!$A:$A,0),MATCH($B$4,Catch!$E$1:$BV$1,0)),0)</f>
        <v/>
      </c>
      <c r="D219">
        <f>IFERROR(IF(ISNUMBER(INDEX(SPPR!$E:$X,MATCH($A219,SPPR!$A:$A,0),1)),$C219*INDEX(SPPR!$E:$X,MATCH($A219,SPPR!$A:$A,0),1),""),"")</f>
        <v/>
      </c>
      <c r="E219">
        <f>IFERROR(IF(ISNUMBER(INDEX(SPPR!$E:$X,MATCH($A219,SPPR!$A:$A,0),2)),$C219*INDEX(SPPR!$E:$X,MATCH($A219,SPPR!$A:$A,0),2),""),"")</f>
        <v/>
      </c>
      <c r="F219">
        <f>IFERROR(IF(ISNUMBER(INDEX(SPPR!$E:$X,MATCH($A219,SPPR!$A:$A,0),3)),$C219*INDEX(SPPR!$E:$X,MATCH($A219,SPPR!$A:$A,0),3),""),"")</f>
        <v/>
      </c>
      <c r="G219">
        <f>IFERROR(IF(ISNUMBER(INDEX(SPPR!$E:$X,MATCH($A219,SPPR!$A:$A,0),4)),$C219*INDEX(SPPR!$E:$X,MATCH($A219,SPPR!$A:$A,0),4),""),"")</f>
        <v/>
      </c>
      <c r="H219">
        <f>IFERROR(IF(ISNUMBER(INDEX(SPPR!$E:$X,MATCH($A219,SPPR!$A:$A,0),5)),$C219*INDEX(SPPR!$E:$X,MATCH($A219,SPPR!$A:$A,0),5),""),"")</f>
        <v/>
      </c>
      <c r="I219">
        <f>IFERROR(IF(ISNUMBER(INDEX(SPPR!$E:$X,MATCH($A219,SPPR!$A:$A,0),6)),$C219*INDEX(SPPR!$E:$X,MATCH($A219,SPPR!$A:$A,0),6),""),"")</f>
        <v/>
      </c>
      <c r="J219">
        <f>IFERROR(IF(ISNUMBER(INDEX(SPPR!$E:$X,MATCH($A219,SPPR!$A:$A,0),7)),$C219*INDEX(SPPR!$E:$X,MATCH($A219,SPPR!$A:$A,0),7),""),"")</f>
        <v/>
      </c>
      <c r="K219">
        <f>IFERROR(IF(ISNUMBER(INDEX(SPPR!$E:$X,MATCH($A219,SPPR!$A:$A,0),8)),$C219*INDEX(SPPR!$E:$X,MATCH($A219,SPPR!$A:$A,0),8),""),"")</f>
        <v/>
      </c>
      <c r="L219">
        <f>IFERROR(IF(ISNUMBER(INDEX(SPPR!$E:$X,MATCH($A219,SPPR!$A:$A,0),9)),$C219*INDEX(SPPR!$E:$X,MATCH($A219,SPPR!$A:$A,0),9),""),"")</f>
        <v/>
      </c>
      <c r="M219">
        <f>IFERROR(IF(ISNUMBER(INDEX(SPPR!$E:$X,MATCH($A219,SPPR!$A:$A,0),10)),$C219*INDEX(SPPR!$E:$X,MATCH($A219,SPPR!$A:$A,0),10),""),"")</f>
        <v/>
      </c>
      <c r="N219">
        <f>IFERROR(IF(ISNUMBER(INDEX(SPPR!$E:$X,MATCH($A219,SPPR!$A:$A,0),11)),$C219*INDEX(SPPR!$E:$X,MATCH($A219,SPPR!$A:$A,0),11),""),"")</f>
        <v/>
      </c>
      <c r="O219">
        <f>IFERROR(IF(ISNUMBER(INDEX(SPPR!$E:$X,MATCH($A219,SPPR!$A:$A,0),12)),$C219*INDEX(SPPR!$E:$X,MATCH($A219,SPPR!$A:$A,0),12),""),"")</f>
        <v/>
      </c>
      <c r="P219">
        <f>IFERROR(IF(ISNUMBER(INDEX(SPPR!$E:$X,MATCH($A219,SPPR!$A:$A,0),13)),$C219*INDEX(SPPR!$E:$X,MATCH($A219,SPPR!$A:$A,0),13),""),"")</f>
        <v/>
      </c>
      <c r="Q219">
        <f>IFERROR(IF(ISNUMBER(INDEX(SPPR!$E:$X,MATCH($A219,SPPR!$A:$A,0),14)),$C219*INDEX(SPPR!$E:$X,MATCH($A219,SPPR!$A:$A,0),14),""),"")</f>
        <v/>
      </c>
      <c r="R219">
        <f>IFERROR(IF(ISNUMBER(INDEX(SPPR!$E:$X,MATCH($A219,SPPR!$A:$A,0),15)),$C219*INDEX(SPPR!$E:$X,MATCH($A219,SPPR!$A:$A,0),15),""),"")</f>
        <v/>
      </c>
      <c r="S219">
        <f>IFERROR(IF(ISNUMBER(INDEX(SPPR!$E:$X,MATCH($A219,SPPR!$A:$A,0),16)),$C219*INDEX(SPPR!$E:$X,MATCH($A219,SPPR!$A:$A,0),16),""),"")</f>
        <v/>
      </c>
      <c r="T219">
        <f>IFERROR(IF(ISNUMBER(INDEX(SPPR!$E:$X,MATCH($A219,SPPR!$A:$A,0),17)),$C219*INDEX(SPPR!$E:$X,MATCH($A219,SPPR!$A:$A,0),17),""),"")</f>
        <v/>
      </c>
      <c r="U219">
        <f>IFERROR(IF(ISNUMBER(INDEX(SPPR!$E:$X,MATCH($A219,SPPR!$A:$A,0),18)),$C219*INDEX(SPPR!$E:$X,MATCH($A219,SPPR!$A:$A,0),18),""),"")</f>
        <v/>
      </c>
      <c r="V219">
        <f>IFERROR(IF(ISNUMBER(INDEX(SPPR!$E:$X,MATCH($A219,SPPR!$A:$A,0),19)),$C219*INDEX(SPPR!$E:$X,MATCH($A219,SPPR!$A:$A,0),19),""),"")</f>
        <v/>
      </c>
      <c r="W219">
        <f>IFERROR(IF(ISNUMBER(INDEX(SPPR!$E:$X,MATCH($A219,SPPR!$A:$A,0),20)),$C219*INDEX(SPPR!$E:$X,MATCH($A219,SPPR!$A:$A,0),20),""),"")</f>
        <v/>
      </c>
    </row>
    <row r="220">
      <c r="A220" t="inlineStr">
        <is>
          <t>Notoscopelus</t>
        </is>
      </c>
      <c r="B220">
        <f>IFERROR(INDEX(SPPR!$D:$D,MATCH($A220,SPPR!$A:$A,0)),"")</f>
        <v/>
      </c>
      <c r="C220">
        <f>IFERROR(INDEX(Catch!$E:$BV,MATCH($A220,Catch!$A:$A,0),MATCH($B$4,Catch!$E$1:$BV$1,0)),0)</f>
        <v/>
      </c>
      <c r="D220">
        <f>IFERROR(IF(ISNUMBER(INDEX(SPPR!$E:$X,MATCH($A220,SPPR!$A:$A,0),1)),$C220*INDEX(SPPR!$E:$X,MATCH($A220,SPPR!$A:$A,0),1),""),"")</f>
        <v/>
      </c>
      <c r="E220">
        <f>IFERROR(IF(ISNUMBER(INDEX(SPPR!$E:$X,MATCH($A220,SPPR!$A:$A,0),2)),$C220*INDEX(SPPR!$E:$X,MATCH($A220,SPPR!$A:$A,0),2),""),"")</f>
        <v/>
      </c>
      <c r="F220">
        <f>IFERROR(IF(ISNUMBER(INDEX(SPPR!$E:$X,MATCH($A220,SPPR!$A:$A,0),3)),$C220*INDEX(SPPR!$E:$X,MATCH($A220,SPPR!$A:$A,0),3),""),"")</f>
        <v/>
      </c>
      <c r="G220">
        <f>IFERROR(IF(ISNUMBER(INDEX(SPPR!$E:$X,MATCH($A220,SPPR!$A:$A,0),4)),$C220*INDEX(SPPR!$E:$X,MATCH($A220,SPPR!$A:$A,0),4),""),"")</f>
        <v/>
      </c>
      <c r="H220">
        <f>IFERROR(IF(ISNUMBER(INDEX(SPPR!$E:$X,MATCH($A220,SPPR!$A:$A,0),5)),$C220*INDEX(SPPR!$E:$X,MATCH($A220,SPPR!$A:$A,0),5),""),"")</f>
        <v/>
      </c>
      <c r="I220">
        <f>IFERROR(IF(ISNUMBER(INDEX(SPPR!$E:$X,MATCH($A220,SPPR!$A:$A,0),6)),$C220*INDEX(SPPR!$E:$X,MATCH($A220,SPPR!$A:$A,0),6),""),"")</f>
        <v/>
      </c>
      <c r="J220">
        <f>IFERROR(IF(ISNUMBER(INDEX(SPPR!$E:$X,MATCH($A220,SPPR!$A:$A,0),7)),$C220*INDEX(SPPR!$E:$X,MATCH($A220,SPPR!$A:$A,0),7),""),"")</f>
        <v/>
      </c>
      <c r="K220">
        <f>IFERROR(IF(ISNUMBER(INDEX(SPPR!$E:$X,MATCH($A220,SPPR!$A:$A,0),8)),$C220*INDEX(SPPR!$E:$X,MATCH($A220,SPPR!$A:$A,0),8),""),"")</f>
        <v/>
      </c>
      <c r="L220">
        <f>IFERROR(IF(ISNUMBER(INDEX(SPPR!$E:$X,MATCH($A220,SPPR!$A:$A,0),9)),$C220*INDEX(SPPR!$E:$X,MATCH($A220,SPPR!$A:$A,0),9),""),"")</f>
        <v/>
      </c>
      <c r="M220">
        <f>IFERROR(IF(ISNUMBER(INDEX(SPPR!$E:$X,MATCH($A220,SPPR!$A:$A,0),10)),$C220*INDEX(SPPR!$E:$X,MATCH($A220,SPPR!$A:$A,0),10),""),"")</f>
        <v/>
      </c>
      <c r="N220">
        <f>IFERROR(IF(ISNUMBER(INDEX(SPPR!$E:$X,MATCH($A220,SPPR!$A:$A,0),11)),$C220*INDEX(SPPR!$E:$X,MATCH($A220,SPPR!$A:$A,0),11),""),"")</f>
        <v/>
      </c>
      <c r="O220">
        <f>IFERROR(IF(ISNUMBER(INDEX(SPPR!$E:$X,MATCH($A220,SPPR!$A:$A,0),12)),$C220*INDEX(SPPR!$E:$X,MATCH($A220,SPPR!$A:$A,0),12),""),"")</f>
        <v/>
      </c>
      <c r="P220">
        <f>IFERROR(IF(ISNUMBER(INDEX(SPPR!$E:$X,MATCH($A220,SPPR!$A:$A,0),13)),$C220*INDEX(SPPR!$E:$X,MATCH($A220,SPPR!$A:$A,0),13),""),"")</f>
        <v/>
      </c>
      <c r="Q220">
        <f>IFERROR(IF(ISNUMBER(INDEX(SPPR!$E:$X,MATCH($A220,SPPR!$A:$A,0),14)),$C220*INDEX(SPPR!$E:$X,MATCH($A220,SPPR!$A:$A,0),14),""),"")</f>
        <v/>
      </c>
      <c r="R220">
        <f>IFERROR(IF(ISNUMBER(INDEX(SPPR!$E:$X,MATCH($A220,SPPR!$A:$A,0),15)),$C220*INDEX(SPPR!$E:$X,MATCH($A220,SPPR!$A:$A,0),15),""),"")</f>
        <v/>
      </c>
      <c r="S220">
        <f>IFERROR(IF(ISNUMBER(INDEX(SPPR!$E:$X,MATCH($A220,SPPR!$A:$A,0),16)),$C220*INDEX(SPPR!$E:$X,MATCH($A220,SPPR!$A:$A,0),16),""),"")</f>
        <v/>
      </c>
      <c r="T220">
        <f>IFERROR(IF(ISNUMBER(INDEX(SPPR!$E:$X,MATCH($A220,SPPR!$A:$A,0),17)),$C220*INDEX(SPPR!$E:$X,MATCH($A220,SPPR!$A:$A,0),17),""),"")</f>
        <v/>
      </c>
      <c r="U220">
        <f>IFERROR(IF(ISNUMBER(INDEX(SPPR!$E:$X,MATCH($A220,SPPR!$A:$A,0),18)),$C220*INDEX(SPPR!$E:$X,MATCH($A220,SPPR!$A:$A,0),18),""),"")</f>
        <v/>
      </c>
      <c r="V220">
        <f>IFERROR(IF(ISNUMBER(INDEX(SPPR!$E:$X,MATCH($A220,SPPR!$A:$A,0),19)),$C220*INDEX(SPPR!$E:$X,MATCH($A220,SPPR!$A:$A,0),19),""),"")</f>
        <v/>
      </c>
      <c r="W220">
        <f>IFERROR(IF(ISNUMBER(INDEX(SPPR!$E:$X,MATCH($A220,SPPR!$A:$A,0),20)),$C220*INDEX(SPPR!$E:$X,MATCH($A220,SPPR!$A:$A,0),20),""),"")</f>
        <v/>
      </c>
    </row>
    <row r="221">
      <c r="A221" t="inlineStr">
        <is>
          <t>Spisula</t>
        </is>
      </c>
      <c r="B221">
        <f>IFERROR(INDEX(SPPR!$D:$D,MATCH($A221,SPPR!$A:$A,0)),"")</f>
        <v/>
      </c>
      <c r="C221">
        <f>IFERROR(INDEX(Catch!$E:$BV,MATCH($A221,Catch!$A:$A,0),MATCH($B$4,Catch!$E$1:$BV$1,0)),0)</f>
        <v/>
      </c>
      <c r="D221">
        <f>IFERROR(IF(ISNUMBER(INDEX(SPPR!$E:$X,MATCH($A221,SPPR!$A:$A,0),1)),$C221*INDEX(SPPR!$E:$X,MATCH($A221,SPPR!$A:$A,0),1),""),"")</f>
        <v/>
      </c>
      <c r="E221">
        <f>IFERROR(IF(ISNUMBER(INDEX(SPPR!$E:$X,MATCH($A221,SPPR!$A:$A,0),2)),$C221*INDEX(SPPR!$E:$X,MATCH($A221,SPPR!$A:$A,0),2),""),"")</f>
        <v/>
      </c>
      <c r="F221">
        <f>IFERROR(IF(ISNUMBER(INDEX(SPPR!$E:$X,MATCH($A221,SPPR!$A:$A,0),3)),$C221*INDEX(SPPR!$E:$X,MATCH($A221,SPPR!$A:$A,0),3),""),"")</f>
        <v/>
      </c>
      <c r="G221">
        <f>IFERROR(IF(ISNUMBER(INDEX(SPPR!$E:$X,MATCH($A221,SPPR!$A:$A,0),4)),$C221*INDEX(SPPR!$E:$X,MATCH($A221,SPPR!$A:$A,0),4),""),"")</f>
        <v/>
      </c>
      <c r="H221">
        <f>IFERROR(IF(ISNUMBER(INDEX(SPPR!$E:$X,MATCH($A221,SPPR!$A:$A,0),5)),$C221*INDEX(SPPR!$E:$X,MATCH($A221,SPPR!$A:$A,0),5),""),"")</f>
        <v/>
      </c>
      <c r="I221">
        <f>IFERROR(IF(ISNUMBER(INDEX(SPPR!$E:$X,MATCH($A221,SPPR!$A:$A,0),6)),$C221*INDEX(SPPR!$E:$X,MATCH($A221,SPPR!$A:$A,0),6),""),"")</f>
        <v/>
      </c>
      <c r="J221">
        <f>IFERROR(IF(ISNUMBER(INDEX(SPPR!$E:$X,MATCH($A221,SPPR!$A:$A,0),7)),$C221*INDEX(SPPR!$E:$X,MATCH($A221,SPPR!$A:$A,0),7),""),"")</f>
        <v/>
      </c>
      <c r="K221">
        <f>IFERROR(IF(ISNUMBER(INDEX(SPPR!$E:$X,MATCH($A221,SPPR!$A:$A,0),8)),$C221*INDEX(SPPR!$E:$X,MATCH($A221,SPPR!$A:$A,0),8),""),"")</f>
        <v/>
      </c>
      <c r="L221">
        <f>IFERROR(IF(ISNUMBER(INDEX(SPPR!$E:$X,MATCH($A221,SPPR!$A:$A,0),9)),$C221*INDEX(SPPR!$E:$X,MATCH($A221,SPPR!$A:$A,0),9),""),"")</f>
        <v/>
      </c>
      <c r="M221">
        <f>IFERROR(IF(ISNUMBER(INDEX(SPPR!$E:$X,MATCH($A221,SPPR!$A:$A,0),10)),$C221*INDEX(SPPR!$E:$X,MATCH($A221,SPPR!$A:$A,0),10),""),"")</f>
        <v/>
      </c>
      <c r="N221">
        <f>IFERROR(IF(ISNUMBER(INDEX(SPPR!$E:$X,MATCH($A221,SPPR!$A:$A,0),11)),$C221*INDEX(SPPR!$E:$X,MATCH($A221,SPPR!$A:$A,0),11),""),"")</f>
        <v/>
      </c>
      <c r="O221">
        <f>IFERROR(IF(ISNUMBER(INDEX(SPPR!$E:$X,MATCH($A221,SPPR!$A:$A,0),12)),$C221*INDEX(SPPR!$E:$X,MATCH($A221,SPPR!$A:$A,0),12),""),"")</f>
        <v/>
      </c>
      <c r="P221">
        <f>IFERROR(IF(ISNUMBER(INDEX(SPPR!$E:$X,MATCH($A221,SPPR!$A:$A,0),13)),$C221*INDEX(SPPR!$E:$X,MATCH($A221,SPPR!$A:$A,0),13),""),"")</f>
        <v/>
      </c>
      <c r="Q221">
        <f>IFERROR(IF(ISNUMBER(INDEX(SPPR!$E:$X,MATCH($A221,SPPR!$A:$A,0),14)),$C221*INDEX(SPPR!$E:$X,MATCH($A221,SPPR!$A:$A,0),14),""),"")</f>
        <v/>
      </c>
      <c r="R221">
        <f>IFERROR(IF(ISNUMBER(INDEX(SPPR!$E:$X,MATCH($A221,SPPR!$A:$A,0),15)),$C221*INDEX(SPPR!$E:$X,MATCH($A221,SPPR!$A:$A,0),15),""),"")</f>
        <v/>
      </c>
      <c r="S221">
        <f>IFERROR(IF(ISNUMBER(INDEX(SPPR!$E:$X,MATCH($A221,SPPR!$A:$A,0),16)),$C221*INDEX(SPPR!$E:$X,MATCH($A221,SPPR!$A:$A,0),16),""),"")</f>
        <v/>
      </c>
      <c r="T221">
        <f>IFERROR(IF(ISNUMBER(INDEX(SPPR!$E:$X,MATCH($A221,SPPR!$A:$A,0),17)),$C221*INDEX(SPPR!$E:$X,MATCH($A221,SPPR!$A:$A,0),17),""),"")</f>
        <v/>
      </c>
      <c r="U221">
        <f>IFERROR(IF(ISNUMBER(INDEX(SPPR!$E:$X,MATCH($A221,SPPR!$A:$A,0),18)),$C221*INDEX(SPPR!$E:$X,MATCH($A221,SPPR!$A:$A,0),18),""),"")</f>
        <v/>
      </c>
      <c r="V221">
        <f>IFERROR(IF(ISNUMBER(INDEX(SPPR!$E:$X,MATCH($A221,SPPR!$A:$A,0),19)),$C221*INDEX(SPPR!$E:$X,MATCH($A221,SPPR!$A:$A,0),19),""),"")</f>
        <v/>
      </c>
      <c r="W221">
        <f>IFERROR(IF(ISNUMBER(INDEX(SPPR!$E:$X,MATCH($A221,SPPR!$A:$A,0),20)),$C221*INDEX(SPPR!$E:$X,MATCH($A221,SPPR!$A:$A,0),20),""),"")</f>
        <v/>
      </c>
    </row>
    <row r="222">
      <c r="A222" t="inlineStr">
        <is>
          <t>Beryx</t>
        </is>
      </c>
      <c r="B222">
        <f>IFERROR(INDEX(SPPR!$D:$D,MATCH($A222,SPPR!$A:$A,0)),"")</f>
        <v/>
      </c>
      <c r="C222">
        <f>IFERROR(INDEX(Catch!$E:$BV,MATCH($A222,Catch!$A:$A,0),MATCH($B$4,Catch!$E$1:$BV$1,0)),0)</f>
        <v/>
      </c>
      <c r="D222">
        <f>IFERROR(IF(ISNUMBER(INDEX(SPPR!$E:$X,MATCH($A222,SPPR!$A:$A,0),1)),$C222*INDEX(SPPR!$E:$X,MATCH($A222,SPPR!$A:$A,0),1),""),"")</f>
        <v/>
      </c>
      <c r="E222">
        <f>IFERROR(IF(ISNUMBER(INDEX(SPPR!$E:$X,MATCH($A222,SPPR!$A:$A,0),2)),$C222*INDEX(SPPR!$E:$X,MATCH($A222,SPPR!$A:$A,0),2),""),"")</f>
        <v/>
      </c>
      <c r="F222">
        <f>IFERROR(IF(ISNUMBER(INDEX(SPPR!$E:$X,MATCH($A222,SPPR!$A:$A,0),3)),$C222*INDEX(SPPR!$E:$X,MATCH($A222,SPPR!$A:$A,0),3),""),"")</f>
        <v/>
      </c>
      <c r="G222">
        <f>IFERROR(IF(ISNUMBER(INDEX(SPPR!$E:$X,MATCH($A222,SPPR!$A:$A,0),4)),$C222*INDEX(SPPR!$E:$X,MATCH($A222,SPPR!$A:$A,0),4),""),"")</f>
        <v/>
      </c>
      <c r="H222">
        <f>IFERROR(IF(ISNUMBER(INDEX(SPPR!$E:$X,MATCH($A222,SPPR!$A:$A,0),5)),$C222*INDEX(SPPR!$E:$X,MATCH($A222,SPPR!$A:$A,0),5),""),"")</f>
        <v/>
      </c>
      <c r="I222">
        <f>IFERROR(IF(ISNUMBER(INDEX(SPPR!$E:$X,MATCH($A222,SPPR!$A:$A,0),6)),$C222*INDEX(SPPR!$E:$X,MATCH($A222,SPPR!$A:$A,0),6),""),"")</f>
        <v/>
      </c>
      <c r="J222">
        <f>IFERROR(IF(ISNUMBER(INDEX(SPPR!$E:$X,MATCH($A222,SPPR!$A:$A,0),7)),$C222*INDEX(SPPR!$E:$X,MATCH($A222,SPPR!$A:$A,0),7),""),"")</f>
        <v/>
      </c>
      <c r="K222">
        <f>IFERROR(IF(ISNUMBER(INDEX(SPPR!$E:$X,MATCH($A222,SPPR!$A:$A,0),8)),$C222*INDEX(SPPR!$E:$X,MATCH($A222,SPPR!$A:$A,0),8),""),"")</f>
        <v/>
      </c>
      <c r="L222">
        <f>IFERROR(IF(ISNUMBER(INDEX(SPPR!$E:$X,MATCH($A222,SPPR!$A:$A,0),9)),$C222*INDEX(SPPR!$E:$X,MATCH($A222,SPPR!$A:$A,0),9),""),"")</f>
        <v/>
      </c>
      <c r="M222">
        <f>IFERROR(IF(ISNUMBER(INDEX(SPPR!$E:$X,MATCH($A222,SPPR!$A:$A,0),10)),$C222*INDEX(SPPR!$E:$X,MATCH($A222,SPPR!$A:$A,0),10),""),"")</f>
        <v/>
      </c>
      <c r="N222">
        <f>IFERROR(IF(ISNUMBER(INDEX(SPPR!$E:$X,MATCH($A222,SPPR!$A:$A,0),11)),$C222*INDEX(SPPR!$E:$X,MATCH($A222,SPPR!$A:$A,0),11),""),"")</f>
        <v/>
      </c>
      <c r="O222">
        <f>IFERROR(IF(ISNUMBER(INDEX(SPPR!$E:$X,MATCH($A222,SPPR!$A:$A,0),12)),$C222*INDEX(SPPR!$E:$X,MATCH($A222,SPPR!$A:$A,0),12),""),"")</f>
        <v/>
      </c>
      <c r="P222">
        <f>IFERROR(IF(ISNUMBER(INDEX(SPPR!$E:$X,MATCH($A222,SPPR!$A:$A,0),13)),$C222*INDEX(SPPR!$E:$X,MATCH($A222,SPPR!$A:$A,0),13),""),"")</f>
        <v/>
      </c>
      <c r="Q222">
        <f>IFERROR(IF(ISNUMBER(INDEX(SPPR!$E:$X,MATCH($A222,SPPR!$A:$A,0),14)),$C222*INDEX(SPPR!$E:$X,MATCH($A222,SPPR!$A:$A,0),14),""),"")</f>
        <v/>
      </c>
      <c r="R222">
        <f>IFERROR(IF(ISNUMBER(INDEX(SPPR!$E:$X,MATCH($A222,SPPR!$A:$A,0),15)),$C222*INDEX(SPPR!$E:$X,MATCH($A222,SPPR!$A:$A,0),15),""),"")</f>
        <v/>
      </c>
      <c r="S222">
        <f>IFERROR(IF(ISNUMBER(INDEX(SPPR!$E:$X,MATCH($A222,SPPR!$A:$A,0),16)),$C222*INDEX(SPPR!$E:$X,MATCH($A222,SPPR!$A:$A,0),16),""),"")</f>
        <v/>
      </c>
      <c r="T222">
        <f>IFERROR(IF(ISNUMBER(INDEX(SPPR!$E:$X,MATCH($A222,SPPR!$A:$A,0),17)),$C222*INDEX(SPPR!$E:$X,MATCH($A222,SPPR!$A:$A,0),17),""),"")</f>
        <v/>
      </c>
      <c r="U222">
        <f>IFERROR(IF(ISNUMBER(INDEX(SPPR!$E:$X,MATCH($A222,SPPR!$A:$A,0),18)),$C222*INDEX(SPPR!$E:$X,MATCH($A222,SPPR!$A:$A,0),18),""),"")</f>
        <v/>
      </c>
      <c r="V222">
        <f>IFERROR(IF(ISNUMBER(INDEX(SPPR!$E:$X,MATCH($A222,SPPR!$A:$A,0),19)),$C222*INDEX(SPPR!$E:$X,MATCH($A222,SPPR!$A:$A,0),19),""),"")</f>
        <v/>
      </c>
      <c r="W222">
        <f>IFERROR(IF(ISNUMBER(INDEX(SPPR!$E:$X,MATCH($A222,SPPR!$A:$A,0),20)),$C222*INDEX(SPPR!$E:$X,MATCH($A222,SPPR!$A:$A,0),20),""),"")</f>
        <v/>
      </c>
    </row>
    <row r="223">
      <c r="A223" t="inlineStr">
        <is>
          <t>Chelon labrosus</t>
        </is>
      </c>
      <c r="B223">
        <f>IFERROR(INDEX(SPPR!$D:$D,MATCH($A223,SPPR!$A:$A,0)),"")</f>
        <v/>
      </c>
      <c r="C223">
        <f>IFERROR(INDEX(Catch!$E:$BV,MATCH($A223,Catch!$A:$A,0),MATCH($B$4,Catch!$E$1:$BV$1,0)),0)</f>
        <v/>
      </c>
      <c r="D223">
        <f>IFERROR(IF(ISNUMBER(INDEX(SPPR!$E:$X,MATCH($A223,SPPR!$A:$A,0),1)),$C223*INDEX(SPPR!$E:$X,MATCH($A223,SPPR!$A:$A,0),1),""),"")</f>
        <v/>
      </c>
      <c r="E223">
        <f>IFERROR(IF(ISNUMBER(INDEX(SPPR!$E:$X,MATCH($A223,SPPR!$A:$A,0),2)),$C223*INDEX(SPPR!$E:$X,MATCH($A223,SPPR!$A:$A,0),2),""),"")</f>
        <v/>
      </c>
      <c r="F223">
        <f>IFERROR(IF(ISNUMBER(INDEX(SPPR!$E:$X,MATCH($A223,SPPR!$A:$A,0),3)),$C223*INDEX(SPPR!$E:$X,MATCH($A223,SPPR!$A:$A,0),3),""),"")</f>
        <v/>
      </c>
      <c r="G223">
        <f>IFERROR(IF(ISNUMBER(INDEX(SPPR!$E:$X,MATCH($A223,SPPR!$A:$A,0),4)),$C223*INDEX(SPPR!$E:$X,MATCH($A223,SPPR!$A:$A,0),4),""),"")</f>
        <v/>
      </c>
      <c r="H223">
        <f>IFERROR(IF(ISNUMBER(INDEX(SPPR!$E:$X,MATCH($A223,SPPR!$A:$A,0),5)),$C223*INDEX(SPPR!$E:$X,MATCH($A223,SPPR!$A:$A,0),5),""),"")</f>
        <v/>
      </c>
      <c r="I223">
        <f>IFERROR(IF(ISNUMBER(INDEX(SPPR!$E:$X,MATCH($A223,SPPR!$A:$A,0),6)),$C223*INDEX(SPPR!$E:$X,MATCH($A223,SPPR!$A:$A,0),6),""),"")</f>
        <v/>
      </c>
      <c r="J223">
        <f>IFERROR(IF(ISNUMBER(INDEX(SPPR!$E:$X,MATCH($A223,SPPR!$A:$A,0),7)),$C223*INDEX(SPPR!$E:$X,MATCH($A223,SPPR!$A:$A,0),7),""),"")</f>
        <v/>
      </c>
      <c r="K223">
        <f>IFERROR(IF(ISNUMBER(INDEX(SPPR!$E:$X,MATCH($A223,SPPR!$A:$A,0),8)),$C223*INDEX(SPPR!$E:$X,MATCH($A223,SPPR!$A:$A,0),8),""),"")</f>
        <v/>
      </c>
      <c r="L223">
        <f>IFERROR(IF(ISNUMBER(INDEX(SPPR!$E:$X,MATCH($A223,SPPR!$A:$A,0),9)),$C223*INDEX(SPPR!$E:$X,MATCH($A223,SPPR!$A:$A,0),9),""),"")</f>
        <v/>
      </c>
      <c r="M223">
        <f>IFERROR(IF(ISNUMBER(INDEX(SPPR!$E:$X,MATCH($A223,SPPR!$A:$A,0),10)),$C223*INDEX(SPPR!$E:$X,MATCH($A223,SPPR!$A:$A,0),10),""),"")</f>
        <v/>
      </c>
      <c r="N223">
        <f>IFERROR(IF(ISNUMBER(INDEX(SPPR!$E:$X,MATCH($A223,SPPR!$A:$A,0),11)),$C223*INDEX(SPPR!$E:$X,MATCH($A223,SPPR!$A:$A,0),11),""),"")</f>
        <v/>
      </c>
      <c r="O223">
        <f>IFERROR(IF(ISNUMBER(INDEX(SPPR!$E:$X,MATCH($A223,SPPR!$A:$A,0),12)),$C223*INDEX(SPPR!$E:$X,MATCH($A223,SPPR!$A:$A,0),12),""),"")</f>
        <v/>
      </c>
      <c r="P223">
        <f>IFERROR(IF(ISNUMBER(INDEX(SPPR!$E:$X,MATCH($A223,SPPR!$A:$A,0),13)),$C223*INDEX(SPPR!$E:$X,MATCH($A223,SPPR!$A:$A,0),13),""),"")</f>
        <v/>
      </c>
      <c r="Q223">
        <f>IFERROR(IF(ISNUMBER(INDEX(SPPR!$E:$X,MATCH($A223,SPPR!$A:$A,0),14)),$C223*INDEX(SPPR!$E:$X,MATCH($A223,SPPR!$A:$A,0),14),""),"")</f>
        <v/>
      </c>
      <c r="R223">
        <f>IFERROR(IF(ISNUMBER(INDEX(SPPR!$E:$X,MATCH($A223,SPPR!$A:$A,0),15)),$C223*INDEX(SPPR!$E:$X,MATCH($A223,SPPR!$A:$A,0),15),""),"")</f>
        <v/>
      </c>
      <c r="S223">
        <f>IFERROR(IF(ISNUMBER(INDEX(SPPR!$E:$X,MATCH($A223,SPPR!$A:$A,0),16)),$C223*INDEX(SPPR!$E:$X,MATCH($A223,SPPR!$A:$A,0),16),""),"")</f>
        <v/>
      </c>
      <c r="T223">
        <f>IFERROR(IF(ISNUMBER(INDEX(SPPR!$E:$X,MATCH($A223,SPPR!$A:$A,0),17)),$C223*INDEX(SPPR!$E:$X,MATCH($A223,SPPR!$A:$A,0),17),""),"")</f>
        <v/>
      </c>
      <c r="U223">
        <f>IFERROR(IF(ISNUMBER(INDEX(SPPR!$E:$X,MATCH($A223,SPPR!$A:$A,0),18)),$C223*INDEX(SPPR!$E:$X,MATCH($A223,SPPR!$A:$A,0),18),""),"")</f>
        <v/>
      </c>
      <c r="V223">
        <f>IFERROR(IF(ISNUMBER(INDEX(SPPR!$E:$X,MATCH($A223,SPPR!$A:$A,0),19)),$C223*INDEX(SPPR!$E:$X,MATCH($A223,SPPR!$A:$A,0),19),""),"")</f>
        <v/>
      </c>
      <c r="W223">
        <f>IFERROR(IF(ISNUMBER(INDEX(SPPR!$E:$X,MATCH($A223,SPPR!$A:$A,0),20)),$C223*INDEX(SPPR!$E:$X,MATCH($A223,SPPR!$A:$A,0),20),""),"")</f>
        <v/>
      </c>
    </row>
    <row r="224">
      <c r="A224" t="inlineStr">
        <is>
          <t>Myxine glutinosa</t>
        </is>
      </c>
      <c r="B224">
        <f>IFERROR(INDEX(SPPR!$D:$D,MATCH($A224,SPPR!$A:$A,0)),"")</f>
        <v/>
      </c>
      <c r="C224">
        <f>IFERROR(INDEX(Catch!$E:$BV,MATCH($A224,Catch!$A:$A,0),MATCH($B$4,Catch!$E$1:$BV$1,0)),0)</f>
        <v/>
      </c>
      <c r="D224">
        <f>IFERROR(IF(ISNUMBER(INDEX(SPPR!$E:$X,MATCH($A224,SPPR!$A:$A,0),1)),$C224*INDEX(SPPR!$E:$X,MATCH($A224,SPPR!$A:$A,0),1),""),"")</f>
        <v/>
      </c>
      <c r="E224">
        <f>IFERROR(IF(ISNUMBER(INDEX(SPPR!$E:$X,MATCH($A224,SPPR!$A:$A,0),2)),$C224*INDEX(SPPR!$E:$X,MATCH($A224,SPPR!$A:$A,0),2),""),"")</f>
        <v/>
      </c>
      <c r="F224">
        <f>IFERROR(IF(ISNUMBER(INDEX(SPPR!$E:$X,MATCH($A224,SPPR!$A:$A,0),3)),$C224*INDEX(SPPR!$E:$X,MATCH($A224,SPPR!$A:$A,0),3),""),"")</f>
        <v/>
      </c>
      <c r="G224">
        <f>IFERROR(IF(ISNUMBER(INDEX(SPPR!$E:$X,MATCH($A224,SPPR!$A:$A,0),4)),$C224*INDEX(SPPR!$E:$X,MATCH($A224,SPPR!$A:$A,0),4),""),"")</f>
        <v/>
      </c>
      <c r="H224">
        <f>IFERROR(IF(ISNUMBER(INDEX(SPPR!$E:$X,MATCH($A224,SPPR!$A:$A,0),5)),$C224*INDEX(SPPR!$E:$X,MATCH($A224,SPPR!$A:$A,0),5),""),"")</f>
        <v/>
      </c>
      <c r="I224">
        <f>IFERROR(IF(ISNUMBER(INDEX(SPPR!$E:$X,MATCH($A224,SPPR!$A:$A,0),6)),$C224*INDEX(SPPR!$E:$X,MATCH($A224,SPPR!$A:$A,0),6),""),"")</f>
        <v/>
      </c>
      <c r="J224">
        <f>IFERROR(IF(ISNUMBER(INDEX(SPPR!$E:$X,MATCH($A224,SPPR!$A:$A,0),7)),$C224*INDEX(SPPR!$E:$X,MATCH($A224,SPPR!$A:$A,0),7),""),"")</f>
        <v/>
      </c>
      <c r="K224">
        <f>IFERROR(IF(ISNUMBER(INDEX(SPPR!$E:$X,MATCH($A224,SPPR!$A:$A,0),8)),$C224*INDEX(SPPR!$E:$X,MATCH($A224,SPPR!$A:$A,0),8),""),"")</f>
        <v/>
      </c>
      <c r="L224">
        <f>IFERROR(IF(ISNUMBER(INDEX(SPPR!$E:$X,MATCH($A224,SPPR!$A:$A,0),9)),$C224*INDEX(SPPR!$E:$X,MATCH($A224,SPPR!$A:$A,0),9),""),"")</f>
        <v/>
      </c>
      <c r="M224">
        <f>IFERROR(IF(ISNUMBER(INDEX(SPPR!$E:$X,MATCH($A224,SPPR!$A:$A,0),10)),$C224*INDEX(SPPR!$E:$X,MATCH($A224,SPPR!$A:$A,0),10),""),"")</f>
        <v/>
      </c>
      <c r="N224">
        <f>IFERROR(IF(ISNUMBER(INDEX(SPPR!$E:$X,MATCH($A224,SPPR!$A:$A,0),11)),$C224*INDEX(SPPR!$E:$X,MATCH($A224,SPPR!$A:$A,0),11),""),"")</f>
        <v/>
      </c>
      <c r="O224">
        <f>IFERROR(IF(ISNUMBER(INDEX(SPPR!$E:$X,MATCH($A224,SPPR!$A:$A,0),12)),$C224*INDEX(SPPR!$E:$X,MATCH($A224,SPPR!$A:$A,0),12),""),"")</f>
        <v/>
      </c>
      <c r="P224">
        <f>IFERROR(IF(ISNUMBER(INDEX(SPPR!$E:$X,MATCH($A224,SPPR!$A:$A,0),13)),$C224*INDEX(SPPR!$E:$X,MATCH($A224,SPPR!$A:$A,0),13),""),"")</f>
        <v/>
      </c>
      <c r="Q224">
        <f>IFERROR(IF(ISNUMBER(INDEX(SPPR!$E:$X,MATCH($A224,SPPR!$A:$A,0),14)),$C224*INDEX(SPPR!$E:$X,MATCH($A224,SPPR!$A:$A,0),14),""),"")</f>
        <v/>
      </c>
      <c r="R224">
        <f>IFERROR(IF(ISNUMBER(INDEX(SPPR!$E:$X,MATCH($A224,SPPR!$A:$A,0),15)),$C224*INDEX(SPPR!$E:$X,MATCH($A224,SPPR!$A:$A,0),15),""),"")</f>
        <v/>
      </c>
      <c r="S224">
        <f>IFERROR(IF(ISNUMBER(INDEX(SPPR!$E:$X,MATCH($A224,SPPR!$A:$A,0),16)),$C224*INDEX(SPPR!$E:$X,MATCH($A224,SPPR!$A:$A,0),16),""),"")</f>
        <v/>
      </c>
      <c r="T224">
        <f>IFERROR(IF(ISNUMBER(INDEX(SPPR!$E:$X,MATCH($A224,SPPR!$A:$A,0),17)),$C224*INDEX(SPPR!$E:$X,MATCH($A224,SPPR!$A:$A,0),17),""),"")</f>
        <v/>
      </c>
      <c r="U224">
        <f>IFERROR(IF(ISNUMBER(INDEX(SPPR!$E:$X,MATCH($A224,SPPR!$A:$A,0),18)),$C224*INDEX(SPPR!$E:$X,MATCH($A224,SPPR!$A:$A,0),18),""),"")</f>
        <v/>
      </c>
      <c r="V224">
        <f>IFERROR(IF(ISNUMBER(INDEX(SPPR!$E:$X,MATCH($A224,SPPR!$A:$A,0),19)),$C224*INDEX(SPPR!$E:$X,MATCH($A224,SPPR!$A:$A,0),19),""),"")</f>
        <v/>
      </c>
      <c r="W224">
        <f>IFERROR(IF(ISNUMBER(INDEX(SPPR!$E:$X,MATCH($A224,SPPR!$A:$A,0),20)),$C224*INDEX(SPPR!$E:$X,MATCH($A224,SPPR!$A:$A,0),20),""),"")</f>
        <v/>
      </c>
    </row>
    <row r="225">
      <c r="A225" t="inlineStr">
        <is>
          <t>Dipturus oxyrinchus</t>
        </is>
      </c>
      <c r="B225">
        <f>IFERROR(INDEX(SPPR!$D:$D,MATCH($A225,SPPR!$A:$A,0)),"")</f>
        <v/>
      </c>
      <c r="C225">
        <f>IFERROR(INDEX(Catch!$E:$BV,MATCH($A225,Catch!$A:$A,0),MATCH($B$4,Catch!$E$1:$BV$1,0)),0)</f>
        <v/>
      </c>
      <c r="D225">
        <f>IFERROR(IF(ISNUMBER(INDEX(SPPR!$E:$X,MATCH($A225,SPPR!$A:$A,0),1)),$C225*INDEX(SPPR!$E:$X,MATCH($A225,SPPR!$A:$A,0),1),""),"")</f>
        <v/>
      </c>
      <c r="E225">
        <f>IFERROR(IF(ISNUMBER(INDEX(SPPR!$E:$X,MATCH($A225,SPPR!$A:$A,0),2)),$C225*INDEX(SPPR!$E:$X,MATCH($A225,SPPR!$A:$A,0),2),""),"")</f>
        <v/>
      </c>
      <c r="F225">
        <f>IFERROR(IF(ISNUMBER(INDEX(SPPR!$E:$X,MATCH($A225,SPPR!$A:$A,0),3)),$C225*INDEX(SPPR!$E:$X,MATCH($A225,SPPR!$A:$A,0),3),""),"")</f>
        <v/>
      </c>
      <c r="G225">
        <f>IFERROR(IF(ISNUMBER(INDEX(SPPR!$E:$X,MATCH($A225,SPPR!$A:$A,0),4)),$C225*INDEX(SPPR!$E:$X,MATCH($A225,SPPR!$A:$A,0),4),""),"")</f>
        <v/>
      </c>
      <c r="H225">
        <f>IFERROR(IF(ISNUMBER(INDEX(SPPR!$E:$X,MATCH($A225,SPPR!$A:$A,0),5)),$C225*INDEX(SPPR!$E:$X,MATCH($A225,SPPR!$A:$A,0),5),""),"")</f>
        <v/>
      </c>
      <c r="I225">
        <f>IFERROR(IF(ISNUMBER(INDEX(SPPR!$E:$X,MATCH($A225,SPPR!$A:$A,0),6)),$C225*INDEX(SPPR!$E:$X,MATCH($A225,SPPR!$A:$A,0),6),""),"")</f>
        <v/>
      </c>
      <c r="J225">
        <f>IFERROR(IF(ISNUMBER(INDEX(SPPR!$E:$X,MATCH($A225,SPPR!$A:$A,0),7)),$C225*INDEX(SPPR!$E:$X,MATCH($A225,SPPR!$A:$A,0),7),""),"")</f>
        <v/>
      </c>
      <c r="K225">
        <f>IFERROR(IF(ISNUMBER(INDEX(SPPR!$E:$X,MATCH($A225,SPPR!$A:$A,0),8)),$C225*INDEX(SPPR!$E:$X,MATCH($A225,SPPR!$A:$A,0),8),""),"")</f>
        <v/>
      </c>
      <c r="L225">
        <f>IFERROR(IF(ISNUMBER(INDEX(SPPR!$E:$X,MATCH($A225,SPPR!$A:$A,0),9)),$C225*INDEX(SPPR!$E:$X,MATCH($A225,SPPR!$A:$A,0),9),""),"")</f>
        <v/>
      </c>
      <c r="M225">
        <f>IFERROR(IF(ISNUMBER(INDEX(SPPR!$E:$X,MATCH($A225,SPPR!$A:$A,0),10)),$C225*INDEX(SPPR!$E:$X,MATCH($A225,SPPR!$A:$A,0),10),""),"")</f>
        <v/>
      </c>
      <c r="N225">
        <f>IFERROR(IF(ISNUMBER(INDEX(SPPR!$E:$X,MATCH($A225,SPPR!$A:$A,0),11)),$C225*INDEX(SPPR!$E:$X,MATCH($A225,SPPR!$A:$A,0),11),""),"")</f>
        <v/>
      </c>
      <c r="O225">
        <f>IFERROR(IF(ISNUMBER(INDEX(SPPR!$E:$X,MATCH($A225,SPPR!$A:$A,0),12)),$C225*INDEX(SPPR!$E:$X,MATCH($A225,SPPR!$A:$A,0),12),""),"")</f>
        <v/>
      </c>
      <c r="P225">
        <f>IFERROR(IF(ISNUMBER(INDEX(SPPR!$E:$X,MATCH($A225,SPPR!$A:$A,0),13)),$C225*INDEX(SPPR!$E:$X,MATCH($A225,SPPR!$A:$A,0),13),""),"")</f>
        <v/>
      </c>
      <c r="Q225">
        <f>IFERROR(IF(ISNUMBER(INDEX(SPPR!$E:$X,MATCH($A225,SPPR!$A:$A,0),14)),$C225*INDEX(SPPR!$E:$X,MATCH($A225,SPPR!$A:$A,0),14),""),"")</f>
        <v/>
      </c>
      <c r="R225">
        <f>IFERROR(IF(ISNUMBER(INDEX(SPPR!$E:$X,MATCH($A225,SPPR!$A:$A,0),15)),$C225*INDEX(SPPR!$E:$X,MATCH($A225,SPPR!$A:$A,0),15),""),"")</f>
        <v/>
      </c>
      <c r="S225">
        <f>IFERROR(IF(ISNUMBER(INDEX(SPPR!$E:$X,MATCH($A225,SPPR!$A:$A,0),16)),$C225*INDEX(SPPR!$E:$X,MATCH($A225,SPPR!$A:$A,0),16),""),"")</f>
        <v/>
      </c>
      <c r="T225">
        <f>IFERROR(IF(ISNUMBER(INDEX(SPPR!$E:$X,MATCH($A225,SPPR!$A:$A,0),17)),$C225*INDEX(SPPR!$E:$X,MATCH($A225,SPPR!$A:$A,0),17),""),"")</f>
        <v/>
      </c>
      <c r="U225">
        <f>IFERROR(IF(ISNUMBER(INDEX(SPPR!$E:$X,MATCH($A225,SPPR!$A:$A,0),18)),$C225*INDEX(SPPR!$E:$X,MATCH($A225,SPPR!$A:$A,0),18),""),"")</f>
        <v/>
      </c>
      <c r="V225">
        <f>IFERROR(IF(ISNUMBER(INDEX(SPPR!$E:$X,MATCH($A225,SPPR!$A:$A,0),19)),$C225*INDEX(SPPR!$E:$X,MATCH($A225,SPPR!$A:$A,0),19),""),"")</f>
        <v/>
      </c>
      <c r="W225">
        <f>IFERROR(IF(ISNUMBER(INDEX(SPPR!$E:$X,MATCH($A225,SPPR!$A:$A,0),20)),$C225*INDEX(SPPR!$E:$X,MATCH($A225,SPPR!$A:$A,0),20),""),"")</f>
        <v/>
      </c>
    </row>
    <row r="226">
      <c r="A226" t="inlineStr">
        <is>
          <t>Centroselachus crepidater</t>
        </is>
      </c>
      <c r="B226">
        <f>IFERROR(INDEX(SPPR!$D:$D,MATCH($A226,SPPR!$A:$A,0)),"")</f>
        <v/>
      </c>
      <c r="C226">
        <f>IFERROR(INDEX(Catch!$E:$BV,MATCH($A226,Catch!$A:$A,0),MATCH($B$4,Catch!$E$1:$BV$1,0)),0)</f>
        <v/>
      </c>
      <c r="D226">
        <f>IFERROR(IF(ISNUMBER(INDEX(SPPR!$E:$X,MATCH($A226,SPPR!$A:$A,0),1)),$C226*INDEX(SPPR!$E:$X,MATCH($A226,SPPR!$A:$A,0),1),""),"")</f>
        <v/>
      </c>
      <c r="E226">
        <f>IFERROR(IF(ISNUMBER(INDEX(SPPR!$E:$X,MATCH($A226,SPPR!$A:$A,0),2)),$C226*INDEX(SPPR!$E:$X,MATCH($A226,SPPR!$A:$A,0),2),""),"")</f>
        <v/>
      </c>
      <c r="F226">
        <f>IFERROR(IF(ISNUMBER(INDEX(SPPR!$E:$X,MATCH($A226,SPPR!$A:$A,0),3)),$C226*INDEX(SPPR!$E:$X,MATCH($A226,SPPR!$A:$A,0),3),""),"")</f>
        <v/>
      </c>
      <c r="G226">
        <f>IFERROR(IF(ISNUMBER(INDEX(SPPR!$E:$X,MATCH($A226,SPPR!$A:$A,0),4)),$C226*INDEX(SPPR!$E:$X,MATCH($A226,SPPR!$A:$A,0),4),""),"")</f>
        <v/>
      </c>
      <c r="H226">
        <f>IFERROR(IF(ISNUMBER(INDEX(SPPR!$E:$X,MATCH($A226,SPPR!$A:$A,0),5)),$C226*INDEX(SPPR!$E:$X,MATCH($A226,SPPR!$A:$A,0),5),""),"")</f>
        <v/>
      </c>
      <c r="I226">
        <f>IFERROR(IF(ISNUMBER(INDEX(SPPR!$E:$X,MATCH($A226,SPPR!$A:$A,0),6)),$C226*INDEX(SPPR!$E:$X,MATCH($A226,SPPR!$A:$A,0),6),""),"")</f>
        <v/>
      </c>
      <c r="J226">
        <f>IFERROR(IF(ISNUMBER(INDEX(SPPR!$E:$X,MATCH($A226,SPPR!$A:$A,0),7)),$C226*INDEX(SPPR!$E:$X,MATCH($A226,SPPR!$A:$A,0),7),""),"")</f>
        <v/>
      </c>
      <c r="K226">
        <f>IFERROR(IF(ISNUMBER(INDEX(SPPR!$E:$X,MATCH($A226,SPPR!$A:$A,0),8)),$C226*INDEX(SPPR!$E:$X,MATCH($A226,SPPR!$A:$A,0),8),""),"")</f>
        <v/>
      </c>
      <c r="L226">
        <f>IFERROR(IF(ISNUMBER(INDEX(SPPR!$E:$X,MATCH($A226,SPPR!$A:$A,0),9)),$C226*INDEX(SPPR!$E:$X,MATCH($A226,SPPR!$A:$A,0),9),""),"")</f>
        <v/>
      </c>
      <c r="M226">
        <f>IFERROR(IF(ISNUMBER(INDEX(SPPR!$E:$X,MATCH($A226,SPPR!$A:$A,0),10)),$C226*INDEX(SPPR!$E:$X,MATCH($A226,SPPR!$A:$A,0),10),""),"")</f>
        <v/>
      </c>
      <c r="N226">
        <f>IFERROR(IF(ISNUMBER(INDEX(SPPR!$E:$X,MATCH($A226,SPPR!$A:$A,0),11)),$C226*INDEX(SPPR!$E:$X,MATCH($A226,SPPR!$A:$A,0),11),""),"")</f>
        <v/>
      </c>
      <c r="O226">
        <f>IFERROR(IF(ISNUMBER(INDEX(SPPR!$E:$X,MATCH($A226,SPPR!$A:$A,0),12)),$C226*INDEX(SPPR!$E:$X,MATCH($A226,SPPR!$A:$A,0),12),""),"")</f>
        <v/>
      </c>
      <c r="P226">
        <f>IFERROR(IF(ISNUMBER(INDEX(SPPR!$E:$X,MATCH($A226,SPPR!$A:$A,0),13)),$C226*INDEX(SPPR!$E:$X,MATCH($A226,SPPR!$A:$A,0),13),""),"")</f>
        <v/>
      </c>
      <c r="Q226">
        <f>IFERROR(IF(ISNUMBER(INDEX(SPPR!$E:$X,MATCH($A226,SPPR!$A:$A,0),14)),$C226*INDEX(SPPR!$E:$X,MATCH($A226,SPPR!$A:$A,0),14),""),"")</f>
        <v/>
      </c>
      <c r="R226">
        <f>IFERROR(IF(ISNUMBER(INDEX(SPPR!$E:$X,MATCH($A226,SPPR!$A:$A,0),15)),$C226*INDEX(SPPR!$E:$X,MATCH($A226,SPPR!$A:$A,0),15),""),"")</f>
        <v/>
      </c>
      <c r="S226">
        <f>IFERROR(IF(ISNUMBER(INDEX(SPPR!$E:$X,MATCH($A226,SPPR!$A:$A,0),16)),$C226*INDEX(SPPR!$E:$X,MATCH($A226,SPPR!$A:$A,0),16),""),"")</f>
        <v/>
      </c>
      <c r="T226">
        <f>IFERROR(IF(ISNUMBER(INDEX(SPPR!$E:$X,MATCH($A226,SPPR!$A:$A,0),17)),$C226*INDEX(SPPR!$E:$X,MATCH($A226,SPPR!$A:$A,0),17),""),"")</f>
        <v/>
      </c>
      <c r="U226">
        <f>IFERROR(IF(ISNUMBER(INDEX(SPPR!$E:$X,MATCH($A226,SPPR!$A:$A,0),18)),$C226*INDEX(SPPR!$E:$X,MATCH($A226,SPPR!$A:$A,0),18),""),"")</f>
        <v/>
      </c>
      <c r="V226">
        <f>IFERROR(IF(ISNUMBER(INDEX(SPPR!$E:$X,MATCH($A226,SPPR!$A:$A,0),19)),$C226*INDEX(SPPR!$E:$X,MATCH($A226,SPPR!$A:$A,0),19),""),"")</f>
        <v/>
      </c>
      <c r="W226">
        <f>IFERROR(IF(ISNUMBER(INDEX(SPPR!$E:$X,MATCH($A226,SPPR!$A:$A,0),20)),$C226*INDEX(SPPR!$E:$X,MATCH($A226,SPPR!$A:$A,0),20),""),"")</f>
        <v/>
      </c>
    </row>
    <row r="227">
      <c r="A227" t="inlineStr">
        <is>
          <t>Miscellaneous diadromous fishes</t>
        </is>
      </c>
      <c r="B227">
        <f>IFERROR(INDEX(SPPR!$D:$D,MATCH($A227,SPPR!$A:$A,0)),"")</f>
        <v/>
      </c>
      <c r="C227">
        <f>IFERROR(INDEX(Catch!$E:$BV,MATCH($A227,Catch!$A:$A,0),MATCH($B$4,Catch!$E$1:$BV$1,0)),0)</f>
        <v/>
      </c>
      <c r="D227">
        <f>IFERROR(IF(ISNUMBER(INDEX(SPPR!$E:$X,MATCH($A227,SPPR!$A:$A,0),1)),$C227*INDEX(SPPR!$E:$X,MATCH($A227,SPPR!$A:$A,0),1),""),"")</f>
        <v/>
      </c>
      <c r="E227">
        <f>IFERROR(IF(ISNUMBER(INDEX(SPPR!$E:$X,MATCH($A227,SPPR!$A:$A,0),2)),$C227*INDEX(SPPR!$E:$X,MATCH($A227,SPPR!$A:$A,0),2),""),"")</f>
        <v/>
      </c>
      <c r="F227">
        <f>IFERROR(IF(ISNUMBER(INDEX(SPPR!$E:$X,MATCH($A227,SPPR!$A:$A,0),3)),$C227*INDEX(SPPR!$E:$X,MATCH($A227,SPPR!$A:$A,0),3),""),"")</f>
        <v/>
      </c>
      <c r="G227">
        <f>IFERROR(IF(ISNUMBER(INDEX(SPPR!$E:$X,MATCH($A227,SPPR!$A:$A,0),4)),$C227*INDEX(SPPR!$E:$X,MATCH($A227,SPPR!$A:$A,0),4),""),"")</f>
        <v/>
      </c>
      <c r="H227">
        <f>IFERROR(IF(ISNUMBER(INDEX(SPPR!$E:$X,MATCH($A227,SPPR!$A:$A,0),5)),$C227*INDEX(SPPR!$E:$X,MATCH($A227,SPPR!$A:$A,0),5),""),"")</f>
        <v/>
      </c>
      <c r="I227">
        <f>IFERROR(IF(ISNUMBER(INDEX(SPPR!$E:$X,MATCH($A227,SPPR!$A:$A,0),6)),$C227*INDEX(SPPR!$E:$X,MATCH($A227,SPPR!$A:$A,0),6),""),"")</f>
        <v/>
      </c>
      <c r="J227">
        <f>IFERROR(IF(ISNUMBER(INDEX(SPPR!$E:$X,MATCH($A227,SPPR!$A:$A,0),7)),$C227*INDEX(SPPR!$E:$X,MATCH($A227,SPPR!$A:$A,0),7),""),"")</f>
        <v/>
      </c>
      <c r="K227">
        <f>IFERROR(IF(ISNUMBER(INDEX(SPPR!$E:$X,MATCH($A227,SPPR!$A:$A,0),8)),$C227*INDEX(SPPR!$E:$X,MATCH($A227,SPPR!$A:$A,0),8),""),"")</f>
        <v/>
      </c>
      <c r="L227">
        <f>IFERROR(IF(ISNUMBER(INDEX(SPPR!$E:$X,MATCH($A227,SPPR!$A:$A,0),9)),$C227*INDEX(SPPR!$E:$X,MATCH($A227,SPPR!$A:$A,0),9),""),"")</f>
        <v/>
      </c>
      <c r="M227">
        <f>IFERROR(IF(ISNUMBER(INDEX(SPPR!$E:$X,MATCH($A227,SPPR!$A:$A,0),10)),$C227*INDEX(SPPR!$E:$X,MATCH($A227,SPPR!$A:$A,0),10),""),"")</f>
        <v/>
      </c>
      <c r="N227">
        <f>IFERROR(IF(ISNUMBER(INDEX(SPPR!$E:$X,MATCH($A227,SPPR!$A:$A,0),11)),$C227*INDEX(SPPR!$E:$X,MATCH($A227,SPPR!$A:$A,0),11),""),"")</f>
        <v/>
      </c>
      <c r="O227">
        <f>IFERROR(IF(ISNUMBER(INDEX(SPPR!$E:$X,MATCH($A227,SPPR!$A:$A,0),12)),$C227*INDEX(SPPR!$E:$X,MATCH($A227,SPPR!$A:$A,0),12),""),"")</f>
        <v/>
      </c>
      <c r="P227">
        <f>IFERROR(IF(ISNUMBER(INDEX(SPPR!$E:$X,MATCH($A227,SPPR!$A:$A,0),13)),$C227*INDEX(SPPR!$E:$X,MATCH($A227,SPPR!$A:$A,0),13),""),"")</f>
        <v/>
      </c>
      <c r="Q227">
        <f>IFERROR(IF(ISNUMBER(INDEX(SPPR!$E:$X,MATCH($A227,SPPR!$A:$A,0),14)),$C227*INDEX(SPPR!$E:$X,MATCH($A227,SPPR!$A:$A,0),14),""),"")</f>
        <v/>
      </c>
      <c r="R227">
        <f>IFERROR(IF(ISNUMBER(INDEX(SPPR!$E:$X,MATCH($A227,SPPR!$A:$A,0),15)),$C227*INDEX(SPPR!$E:$X,MATCH($A227,SPPR!$A:$A,0),15),""),"")</f>
        <v/>
      </c>
      <c r="S227">
        <f>IFERROR(IF(ISNUMBER(INDEX(SPPR!$E:$X,MATCH($A227,SPPR!$A:$A,0),16)),$C227*INDEX(SPPR!$E:$X,MATCH($A227,SPPR!$A:$A,0),16),""),"")</f>
        <v/>
      </c>
      <c r="T227">
        <f>IFERROR(IF(ISNUMBER(INDEX(SPPR!$E:$X,MATCH($A227,SPPR!$A:$A,0),17)),$C227*INDEX(SPPR!$E:$X,MATCH($A227,SPPR!$A:$A,0),17),""),"")</f>
        <v/>
      </c>
      <c r="U227">
        <f>IFERROR(IF(ISNUMBER(INDEX(SPPR!$E:$X,MATCH($A227,SPPR!$A:$A,0),18)),$C227*INDEX(SPPR!$E:$X,MATCH($A227,SPPR!$A:$A,0),18),""),"")</f>
        <v/>
      </c>
      <c r="V227">
        <f>IFERROR(IF(ISNUMBER(INDEX(SPPR!$E:$X,MATCH($A227,SPPR!$A:$A,0),19)),$C227*INDEX(SPPR!$E:$X,MATCH($A227,SPPR!$A:$A,0),19),""),"")</f>
        <v/>
      </c>
      <c r="W227">
        <f>IFERROR(IF(ISNUMBER(INDEX(SPPR!$E:$X,MATCH($A227,SPPR!$A:$A,0),20)),$C227*INDEX(SPPR!$E:$X,MATCH($A227,SPPR!$A:$A,0),20),""),"")</f>
        <v/>
      </c>
    </row>
    <row r="228">
      <c r="A228" t="inlineStr">
        <is>
          <t>Dipturus nidarosiensis</t>
        </is>
      </c>
      <c r="B228">
        <f>IFERROR(INDEX(SPPR!$D:$D,MATCH($A228,SPPR!$A:$A,0)),"")</f>
        <v/>
      </c>
      <c r="C228">
        <f>IFERROR(INDEX(Catch!$E:$BV,MATCH($A228,Catch!$A:$A,0),MATCH($B$4,Catch!$E$1:$BV$1,0)),0)</f>
        <v/>
      </c>
      <c r="D228">
        <f>IFERROR(IF(ISNUMBER(INDEX(SPPR!$E:$X,MATCH($A228,SPPR!$A:$A,0),1)),$C228*INDEX(SPPR!$E:$X,MATCH($A228,SPPR!$A:$A,0),1),""),"")</f>
        <v/>
      </c>
      <c r="E228">
        <f>IFERROR(IF(ISNUMBER(INDEX(SPPR!$E:$X,MATCH($A228,SPPR!$A:$A,0),2)),$C228*INDEX(SPPR!$E:$X,MATCH($A228,SPPR!$A:$A,0),2),""),"")</f>
        <v/>
      </c>
      <c r="F228">
        <f>IFERROR(IF(ISNUMBER(INDEX(SPPR!$E:$X,MATCH($A228,SPPR!$A:$A,0),3)),$C228*INDEX(SPPR!$E:$X,MATCH($A228,SPPR!$A:$A,0),3),""),"")</f>
        <v/>
      </c>
      <c r="G228">
        <f>IFERROR(IF(ISNUMBER(INDEX(SPPR!$E:$X,MATCH($A228,SPPR!$A:$A,0),4)),$C228*INDEX(SPPR!$E:$X,MATCH($A228,SPPR!$A:$A,0),4),""),"")</f>
        <v/>
      </c>
      <c r="H228">
        <f>IFERROR(IF(ISNUMBER(INDEX(SPPR!$E:$X,MATCH($A228,SPPR!$A:$A,0),5)),$C228*INDEX(SPPR!$E:$X,MATCH($A228,SPPR!$A:$A,0),5),""),"")</f>
        <v/>
      </c>
      <c r="I228">
        <f>IFERROR(IF(ISNUMBER(INDEX(SPPR!$E:$X,MATCH($A228,SPPR!$A:$A,0),6)),$C228*INDEX(SPPR!$E:$X,MATCH($A228,SPPR!$A:$A,0),6),""),"")</f>
        <v/>
      </c>
      <c r="J228">
        <f>IFERROR(IF(ISNUMBER(INDEX(SPPR!$E:$X,MATCH($A228,SPPR!$A:$A,0),7)),$C228*INDEX(SPPR!$E:$X,MATCH($A228,SPPR!$A:$A,0),7),""),"")</f>
        <v/>
      </c>
      <c r="K228">
        <f>IFERROR(IF(ISNUMBER(INDEX(SPPR!$E:$X,MATCH($A228,SPPR!$A:$A,0),8)),$C228*INDEX(SPPR!$E:$X,MATCH($A228,SPPR!$A:$A,0),8),""),"")</f>
        <v/>
      </c>
      <c r="L228">
        <f>IFERROR(IF(ISNUMBER(INDEX(SPPR!$E:$X,MATCH($A228,SPPR!$A:$A,0),9)),$C228*INDEX(SPPR!$E:$X,MATCH($A228,SPPR!$A:$A,0),9),""),"")</f>
        <v/>
      </c>
      <c r="M228">
        <f>IFERROR(IF(ISNUMBER(INDEX(SPPR!$E:$X,MATCH($A228,SPPR!$A:$A,0),10)),$C228*INDEX(SPPR!$E:$X,MATCH($A228,SPPR!$A:$A,0),10),""),"")</f>
        <v/>
      </c>
      <c r="N228">
        <f>IFERROR(IF(ISNUMBER(INDEX(SPPR!$E:$X,MATCH($A228,SPPR!$A:$A,0),11)),$C228*INDEX(SPPR!$E:$X,MATCH($A228,SPPR!$A:$A,0),11),""),"")</f>
        <v/>
      </c>
      <c r="O228">
        <f>IFERROR(IF(ISNUMBER(INDEX(SPPR!$E:$X,MATCH($A228,SPPR!$A:$A,0),12)),$C228*INDEX(SPPR!$E:$X,MATCH($A228,SPPR!$A:$A,0),12),""),"")</f>
        <v/>
      </c>
      <c r="P228">
        <f>IFERROR(IF(ISNUMBER(INDEX(SPPR!$E:$X,MATCH($A228,SPPR!$A:$A,0),13)),$C228*INDEX(SPPR!$E:$X,MATCH($A228,SPPR!$A:$A,0),13),""),"")</f>
        <v/>
      </c>
      <c r="Q228">
        <f>IFERROR(IF(ISNUMBER(INDEX(SPPR!$E:$X,MATCH($A228,SPPR!$A:$A,0),14)),$C228*INDEX(SPPR!$E:$X,MATCH($A228,SPPR!$A:$A,0),14),""),"")</f>
        <v/>
      </c>
      <c r="R228">
        <f>IFERROR(IF(ISNUMBER(INDEX(SPPR!$E:$X,MATCH($A228,SPPR!$A:$A,0),15)),$C228*INDEX(SPPR!$E:$X,MATCH($A228,SPPR!$A:$A,0),15),""),"")</f>
        <v/>
      </c>
      <c r="S228">
        <f>IFERROR(IF(ISNUMBER(INDEX(SPPR!$E:$X,MATCH($A228,SPPR!$A:$A,0),16)),$C228*INDEX(SPPR!$E:$X,MATCH($A228,SPPR!$A:$A,0),16),""),"")</f>
        <v/>
      </c>
      <c r="T228">
        <f>IFERROR(IF(ISNUMBER(INDEX(SPPR!$E:$X,MATCH($A228,SPPR!$A:$A,0),17)),$C228*INDEX(SPPR!$E:$X,MATCH($A228,SPPR!$A:$A,0),17),""),"")</f>
        <v/>
      </c>
      <c r="U228">
        <f>IFERROR(IF(ISNUMBER(INDEX(SPPR!$E:$X,MATCH($A228,SPPR!$A:$A,0),18)),$C228*INDEX(SPPR!$E:$X,MATCH($A228,SPPR!$A:$A,0),18),""),"")</f>
        <v/>
      </c>
      <c r="V228">
        <f>IFERROR(IF(ISNUMBER(INDEX(SPPR!$E:$X,MATCH($A228,SPPR!$A:$A,0),19)),$C228*INDEX(SPPR!$E:$X,MATCH($A228,SPPR!$A:$A,0),19),""),"")</f>
        <v/>
      </c>
      <c r="W228">
        <f>IFERROR(IF(ISNUMBER(INDEX(SPPR!$E:$X,MATCH($A228,SPPR!$A:$A,0),20)),$C228*INDEX(SPPR!$E:$X,MATCH($A228,SPPR!$A:$A,0),20),""),"")</f>
        <v/>
      </c>
    </row>
    <row r="229">
      <c r="A229" t="inlineStr">
        <is>
          <t>Scyliorhinidae</t>
        </is>
      </c>
      <c r="B229">
        <f>IFERROR(INDEX(SPPR!$D:$D,MATCH($A229,SPPR!$A:$A,0)),"")</f>
        <v/>
      </c>
      <c r="C229">
        <f>IFERROR(INDEX(Catch!$E:$BV,MATCH($A229,Catch!$A:$A,0),MATCH($B$4,Catch!$E$1:$BV$1,0)),0)</f>
        <v/>
      </c>
      <c r="D229">
        <f>IFERROR(IF(ISNUMBER(INDEX(SPPR!$E:$X,MATCH($A229,SPPR!$A:$A,0),1)),$C229*INDEX(SPPR!$E:$X,MATCH($A229,SPPR!$A:$A,0),1),""),"")</f>
        <v/>
      </c>
      <c r="E229">
        <f>IFERROR(IF(ISNUMBER(INDEX(SPPR!$E:$X,MATCH($A229,SPPR!$A:$A,0),2)),$C229*INDEX(SPPR!$E:$X,MATCH($A229,SPPR!$A:$A,0),2),""),"")</f>
        <v/>
      </c>
      <c r="F229">
        <f>IFERROR(IF(ISNUMBER(INDEX(SPPR!$E:$X,MATCH($A229,SPPR!$A:$A,0),3)),$C229*INDEX(SPPR!$E:$X,MATCH($A229,SPPR!$A:$A,0),3),""),"")</f>
        <v/>
      </c>
      <c r="G229">
        <f>IFERROR(IF(ISNUMBER(INDEX(SPPR!$E:$X,MATCH($A229,SPPR!$A:$A,0),4)),$C229*INDEX(SPPR!$E:$X,MATCH($A229,SPPR!$A:$A,0),4),""),"")</f>
        <v/>
      </c>
      <c r="H229">
        <f>IFERROR(IF(ISNUMBER(INDEX(SPPR!$E:$X,MATCH($A229,SPPR!$A:$A,0),5)),$C229*INDEX(SPPR!$E:$X,MATCH($A229,SPPR!$A:$A,0),5),""),"")</f>
        <v/>
      </c>
      <c r="I229">
        <f>IFERROR(IF(ISNUMBER(INDEX(SPPR!$E:$X,MATCH($A229,SPPR!$A:$A,0),6)),$C229*INDEX(SPPR!$E:$X,MATCH($A229,SPPR!$A:$A,0),6),""),"")</f>
        <v/>
      </c>
      <c r="J229">
        <f>IFERROR(IF(ISNUMBER(INDEX(SPPR!$E:$X,MATCH($A229,SPPR!$A:$A,0),7)),$C229*INDEX(SPPR!$E:$X,MATCH($A229,SPPR!$A:$A,0),7),""),"")</f>
        <v/>
      </c>
      <c r="K229">
        <f>IFERROR(IF(ISNUMBER(INDEX(SPPR!$E:$X,MATCH($A229,SPPR!$A:$A,0),8)),$C229*INDEX(SPPR!$E:$X,MATCH($A229,SPPR!$A:$A,0),8),""),"")</f>
        <v/>
      </c>
      <c r="L229">
        <f>IFERROR(IF(ISNUMBER(INDEX(SPPR!$E:$X,MATCH($A229,SPPR!$A:$A,0),9)),$C229*INDEX(SPPR!$E:$X,MATCH($A229,SPPR!$A:$A,0),9),""),"")</f>
        <v/>
      </c>
      <c r="M229">
        <f>IFERROR(IF(ISNUMBER(INDEX(SPPR!$E:$X,MATCH($A229,SPPR!$A:$A,0),10)),$C229*INDEX(SPPR!$E:$X,MATCH($A229,SPPR!$A:$A,0),10),""),"")</f>
        <v/>
      </c>
      <c r="N229">
        <f>IFERROR(IF(ISNUMBER(INDEX(SPPR!$E:$X,MATCH($A229,SPPR!$A:$A,0),11)),$C229*INDEX(SPPR!$E:$X,MATCH($A229,SPPR!$A:$A,0),11),""),"")</f>
        <v/>
      </c>
      <c r="O229">
        <f>IFERROR(IF(ISNUMBER(INDEX(SPPR!$E:$X,MATCH($A229,SPPR!$A:$A,0),12)),$C229*INDEX(SPPR!$E:$X,MATCH($A229,SPPR!$A:$A,0),12),""),"")</f>
        <v/>
      </c>
      <c r="P229">
        <f>IFERROR(IF(ISNUMBER(INDEX(SPPR!$E:$X,MATCH($A229,SPPR!$A:$A,0),13)),$C229*INDEX(SPPR!$E:$X,MATCH($A229,SPPR!$A:$A,0),13),""),"")</f>
        <v/>
      </c>
      <c r="Q229">
        <f>IFERROR(IF(ISNUMBER(INDEX(SPPR!$E:$X,MATCH($A229,SPPR!$A:$A,0),14)),$C229*INDEX(SPPR!$E:$X,MATCH($A229,SPPR!$A:$A,0),14),""),"")</f>
        <v/>
      </c>
      <c r="R229">
        <f>IFERROR(IF(ISNUMBER(INDEX(SPPR!$E:$X,MATCH($A229,SPPR!$A:$A,0),15)),$C229*INDEX(SPPR!$E:$X,MATCH($A229,SPPR!$A:$A,0),15),""),"")</f>
        <v/>
      </c>
      <c r="S229">
        <f>IFERROR(IF(ISNUMBER(INDEX(SPPR!$E:$X,MATCH($A229,SPPR!$A:$A,0),16)),$C229*INDEX(SPPR!$E:$X,MATCH($A229,SPPR!$A:$A,0),16),""),"")</f>
        <v/>
      </c>
      <c r="T229">
        <f>IFERROR(IF(ISNUMBER(INDEX(SPPR!$E:$X,MATCH($A229,SPPR!$A:$A,0),17)),$C229*INDEX(SPPR!$E:$X,MATCH($A229,SPPR!$A:$A,0),17),""),"")</f>
        <v/>
      </c>
      <c r="U229">
        <f>IFERROR(IF(ISNUMBER(INDEX(SPPR!$E:$X,MATCH($A229,SPPR!$A:$A,0),18)),$C229*INDEX(SPPR!$E:$X,MATCH($A229,SPPR!$A:$A,0),18),""),"")</f>
        <v/>
      </c>
      <c r="V229">
        <f>IFERROR(IF(ISNUMBER(INDEX(SPPR!$E:$X,MATCH($A229,SPPR!$A:$A,0),19)),$C229*INDEX(SPPR!$E:$X,MATCH($A229,SPPR!$A:$A,0),19),""),"")</f>
        <v/>
      </c>
      <c r="W229">
        <f>IFERROR(IF(ISNUMBER(INDEX(SPPR!$E:$X,MATCH($A229,SPPR!$A:$A,0),20)),$C229*INDEX(SPPR!$E:$X,MATCH($A229,SPPR!$A:$A,0),20),""),"")</f>
        <v/>
      </c>
    </row>
    <row r="230">
      <c r="A230" t="inlineStr">
        <is>
          <t>Salmonidae</t>
        </is>
      </c>
      <c r="B230">
        <f>IFERROR(INDEX(SPPR!$D:$D,MATCH($A230,SPPR!$A:$A,0)),"")</f>
        <v/>
      </c>
      <c r="C230">
        <f>IFERROR(INDEX(Catch!$E:$BV,MATCH($A230,Catch!$A:$A,0),MATCH($B$4,Catch!$E$1:$BV$1,0)),0)</f>
        <v/>
      </c>
      <c r="D230">
        <f>IFERROR(IF(ISNUMBER(INDEX(SPPR!$E:$X,MATCH($A230,SPPR!$A:$A,0),1)),$C230*INDEX(SPPR!$E:$X,MATCH($A230,SPPR!$A:$A,0),1),""),"")</f>
        <v/>
      </c>
      <c r="E230">
        <f>IFERROR(IF(ISNUMBER(INDEX(SPPR!$E:$X,MATCH($A230,SPPR!$A:$A,0),2)),$C230*INDEX(SPPR!$E:$X,MATCH($A230,SPPR!$A:$A,0),2),""),"")</f>
        <v/>
      </c>
      <c r="F230">
        <f>IFERROR(IF(ISNUMBER(INDEX(SPPR!$E:$X,MATCH($A230,SPPR!$A:$A,0),3)),$C230*INDEX(SPPR!$E:$X,MATCH($A230,SPPR!$A:$A,0),3),""),"")</f>
        <v/>
      </c>
      <c r="G230">
        <f>IFERROR(IF(ISNUMBER(INDEX(SPPR!$E:$X,MATCH($A230,SPPR!$A:$A,0),4)),$C230*INDEX(SPPR!$E:$X,MATCH($A230,SPPR!$A:$A,0),4),""),"")</f>
        <v/>
      </c>
      <c r="H230">
        <f>IFERROR(IF(ISNUMBER(INDEX(SPPR!$E:$X,MATCH($A230,SPPR!$A:$A,0),5)),$C230*INDEX(SPPR!$E:$X,MATCH($A230,SPPR!$A:$A,0),5),""),"")</f>
        <v/>
      </c>
      <c r="I230">
        <f>IFERROR(IF(ISNUMBER(INDEX(SPPR!$E:$X,MATCH($A230,SPPR!$A:$A,0),6)),$C230*INDEX(SPPR!$E:$X,MATCH($A230,SPPR!$A:$A,0),6),""),"")</f>
        <v/>
      </c>
      <c r="J230">
        <f>IFERROR(IF(ISNUMBER(INDEX(SPPR!$E:$X,MATCH($A230,SPPR!$A:$A,0),7)),$C230*INDEX(SPPR!$E:$X,MATCH($A230,SPPR!$A:$A,0),7),""),"")</f>
        <v/>
      </c>
      <c r="K230">
        <f>IFERROR(IF(ISNUMBER(INDEX(SPPR!$E:$X,MATCH($A230,SPPR!$A:$A,0),8)),$C230*INDEX(SPPR!$E:$X,MATCH($A230,SPPR!$A:$A,0),8),""),"")</f>
        <v/>
      </c>
      <c r="L230">
        <f>IFERROR(IF(ISNUMBER(INDEX(SPPR!$E:$X,MATCH($A230,SPPR!$A:$A,0),9)),$C230*INDEX(SPPR!$E:$X,MATCH($A230,SPPR!$A:$A,0),9),""),"")</f>
        <v/>
      </c>
      <c r="M230">
        <f>IFERROR(IF(ISNUMBER(INDEX(SPPR!$E:$X,MATCH($A230,SPPR!$A:$A,0),10)),$C230*INDEX(SPPR!$E:$X,MATCH($A230,SPPR!$A:$A,0),10),""),"")</f>
        <v/>
      </c>
      <c r="N230">
        <f>IFERROR(IF(ISNUMBER(INDEX(SPPR!$E:$X,MATCH($A230,SPPR!$A:$A,0),11)),$C230*INDEX(SPPR!$E:$X,MATCH($A230,SPPR!$A:$A,0),11),""),"")</f>
        <v/>
      </c>
      <c r="O230">
        <f>IFERROR(IF(ISNUMBER(INDEX(SPPR!$E:$X,MATCH($A230,SPPR!$A:$A,0),12)),$C230*INDEX(SPPR!$E:$X,MATCH($A230,SPPR!$A:$A,0),12),""),"")</f>
        <v/>
      </c>
      <c r="P230">
        <f>IFERROR(IF(ISNUMBER(INDEX(SPPR!$E:$X,MATCH($A230,SPPR!$A:$A,0),13)),$C230*INDEX(SPPR!$E:$X,MATCH($A230,SPPR!$A:$A,0),13),""),"")</f>
        <v/>
      </c>
      <c r="Q230">
        <f>IFERROR(IF(ISNUMBER(INDEX(SPPR!$E:$X,MATCH($A230,SPPR!$A:$A,0),14)),$C230*INDEX(SPPR!$E:$X,MATCH($A230,SPPR!$A:$A,0),14),""),"")</f>
        <v/>
      </c>
      <c r="R230">
        <f>IFERROR(IF(ISNUMBER(INDEX(SPPR!$E:$X,MATCH($A230,SPPR!$A:$A,0),15)),$C230*INDEX(SPPR!$E:$X,MATCH($A230,SPPR!$A:$A,0),15),""),"")</f>
        <v/>
      </c>
      <c r="S230">
        <f>IFERROR(IF(ISNUMBER(INDEX(SPPR!$E:$X,MATCH($A230,SPPR!$A:$A,0),16)),$C230*INDEX(SPPR!$E:$X,MATCH($A230,SPPR!$A:$A,0),16),""),"")</f>
        <v/>
      </c>
      <c r="T230">
        <f>IFERROR(IF(ISNUMBER(INDEX(SPPR!$E:$X,MATCH($A230,SPPR!$A:$A,0),17)),$C230*INDEX(SPPR!$E:$X,MATCH($A230,SPPR!$A:$A,0),17),""),"")</f>
        <v/>
      </c>
      <c r="U230">
        <f>IFERROR(IF(ISNUMBER(INDEX(SPPR!$E:$X,MATCH($A230,SPPR!$A:$A,0),18)),$C230*INDEX(SPPR!$E:$X,MATCH($A230,SPPR!$A:$A,0),18),""),"")</f>
        <v/>
      </c>
      <c r="V230">
        <f>IFERROR(IF(ISNUMBER(INDEX(SPPR!$E:$X,MATCH($A230,SPPR!$A:$A,0),19)),$C230*INDEX(SPPR!$E:$X,MATCH($A230,SPPR!$A:$A,0),19),""),"")</f>
        <v/>
      </c>
      <c r="W230">
        <f>IFERROR(IF(ISNUMBER(INDEX(SPPR!$E:$X,MATCH($A230,SPPR!$A:$A,0),20)),$C230*INDEX(SPPR!$E:$X,MATCH($A230,SPPR!$A:$A,0),20),""),"")</f>
        <v/>
      </c>
    </row>
    <row r="231">
      <c r="A231" t="inlineStr">
        <is>
          <t>Scyliorhinus stellaris</t>
        </is>
      </c>
      <c r="B231">
        <f>IFERROR(INDEX(SPPR!$D:$D,MATCH($A231,SPPR!$A:$A,0)),"")</f>
        <v/>
      </c>
      <c r="C231">
        <f>IFERROR(INDEX(Catch!$E:$BV,MATCH($A231,Catch!$A:$A,0),MATCH($B$4,Catch!$E$1:$BV$1,0)),0)</f>
        <v/>
      </c>
      <c r="D231">
        <f>IFERROR(IF(ISNUMBER(INDEX(SPPR!$E:$X,MATCH($A231,SPPR!$A:$A,0),1)),$C231*INDEX(SPPR!$E:$X,MATCH($A231,SPPR!$A:$A,0),1),""),"")</f>
        <v/>
      </c>
      <c r="E231">
        <f>IFERROR(IF(ISNUMBER(INDEX(SPPR!$E:$X,MATCH($A231,SPPR!$A:$A,0),2)),$C231*INDEX(SPPR!$E:$X,MATCH($A231,SPPR!$A:$A,0),2),""),"")</f>
        <v/>
      </c>
      <c r="F231">
        <f>IFERROR(IF(ISNUMBER(INDEX(SPPR!$E:$X,MATCH($A231,SPPR!$A:$A,0),3)),$C231*INDEX(SPPR!$E:$X,MATCH($A231,SPPR!$A:$A,0),3),""),"")</f>
        <v/>
      </c>
      <c r="G231">
        <f>IFERROR(IF(ISNUMBER(INDEX(SPPR!$E:$X,MATCH($A231,SPPR!$A:$A,0),4)),$C231*INDEX(SPPR!$E:$X,MATCH($A231,SPPR!$A:$A,0),4),""),"")</f>
        <v/>
      </c>
      <c r="H231">
        <f>IFERROR(IF(ISNUMBER(INDEX(SPPR!$E:$X,MATCH($A231,SPPR!$A:$A,0),5)),$C231*INDEX(SPPR!$E:$X,MATCH($A231,SPPR!$A:$A,0),5),""),"")</f>
        <v/>
      </c>
      <c r="I231">
        <f>IFERROR(IF(ISNUMBER(INDEX(SPPR!$E:$X,MATCH($A231,SPPR!$A:$A,0),6)),$C231*INDEX(SPPR!$E:$X,MATCH($A231,SPPR!$A:$A,0),6),""),"")</f>
        <v/>
      </c>
      <c r="J231">
        <f>IFERROR(IF(ISNUMBER(INDEX(SPPR!$E:$X,MATCH($A231,SPPR!$A:$A,0),7)),$C231*INDEX(SPPR!$E:$X,MATCH($A231,SPPR!$A:$A,0),7),""),"")</f>
        <v/>
      </c>
      <c r="K231">
        <f>IFERROR(IF(ISNUMBER(INDEX(SPPR!$E:$X,MATCH($A231,SPPR!$A:$A,0),8)),$C231*INDEX(SPPR!$E:$X,MATCH($A231,SPPR!$A:$A,0),8),""),"")</f>
        <v/>
      </c>
      <c r="L231">
        <f>IFERROR(IF(ISNUMBER(INDEX(SPPR!$E:$X,MATCH($A231,SPPR!$A:$A,0),9)),$C231*INDEX(SPPR!$E:$X,MATCH($A231,SPPR!$A:$A,0),9),""),"")</f>
        <v/>
      </c>
      <c r="M231">
        <f>IFERROR(IF(ISNUMBER(INDEX(SPPR!$E:$X,MATCH($A231,SPPR!$A:$A,0),10)),$C231*INDEX(SPPR!$E:$X,MATCH($A231,SPPR!$A:$A,0),10),""),"")</f>
        <v/>
      </c>
      <c r="N231">
        <f>IFERROR(IF(ISNUMBER(INDEX(SPPR!$E:$X,MATCH($A231,SPPR!$A:$A,0),11)),$C231*INDEX(SPPR!$E:$X,MATCH($A231,SPPR!$A:$A,0),11),""),"")</f>
        <v/>
      </c>
      <c r="O231">
        <f>IFERROR(IF(ISNUMBER(INDEX(SPPR!$E:$X,MATCH($A231,SPPR!$A:$A,0),12)),$C231*INDEX(SPPR!$E:$X,MATCH($A231,SPPR!$A:$A,0),12),""),"")</f>
        <v/>
      </c>
      <c r="P231">
        <f>IFERROR(IF(ISNUMBER(INDEX(SPPR!$E:$X,MATCH($A231,SPPR!$A:$A,0),13)),$C231*INDEX(SPPR!$E:$X,MATCH($A231,SPPR!$A:$A,0),13),""),"")</f>
        <v/>
      </c>
      <c r="Q231">
        <f>IFERROR(IF(ISNUMBER(INDEX(SPPR!$E:$X,MATCH($A231,SPPR!$A:$A,0),14)),$C231*INDEX(SPPR!$E:$X,MATCH($A231,SPPR!$A:$A,0),14),""),"")</f>
        <v/>
      </c>
      <c r="R231">
        <f>IFERROR(IF(ISNUMBER(INDEX(SPPR!$E:$X,MATCH($A231,SPPR!$A:$A,0),15)),$C231*INDEX(SPPR!$E:$X,MATCH($A231,SPPR!$A:$A,0),15),""),"")</f>
        <v/>
      </c>
      <c r="S231">
        <f>IFERROR(IF(ISNUMBER(INDEX(SPPR!$E:$X,MATCH($A231,SPPR!$A:$A,0),16)),$C231*INDEX(SPPR!$E:$X,MATCH($A231,SPPR!$A:$A,0),16),""),"")</f>
        <v/>
      </c>
      <c r="T231">
        <f>IFERROR(IF(ISNUMBER(INDEX(SPPR!$E:$X,MATCH($A231,SPPR!$A:$A,0),17)),$C231*INDEX(SPPR!$E:$X,MATCH($A231,SPPR!$A:$A,0),17),""),"")</f>
        <v/>
      </c>
      <c r="U231">
        <f>IFERROR(IF(ISNUMBER(INDEX(SPPR!$E:$X,MATCH($A231,SPPR!$A:$A,0),18)),$C231*INDEX(SPPR!$E:$X,MATCH($A231,SPPR!$A:$A,0),18),""),"")</f>
        <v/>
      </c>
      <c r="V231">
        <f>IFERROR(IF(ISNUMBER(INDEX(SPPR!$E:$X,MATCH($A231,SPPR!$A:$A,0),19)),$C231*INDEX(SPPR!$E:$X,MATCH($A231,SPPR!$A:$A,0),19),""),"")</f>
        <v/>
      </c>
      <c r="W231">
        <f>IFERROR(IF(ISNUMBER(INDEX(SPPR!$E:$X,MATCH($A231,SPPR!$A:$A,0),20)),$C231*INDEX(SPPR!$E:$X,MATCH($A231,SPPR!$A:$A,0),20),""),"")</f>
        <v/>
      </c>
    </row>
    <row r="232">
      <c r="A232" t="inlineStr">
        <is>
          <t>Thunnus</t>
        </is>
      </c>
      <c r="B232">
        <f>IFERROR(INDEX(SPPR!$D:$D,MATCH($A232,SPPR!$A:$A,0)),"")</f>
        <v/>
      </c>
      <c r="C232">
        <f>IFERROR(INDEX(Catch!$E:$BV,MATCH($A232,Catch!$A:$A,0),MATCH($B$4,Catch!$E$1:$BV$1,0)),0)</f>
        <v/>
      </c>
      <c r="D232">
        <f>IFERROR(IF(ISNUMBER(INDEX(SPPR!$E:$X,MATCH($A232,SPPR!$A:$A,0),1)),$C232*INDEX(SPPR!$E:$X,MATCH($A232,SPPR!$A:$A,0),1),""),"")</f>
        <v/>
      </c>
      <c r="E232">
        <f>IFERROR(IF(ISNUMBER(INDEX(SPPR!$E:$X,MATCH($A232,SPPR!$A:$A,0),2)),$C232*INDEX(SPPR!$E:$X,MATCH($A232,SPPR!$A:$A,0),2),""),"")</f>
        <v/>
      </c>
      <c r="F232">
        <f>IFERROR(IF(ISNUMBER(INDEX(SPPR!$E:$X,MATCH($A232,SPPR!$A:$A,0),3)),$C232*INDEX(SPPR!$E:$X,MATCH($A232,SPPR!$A:$A,0),3),""),"")</f>
        <v/>
      </c>
      <c r="G232">
        <f>IFERROR(IF(ISNUMBER(INDEX(SPPR!$E:$X,MATCH($A232,SPPR!$A:$A,0),4)),$C232*INDEX(SPPR!$E:$X,MATCH($A232,SPPR!$A:$A,0),4),""),"")</f>
        <v/>
      </c>
      <c r="H232">
        <f>IFERROR(IF(ISNUMBER(INDEX(SPPR!$E:$X,MATCH($A232,SPPR!$A:$A,0),5)),$C232*INDEX(SPPR!$E:$X,MATCH($A232,SPPR!$A:$A,0),5),""),"")</f>
        <v/>
      </c>
      <c r="I232">
        <f>IFERROR(IF(ISNUMBER(INDEX(SPPR!$E:$X,MATCH($A232,SPPR!$A:$A,0),6)),$C232*INDEX(SPPR!$E:$X,MATCH($A232,SPPR!$A:$A,0),6),""),"")</f>
        <v/>
      </c>
      <c r="J232">
        <f>IFERROR(IF(ISNUMBER(INDEX(SPPR!$E:$X,MATCH($A232,SPPR!$A:$A,0),7)),$C232*INDEX(SPPR!$E:$X,MATCH($A232,SPPR!$A:$A,0),7),""),"")</f>
        <v/>
      </c>
      <c r="K232">
        <f>IFERROR(IF(ISNUMBER(INDEX(SPPR!$E:$X,MATCH($A232,SPPR!$A:$A,0),8)),$C232*INDEX(SPPR!$E:$X,MATCH($A232,SPPR!$A:$A,0),8),""),"")</f>
        <v/>
      </c>
      <c r="L232">
        <f>IFERROR(IF(ISNUMBER(INDEX(SPPR!$E:$X,MATCH($A232,SPPR!$A:$A,0),9)),$C232*INDEX(SPPR!$E:$X,MATCH($A232,SPPR!$A:$A,0),9),""),"")</f>
        <v/>
      </c>
      <c r="M232">
        <f>IFERROR(IF(ISNUMBER(INDEX(SPPR!$E:$X,MATCH($A232,SPPR!$A:$A,0),10)),$C232*INDEX(SPPR!$E:$X,MATCH($A232,SPPR!$A:$A,0),10),""),"")</f>
        <v/>
      </c>
      <c r="N232">
        <f>IFERROR(IF(ISNUMBER(INDEX(SPPR!$E:$X,MATCH($A232,SPPR!$A:$A,0),11)),$C232*INDEX(SPPR!$E:$X,MATCH($A232,SPPR!$A:$A,0),11),""),"")</f>
        <v/>
      </c>
      <c r="O232">
        <f>IFERROR(IF(ISNUMBER(INDEX(SPPR!$E:$X,MATCH($A232,SPPR!$A:$A,0),12)),$C232*INDEX(SPPR!$E:$X,MATCH($A232,SPPR!$A:$A,0),12),""),"")</f>
        <v/>
      </c>
      <c r="P232">
        <f>IFERROR(IF(ISNUMBER(INDEX(SPPR!$E:$X,MATCH($A232,SPPR!$A:$A,0),13)),$C232*INDEX(SPPR!$E:$X,MATCH($A232,SPPR!$A:$A,0),13),""),"")</f>
        <v/>
      </c>
      <c r="Q232">
        <f>IFERROR(IF(ISNUMBER(INDEX(SPPR!$E:$X,MATCH($A232,SPPR!$A:$A,0),14)),$C232*INDEX(SPPR!$E:$X,MATCH($A232,SPPR!$A:$A,0),14),""),"")</f>
        <v/>
      </c>
      <c r="R232">
        <f>IFERROR(IF(ISNUMBER(INDEX(SPPR!$E:$X,MATCH($A232,SPPR!$A:$A,0),15)),$C232*INDEX(SPPR!$E:$X,MATCH($A232,SPPR!$A:$A,0),15),""),"")</f>
        <v/>
      </c>
      <c r="S232">
        <f>IFERROR(IF(ISNUMBER(INDEX(SPPR!$E:$X,MATCH($A232,SPPR!$A:$A,0),16)),$C232*INDEX(SPPR!$E:$X,MATCH($A232,SPPR!$A:$A,0),16),""),"")</f>
        <v/>
      </c>
      <c r="T232">
        <f>IFERROR(IF(ISNUMBER(INDEX(SPPR!$E:$X,MATCH($A232,SPPR!$A:$A,0),17)),$C232*INDEX(SPPR!$E:$X,MATCH($A232,SPPR!$A:$A,0),17),""),"")</f>
        <v/>
      </c>
      <c r="U232">
        <f>IFERROR(IF(ISNUMBER(INDEX(SPPR!$E:$X,MATCH($A232,SPPR!$A:$A,0),18)),$C232*INDEX(SPPR!$E:$X,MATCH($A232,SPPR!$A:$A,0),18),""),"")</f>
        <v/>
      </c>
      <c r="V232">
        <f>IFERROR(IF(ISNUMBER(INDEX(SPPR!$E:$X,MATCH($A232,SPPR!$A:$A,0),19)),$C232*INDEX(SPPR!$E:$X,MATCH($A232,SPPR!$A:$A,0),19),""),"")</f>
        <v/>
      </c>
      <c r="W232">
        <f>IFERROR(IF(ISNUMBER(INDEX(SPPR!$E:$X,MATCH($A232,SPPR!$A:$A,0),20)),$C232*INDEX(SPPR!$E:$X,MATCH($A232,SPPR!$A:$A,0),20),""),"")</f>
        <v/>
      </c>
    </row>
    <row r="233">
      <c r="A233" t="inlineStr">
        <is>
          <t>Isurus</t>
        </is>
      </c>
      <c r="B233">
        <f>IFERROR(INDEX(SPPR!$D:$D,MATCH($A233,SPPR!$A:$A,0)),"")</f>
        <v/>
      </c>
      <c r="C233">
        <f>IFERROR(INDEX(Catch!$E:$BV,MATCH($A233,Catch!$A:$A,0),MATCH($B$4,Catch!$E$1:$BV$1,0)),0)</f>
        <v/>
      </c>
      <c r="D233">
        <f>IFERROR(IF(ISNUMBER(INDEX(SPPR!$E:$X,MATCH($A233,SPPR!$A:$A,0),1)),$C233*INDEX(SPPR!$E:$X,MATCH($A233,SPPR!$A:$A,0),1),""),"")</f>
        <v/>
      </c>
      <c r="E233">
        <f>IFERROR(IF(ISNUMBER(INDEX(SPPR!$E:$X,MATCH($A233,SPPR!$A:$A,0),2)),$C233*INDEX(SPPR!$E:$X,MATCH($A233,SPPR!$A:$A,0),2),""),"")</f>
        <v/>
      </c>
      <c r="F233">
        <f>IFERROR(IF(ISNUMBER(INDEX(SPPR!$E:$X,MATCH($A233,SPPR!$A:$A,0),3)),$C233*INDEX(SPPR!$E:$X,MATCH($A233,SPPR!$A:$A,0),3),""),"")</f>
        <v/>
      </c>
      <c r="G233">
        <f>IFERROR(IF(ISNUMBER(INDEX(SPPR!$E:$X,MATCH($A233,SPPR!$A:$A,0),4)),$C233*INDEX(SPPR!$E:$X,MATCH($A233,SPPR!$A:$A,0),4),""),"")</f>
        <v/>
      </c>
      <c r="H233">
        <f>IFERROR(IF(ISNUMBER(INDEX(SPPR!$E:$X,MATCH($A233,SPPR!$A:$A,0),5)),$C233*INDEX(SPPR!$E:$X,MATCH($A233,SPPR!$A:$A,0),5),""),"")</f>
        <v/>
      </c>
      <c r="I233">
        <f>IFERROR(IF(ISNUMBER(INDEX(SPPR!$E:$X,MATCH($A233,SPPR!$A:$A,0),6)),$C233*INDEX(SPPR!$E:$X,MATCH($A233,SPPR!$A:$A,0),6),""),"")</f>
        <v/>
      </c>
      <c r="J233">
        <f>IFERROR(IF(ISNUMBER(INDEX(SPPR!$E:$X,MATCH($A233,SPPR!$A:$A,0),7)),$C233*INDEX(SPPR!$E:$X,MATCH($A233,SPPR!$A:$A,0),7),""),"")</f>
        <v/>
      </c>
      <c r="K233">
        <f>IFERROR(IF(ISNUMBER(INDEX(SPPR!$E:$X,MATCH($A233,SPPR!$A:$A,0),8)),$C233*INDEX(SPPR!$E:$X,MATCH($A233,SPPR!$A:$A,0),8),""),"")</f>
        <v/>
      </c>
      <c r="L233">
        <f>IFERROR(IF(ISNUMBER(INDEX(SPPR!$E:$X,MATCH($A233,SPPR!$A:$A,0),9)),$C233*INDEX(SPPR!$E:$X,MATCH($A233,SPPR!$A:$A,0),9),""),"")</f>
        <v/>
      </c>
      <c r="M233">
        <f>IFERROR(IF(ISNUMBER(INDEX(SPPR!$E:$X,MATCH($A233,SPPR!$A:$A,0),10)),$C233*INDEX(SPPR!$E:$X,MATCH($A233,SPPR!$A:$A,0),10),""),"")</f>
        <v/>
      </c>
      <c r="N233">
        <f>IFERROR(IF(ISNUMBER(INDEX(SPPR!$E:$X,MATCH($A233,SPPR!$A:$A,0),11)),$C233*INDEX(SPPR!$E:$X,MATCH($A233,SPPR!$A:$A,0),11),""),"")</f>
        <v/>
      </c>
      <c r="O233">
        <f>IFERROR(IF(ISNUMBER(INDEX(SPPR!$E:$X,MATCH($A233,SPPR!$A:$A,0),12)),$C233*INDEX(SPPR!$E:$X,MATCH($A233,SPPR!$A:$A,0),12),""),"")</f>
        <v/>
      </c>
      <c r="P233">
        <f>IFERROR(IF(ISNUMBER(INDEX(SPPR!$E:$X,MATCH($A233,SPPR!$A:$A,0),13)),$C233*INDEX(SPPR!$E:$X,MATCH($A233,SPPR!$A:$A,0),13),""),"")</f>
        <v/>
      </c>
      <c r="Q233">
        <f>IFERROR(IF(ISNUMBER(INDEX(SPPR!$E:$X,MATCH($A233,SPPR!$A:$A,0),14)),$C233*INDEX(SPPR!$E:$X,MATCH($A233,SPPR!$A:$A,0),14),""),"")</f>
        <v/>
      </c>
      <c r="R233">
        <f>IFERROR(IF(ISNUMBER(INDEX(SPPR!$E:$X,MATCH($A233,SPPR!$A:$A,0),15)),$C233*INDEX(SPPR!$E:$X,MATCH($A233,SPPR!$A:$A,0),15),""),"")</f>
        <v/>
      </c>
      <c r="S233">
        <f>IFERROR(IF(ISNUMBER(INDEX(SPPR!$E:$X,MATCH($A233,SPPR!$A:$A,0),16)),$C233*INDEX(SPPR!$E:$X,MATCH($A233,SPPR!$A:$A,0),16),""),"")</f>
        <v/>
      </c>
      <c r="T233">
        <f>IFERROR(IF(ISNUMBER(INDEX(SPPR!$E:$X,MATCH($A233,SPPR!$A:$A,0),17)),$C233*INDEX(SPPR!$E:$X,MATCH($A233,SPPR!$A:$A,0),17),""),"")</f>
        <v/>
      </c>
      <c r="U233">
        <f>IFERROR(IF(ISNUMBER(INDEX(SPPR!$E:$X,MATCH($A233,SPPR!$A:$A,0),18)),$C233*INDEX(SPPR!$E:$X,MATCH($A233,SPPR!$A:$A,0),18),""),"")</f>
        <v/>
      </c>
      <c r="V233">
        <f>IFERROR(IF(ISNUMBER(INDEX(SPPR!$E:$X,MATCH($A233,SPPR!$A:$A,0),19)),$C233*INDEX(SPPR!$E:$X,MATCH($A233,SPPR!$A:$A,0),19),""),"")</f>
        <v/>
      </c>
      <c r="W233">
        <f>IFERROR(IF(ISNUMBER(INDEX(SPPR!$E:$X,MATCH($A233,SPPR!$A:$A,0),20)),$C233*INDEX(SPPR!$E:$X,MATCH($A233,SPPR!$A:$A,0),20),""),"")</f>
        <v/>
      </c>
    </row>
    <row r="234">
      <c r="A234" t="inlineStr">
        <is>
          <t>Cyprinidae</t>
        </is>
      </c>
      <c r="B234">
        <f>IFERROR(INDEX(SPPR!$D:$D,MATCH($A234,SPPR!$A:$A,0)),"")</f>
        <v/>
      </c>
      <c r="C234">
        <f>IFERROR(INDEX(Catch!$E:$BV,MATCH($A234,Catch!$A:$A,0),MATCH($B$4,Catch!$E$1:$BV$1,0)),0)</f>
        <v/>
      </c>
      <c r="D234">
        <f>IFERROR(IF(ISNUMBER(INDEX(SPPR!$E:$X,MATCH($A234,SPPR!$A:$A,0),1)),$C234*INDEX(SPPR!$E:$X,MATCH($A234,SPPR!$A:$A,0),1),""),"")</f>
        <v/>
      </c>
      <c r="E234">
        <f>IFERROR(IF(ISNUMBER(INDEX(SPPR!$E:$X,MATCH($A234,SPPR!$A:$A,0),2)),$C234*INDEX(SPPR!$E:$X,MATCH($A234,SPPR!$A:$A,0),2),""),"")</f>
        <v/>
      </c>
      <c r="F234">
        <f>IFERROR(IF(ISNUMBER(INDEX(SPPR!$E:$X,MATCH($A234,SPPR!$A:$A,0),3)),$C234*INDEX(SPPR!$E:$X,MATCH($A234,SPPR!$A:$A,0),3),""),"")</f>
        <v/>
      </c>
      <c r="G234">
        <f>IFERROR(IF(ISNUMBER(INDEX(SPPR!$E:$X,MATCH($A234,SPPR!$A:$A,0),4)),$C234*INDEX(SPPR!$E:$X,MATCH($A234,SPPR!$A:$A,0),4),""),"")</f>
        <v/>
      </c>
      <c r="H234">
        <f>IFERROR(IF(ISNUMBER(INDEX(SPPR!$E:$X,MATCH($A234,SPPR!$A:$A,0),5)),$C234*INDEX(SPPR!$E:$X,MATCH($A234,SPPR!$A:$A,0),5),""),"")</f>
        <v/>
      </c>
      <c r="I234">
        <f>IFERROR(IF(ISNUMBER(INDEX(SPPR!$E:$X,MATCH($A234,SPPR!$A:$A,0),6)),$C234*INDEX(SPPR!$E:$X,MATCH($A234,SPPR!$A:$A,0),6),""),"")</f>
        <v/>
      </c>
      <c r="J234">
        <f>IFERROR(IF(ISNUMBER(INDEX(SPPR!$E:$X,MATCH($A234,SPPR!$A:$A,0),7)),$C234*INDEX(SPPR!$E:$X,MATCH($A234,SPPR!$A:$A,0),7),""),"")</f>
        <v/>
      </c>
      <c r="K234">
        <f>IFERROR(IF(ISNUMBER(INDEX(SPPR!$E:$X,MATCH($A234,SPPR!$A:$A,0),8)),$C234*INDEX(SPPR!$E:$X,MATCH($A234,SPPR!$A:$A,0),8),""),"")</f>
        <v/>
      </c>
      <c r="L234">
        <f>IFERROR(IF(ISNUMBER(INDEX(SPPR!$E:$X,MATCH($A234,SPPR!$A:$A,0),9)),$C234*INDEX(SPPR!$E:$X,MATCH($A234,SPPR!$A:$A,0),9),""),"")</f>
        <v/>
      </c>
      <c r="M234">
        <f>IFERROR(IF(ISNUMBER(INDEX(SPPR!$E:$X,MATCH($A234,SPPR!$A:$A,0),10)),$C234*INDEX(SPPR!$E:$X,MATCH($A234,SPPR!$A:$A,0),10),""),"")</f>
        <v/>
      </c>
      <c r="N234">
        <f>IFERROR(IF(ISNUMBER(INDEX(SPPR!$E:$X,MATCH($A234,SPPR!$A:$A,0),11)),$C234*INDEX(SPPR!$E:$X,MATCH($A234,SPPR!$A:$A,0),11),""),"")</f>
        <v/>
      </c>
      <c r="O234">
        <f>IFERROR(IF(ISNUMBER(INDEX(SPPR!$E:$X,MATCH($A234,SPPR!$A:$A,0),12)),$C234*INDEX(SPPR!$E:$X,MATCH($A234,SPPR!$A:$A,0),12),""),"")</f>
        <v/>
      </c>
      <c r="P234">
        <f>IFERROR(IF(ISNUMBER(INDEX(SPPR!$E:$X,MATCH($A234,SPPR!$A:$A,0),13)),$C234*INDEX(SPPR!$E:$X,MATCH($A234,SPPR!$A:$A,0),13),""),"")</f>
        <v/>
      </c>
      <c r="Q234">
        <f>IFERROR(IF(ISNUMBER(INDEX(SPPR!$E:$X,MATCH($A234,SPPR!$A:$A,0),14)),$C234*INDEX(SPPR!$E:$X,MATCH($A234,SPPR!$A:$A,0),14),""),"")</f>
        <v/>
      </c>
      <c r="R234">
        <f>IFERROR(IF(ISNUMBER(INDEX(SPPR!$E:$X,MATCH($A234,SPPR!$A:$A,0),15)),$C234*INDEX(SPPR!$E:$X,MATCH($A234,SPPR!$A:$A,0),15),""),"")</f>
        <v/>
      </c>
      <c r="S234">
        <f>IFERROR(IF(ISNUMBER(INDEX(SPPR!$E:$X,MATCH($A234,SPPR!$A:$A,0),16)),$C234*INDEX(SPPR!$E:$X,MATCH($A234,SPPR!$A:$A,0),16),""),"")</f>
        <v/>
      </c>
      <c r="T234">
        <f>IFERROR(IF(ISNUMBER(INDEX(SPPR!$E:$X,MATCH($A234,SPPR!$A:$A,0),17)),$C234*INDEX(SPPR!$E:$X,MATCH($A234,SPPR!$A:$A,0),17),""),"")</f>
        <v/>
      </c>
      <c r="U234">
        <f>IFERROR(IF(ISNUMBER(INDEX(SPPR!$E:$X,MATCH($A234,SPPR!$A:$A,0),18)),$C234*INDEX(SPPR!$E:$X,MATCH($A234,SPPR!$A:$A,0),18),""),"")</f>
        <v/>
      </c>
      <c r="V234">
        <f>IFERROR(IF(ISNUMBER(INDEX(SPPR!$E:$X,MATCH($A234,SPPR!$A:$A,0),19)),$C234*INDEX(SPPR!$E:$X,MATCH($A234,SPPR!$A:$A,0),19),""),"")</f>
        <v/>
      </c>
      <c r="W234">
        <f>IFERROR(IF(ISNUMBER(INDEX(SPPR!$E:$X,MATCH($A234,SPPR!$A:$A,0),20)),$C234*INDEX(SPPR!$E:$X,MATCH($A234,SPPR!$A:$A,0),20),""),"")</f>
        <v/>
      </c>
    </row>
    <row r="235">
      <c r="A235" t="inlineStr">
        <is>
          <t>Euthynnus alletteratus</t>
        </is>
      </c>
      <c r="B235">
        <f>IFERROR(INDEX(SPPR!$D:$D,MATCH($A235,SPPR!$A:$A,0)),"")</f>
        <v/>
      </c>
      <c r="C235">
        <f>IFERROR(INDEX(Catch!$E:$BV,MATCH($A235,Catch!$A:$A,0),MATCH($B$4,Catch!$E$1:$BV$1,0)),0)</f>
        <v/>
      </c>
      <c r="D235">
        <f>IFERROR(IF(ISNUMBER(INDEX(SPPR!$E:$X,MATCH($A235,SPPR!$A:$A,0),1)),$C235*INDEX(SPPR!$E:$X,MATCH($A235,SPPR!$A:$A,0),1),""),"")</f>
        <v/>
      </c>
      <c r="E235">
        <f>IFERROR(IF(ISNUMBER(INDEX(SPPR!$E:$X,MATCH($A235,SPPR!$A:$A,0),2)),$C235*INDEX(SPPR!$E:$X,MATCH($A235,SPPR!$A:$A,0),2),""),"")</f>
        <v/>
      </c>
      <c r="F235">
        <f>IFERROR(IF(ISNUMBER(INDEX(SPPR!$E:$X,MATCH($A235,SPPR!$A:$A,0),3)),$C235*INDEX(SPPR!$E:$X,MATCH($A235,SPPR!$A:$A,0),3),""),"")</f>
        <v/>
      </c>
      <c r="G235">
        <f>IFERROR(IF(ISNUMBER(INDEX(SPPR!$E:$X,MATCH($A235,SPPR!$A:$A,0),4)),$C235*INDEX(SPPR!$E:$X,MATCH($A235,SPPR!$A:$A,0),4),""),"")</f>
        <v/>
      </c>
      <c r="H235">
        <f>IFERROR(IF(ISNUMBER(INDEX(SPPR!$E:$X,MATCH($A235,SPPR!$A:$A,0),5)),$C235*INDEX(SPPR!$E:$X,MATCH($A235,SPPR!$A:$A,0),5),""),"")</f>
        <v/>
      </c>
      <c r="I235">
        <f>IFERROR(IF(ISNUMBER(INDEX(SPPR!$E:$X,MATCH($A235,SPPR!$A:$A,0),6)),$C235*INDEX(SPPR!$E:$X,MATCH($A235,SPPR!$A:$A,0),6),""),"")</f>
        <v/>
      </c>
      <c r="J235">
        <f>IFERROR(IF(ISNUMBER(INDEX(SPPR!$E:$X,MATCH($A235,SPPR!$A:$A,0),7)),$C235*INDEX(SPPR!$E:$X,MATCH($A235,SPPR!$A:$A,0),7),""),"")</f>
        <v/>
      </c>
      <c r="K235">
        <f>IFERROR(IF(ISNUMBER(INDEX(SPPR!$E:$X,MATCH($A235,SPPR!$A:$A,0),8)),$C235*INDEX(SPPR!$E:$X,MATCH($A235,SPPR!$A:$A,0),8),""),"")</f>
        <v/>
      </c>
      <c r="L235">
        <f>IFERROR(IF(ISNUMBER(INDEX(SPPR!$E:$X,MATCH($A235,SPPR!$A:$A,0),9)),$C235*INDEX(SPPR!$E:$X,MATCH($A235,SPPR!$A:$A,0),9),""),"")</f>
        <v/>
      </c>
      <c r="M235">
        <f>IFERROR(IF(ISNUMBER(INDEX(SPPR!$E:$X,MATCH($A235,SPPR!$A:$A,0),10)),$C235*INDEX(SPPR!$E:$X,MATCH($A235,SPPR!$A:$A,0),10),""),"")</f>
        <v/>
      </c>
      <c r="N235">
        <f>IFERROR(IF(ISNUMBER(INDEX(SPPR!$E:$X,MATCH($A235,SPPR!$A:$A,0),11)),$C235*INDEX(SPPR!$E:$X,MATCH($A235,SPPR!$A:$A,0),11),""),"")</f>
        <v/>
      </c>
      <c r="O235">
        <f>IFERROR(IF(ISNUMBER(INDEX(SPPR!$E:$X,MATCH($A235,SPPR!$A:$A,0),12)),$C235*INDEX(SPPR!$E:$X,MATCH($A235,SPPR!$A:$A,0),12),""),"")</f>
        <v/>
      </c>
      <c r="P235">
        <f>IFERROR(IF(ISNUMBER(INDEX(SPPR!$E:$X,MATCH($A235,SPPR!$A:$A,0),13)),$C235*INDEX(SPPR!$E:$X,MATCH($A235,SPPR!$A:$A,0),13),""),"")</f>
        <v/>
      </c>
      <c r="Q235">
        <f>IFERROR(IF(ISNUMBER(INDEX(SPPR!$E:$X,MATCH($A235,SPPR!$A:$A,0),14)),$C235*INDEX(SPPR!$E:$X,MATCH($A235,SPPR!$A:$A,0),14),""),"")</f>
        <v/>
      </c>
      <c r="R235">
        <f>IFERROR(IF(ISNUMBER(INDEX(SPPR!$E:$X,MATCH($A235,SPPR!$A:$A,0),15)),$C235*INDEX(SPPR!$E:$X,MATCH($A235,SPPR!$A:$A,0),15),""),"")</f>
        <v/>
      </c>
      <c r="S235">
        <f>IFERROR(IF(ISNUMBER(INDEX(SPPR!$E:$X,MATCH($A235,SPPR!$A:$A,0),16)),$C235*INDEX(SPPR!$E:$X,MATCH($A235,SPPR!$A:$A,0),16),""),"")</f>
        <v/>
      </c>
      <c r="T235">
        <f>IFERROR(IF(ISNUMBER(INDEX(SPPR!$E:$X,MATCH($A235,SPPR!$A:$A,0),17)),$C235*INDEX(SPPR!$E:$X,MATCH($A235,SPPR!$A:$A,0),17),""),"")</f>
        <v/>
      </c>
      <c r="U235">
        <f>IFERROR(IF(ISNUMBER(INDEX(SPPR!$E:$X,MATCH($A235,SPPR!$A:$A,0),18)),$C235*INDEX(SPPR!$E:$X,MATCH($A235,SPPR!$A:$A,0),18),""),"")</f>
        <v/>
      </c>
      <c r="V235">
        <f>IFERROR(IF(ISNUMBER(INDEX(SPPR!$E:$X,MATCH($A235,SPPR!$A:$A,0),19)),$C235*INDEX(SPPR!$E:$X,MATCH($A235,SPPR!$A:$A,0),19),""),"")</f>
        <v/>
      </c>
      <c r="W235">
        <f>IFERROR(IF(ISNUMBER(INDEX(SPPR!$E:$X,MATCH($A235,SPPR!$A:$A,0),20)),$C235*INDEX(SPPR!$E:$X,MATCH($A235,SPPR!$A:$A,0),20),""),"")</f>
        <v/>
      </c>
    </row>
    <row r="236">
      <c r="A236" t="inlineStr">
        <is>
          <t>Caproidae</t>
        </is>
      </c>
      <c r="B236">
        <f>IFERROR(INDEX(SPPR!$D:$D,MATCH($A236,SPPR!$A:$A,0)),"")</f>
        <v/>
      </c>
      <c r="C236">
        <f>IFERROR(INDEX(Catch!$E:$BV,MATCH($A236,Catch!$A:$A,0),MATCH($B$4,Catch!$E$1:$BV$1,0)),0)</f>
        <v/>
      </c>
      <c r="D236">
        <f>IFERROR(IF(ISNUMBER(INDEX(SPPR!$E:$X,MATCH($A236,SPPR!$A:$A,0),1)),$C236*INDEX(SPPR!$E:$X,MATCH($A236,SPPR!$A:$A,0),1),""),"")</f>
        <v/>
      </c>
      <c r="E236">
        <f>IFERROR(IF(ISNUMBER(INDEX(SPPR!$E:$X,MATCH($A236,SPPR!$A:$A,0),2)),$C236*INDEX(SPPR!$E:$X,MATCH($A236,SPPR!$A:$A,0),2),""),"")</f>
        <v/>
      </c>
      <c r="F236">
        <f>IFERROR(IF(ISNUMBER(INDEX(SPPR!$E:$X,MATCH($A236,SPPR!$A:$A,0),3)),$C236*INDEX(SPPR!$E:$X,MATCH($A236,SPPR!$A:$A,0),3),""),"")</f>
        <v/>
      </c>
      <c r="G236">
        <f>IFERROR(IF(ISNUMBER(INDEX(SPPR!$E:$X,MATCH($A236,SPPR!$A:$A,0),4)),$C236*INDEX(SPPR!$E:$X,MATCH($A236,SPPR!$A:$A,0),4),""),"")</f>
        <v/>
      </c>
      <c r="H236">
        <f>IFERROR(IF(ISNUMBER(INDEX(SPPR!$E:$X,MATCH($A236,SPPR!$A:$A,0),5)),$C236*INDEX(SPPR!$E:$X,MATCH($A236,SPPR!$A:$A,0),5),""),"")</f>
        <v/>
      </c>
      <c r="I236">
        <f>IFERROR(IF(ISNUMBER(INDEX(SPPR!$E:$X,MATCH($A236,SPPR!$A:$A,0),6)),$C236*INDEX(SPPR!$E:$X,MATCH($A236,SPPR!$A:$A,0),6),""),"")</f>
        <v/>
      </c>
      <c r="J236">
        <f>IFERROR(IF(ISNUMBER(INDEX(SPPR!$E:$X,MATCH($A236,SPPR!$A:$A,0),7)),$C236*INDEX(SPPR!$E:$X,MATCH($A236,SPPR!$A:$A,0),7),""),"")</f>
        <v/>
      </c>
      <c r="K236">
        <f>IFERROR(IF(ISNUMBER(INDEX(SPPR!$E:$X,MATCH($A236,SPPR!$A:$A,0),8)),$C236*INDEX(SPPR!$E:$X,MATCH($A236,SPPR!$A:$A,0),8),""),"")</f>
        <v/>
      </c>
      <c r="L236">
        <f>IFERROR(IF(ISNUMBER(INDEX(SPPR!$E:$X,MATCH($A236,SPPR!$A:$A,0),9)),$C236*INDEX(SPPR!$E:$X,MATCH($A236,SPPR!$A:$A,0),9),""),"")</f>
        <v/>
      </c>
      <c r="M236">
        <f>IFERROR(IF(ISNUMBER(INDEX(SPPR!$E:$X,MATCH($A236,SPPR!$A:$A,0),10)),$C236*INDEX(SPPR!$E:$X,MATCH($A236,SPPR!$A:$A,0),10),""),"")</f>
        <v/>
      </c>
      <c r="N236">
        <f>IFERROR(IF(ISNUMBER(INDEX(SPPR!$E:$X,MATCH($A236,SPPR!$A:$A,0),11)),$C236*INDEX(SPPR!$E:$X,MATCH($A236,SPPR!$A:$A,0),11),""),"")</f>
        <v/>
      </c>
      <c r="O236">
        <f>IFERROR(IF(ISNUMBER(INDEX(SPPR!$E:$X,MATCH($A236,SPPR!$A:$A,0),12)),$C236*INDEX(SPPR!$E:$X,MATCH($A236,SPPR!$A:$A,0),12),""),"")</f>
        <v/>
      </c>
      <c r="P236">
        <f>IFERROR(IF(ISNUMBER(INDEX(SPPR!$E:$X,MATCH($A236,SPPR!$A:$A,0),13)),$C236*INDEX(SPPR!$E:$X,MATCH($A236,SPPR!$A:$A,0),13),""),"")</f>
        <v/>
      </c>
      <c r="Q236">
        <f>IFERROR(IF(ISNUMBER(INDEX(SPPR!$E:$X,MATCH($A236,SPPR!$A:$A,0),14)),$C236*INDEX(SPPR!$E:$X,MATCH($A236,SPPR!$A:$A,0),14),""),"")</f>
        <v/>
      </c>
      <c r="R236">
        <f>IFERROR(IF(ISNUMBER(INDEX(SPPR!$E:$X,MATCH($A236,SPPR!$A:$A,0),15)),$C236*INDEX(SPPR!$E:$X,MATCH($A236,SPPR!$A:$A,0),15),""),"")</f>
        <v/>
      </c>
      <c r="S236">
        <f>IFERROR(IF(ISNUMBER(INDEX(SPPR!$E:$X,MATCH($A236,SPPR!$A:$A,0),16)),$C236*INDEX(SPPR!$E:$X,MATCH($A236,SPPR!$A:$A,0),16),""),"")</f>
        <v/>
      </c>
      <c r="T236">
        <f>IFERROR(IF(ISNUMBER(INDEX(SPPR!$E:$X,MATCH($A236,SPPR!$A:$A,0),17)),$C236*INDEX(SPPR!$E:$X,MATCH($A236,SPPR!$A:$A,0),17),""),"")</f>
        <v/>
      </c>
      <c r="U236">
        <f>IFERROR(IF(ISNUMBER(INDEX(SPPR!$E:$X,MATCH($A236,SPPR!$A:$A,0),18)),$C236*INDEX(SPPR!$E:$X,MATCH($A236,SPPR!$A:$A,0),18),""),"")</f>
        <v/>
      </c>
      <c r="V236">
        <f>IFERROR(IF(ISNUMBER(INDEX(SPPR!$E:$X,MATCH($A236,SPPR!$A:$A,0),19)),$C236*INDEX(SPPR!$E:$X,MATCH($A236,SPPR!$A:$A,0),19),""),"")</f>
        <v/>
      </c>
      <c r="W236">
        <f>IFERROR(IF(ISNUMBER(INDEX(SPPR!$E:$X,MATCH($A236,SPPR!$A:$A,0),20)),$C236*INDEX(SPPR!$E:$X,MATCH($A236,SPPR!$A:$A,0),20),""),"")</f>
        <v/>
      </c>
    </row>
    <row r="237">
      <c r="A237" t="inlineStr">
        <is>
          <t>Alosa</t>
        </is>
      </c>
      <c r="B237">
        <f>IFERROR(INDEX(SPPR!$D:$D,MATCH($A237,SPPR!$A:$A,0)),"")</f>
        <v/>
      </c>
      <c r="C237">
        <f>IFERROR(INDEX(Catch!$E:$BV,MATCH($A237,Catch!$A:$A,0),MATCH($B$4,Catch!$E$1:$BV$1,0)),0)</f>
        <v/>
      </c>
      <c r="D237">
        <f>IFERROR(IF(ISNUMBER(INDEX(SPPR!$E:$X,MATCH($A237,SPPR!$A:$A,0),1)),$C237*INDEX(SPPR!$E:$X,MATCH($A237,SPPR!$A:$A,0),1),""),"")</f>
        <v/>
      </c>
      <c r="E237">
        <f>IFERROR(IF(ISNUMBER(INDEX(SPPR!$E:$X,MATCH($A237,SPPR!$A:$A,0),2)),$C237*INDEX(SPPR!$E:$X,MATCH($A237,SPPR!$A:$A,0),2),""),"")</f>
        <v/>
      </c>
      <c r="F237">
        <f>IFERROR(IF(ISNUMBER(INDEX(SPPR!$E:$X,MATCH($A237,SPPR!$A:$A,0),3)),$C237*INDEX(SPPR!$E:$X,MATCH($A237,SPPR!$A:$A,0),3),""),"")</f>
        <v/>
      </c>
      <c r="G237">
        <f>IFERROR(IF(ISNUMBER(INDEX(SPPR!$E:$X,MATCH($A237,SPPR!$A:$A,0),4)),$C237*INDEX(SPPR!$E:$X,MATCH($A237,SPPR!$A:$A,0),4),""),"")</f>
        <v/>
      </c>
      <c r="H237">
        <f>IFERROR(IF(ISNUMBER(INDEX(SPPR!$E:$X,MATCH($A237,SPPR!$A:$A,0),5)),$C237*INDEX(SPPR!$E:$X,MATCH($A237,SPPR!$A:$A,0),5),""),"")</f>
        <v/>
      </c>
      <c r="I237">
        <f>IFERROR(IF(ISNUMBER(INDEX(SPPR!$E:$X,MATCH($A237,SPPR!$A:$A,0),6)),$C237*INDEX(SPPR!$E:$X,MATCH($A237,SPPR!$A:$A,0),6),""),"")</f>
        <v/>
      </c>
      <c r="J237">
        <f>IFERROR(IF(ISNUMBER(INDEX(SPPR!$E:$X,MATCH($A237,SPPR!$A:$A,0),7)),$C237*INDEX(SPPR!$E:$X,MATCH($A237,SPPR!$A:$A,0),7),""),"")</f>
        <v/>
      </c>
      <c r="K237">
        <f>IFERROR(IF(ISNUMBER(INDEX(SPPR!$E:$X,MATCH($A237,SPPR!$A:$A,0),8)),$C237*INDEX(SPPR!$E:$X,MATCH($A237,SPPR!$A:$A,0),8),""),"")</f>
        <v/>
      </c>
      <c r="L237">
        <f>IFERROR(IF(ISNUMBER(INDEX(SPPR!$E:$X,MATCH($A237,SPPR!$A:$A,0),9)),$C237*INDEX(SPPR!$E:$X,MATCH($A237,SPPR!$A:$A,0),9),""),"")</f>
        <v/>
      </c>
      <c r="M237">
        <f>IFERROR(IF(ISNUMBER(INDEX(SPPR!$E:$X,MATCH($A237,SPPR!$A:$A,0),10)),$C237*INDEX(SPPR!$E:$X,MATCH($A237,SPPR!$A:$A,0),10),""),"")</f>
        <v/>
      </c>
      <c r="N237">
        <f>IFERROR(IF(ISNUMBER(INDEX(SPPR!$E:$X,MATCH($A237,SPPR!$A:$A,0),11)),$C237*INDEX(SPPR!$E:$X,MATCH($A237,SPPR!$A:$A,0),11),""),"")</f>
        <v/>
      </c>
      <c r="O237">
        <f>IFERROR(IF(ISNUMBER(INDEX(SPPR!$E:$X,MATCH($A237,SPPR!$A:$A,0),12)),$C237*INDEX(SPPR!$E:$X,MATCH($A237,SPPR!$A:$A,0),12),""),"")</f>
        <v/>
      </c>
      <c r="P237">
        <f>IFERROR(IF(ISNUMBER(INDEX(SPPR!$E:$X,MATCH($A237,SPPR!$A:$A,0),13)),$C237*INDEX(SPPR!$E:$X,MATCH($A237,SPPR!$A:$A,0),13),""),"")</f>
        <v/>
      </c>
      <c r="Q237">
        <f>IFERROR(IF(ISNUMBER(INDEX(SPPR!$E:$X,MATCH($A237,SPPR!$A:$A,0),14)),$C237*INDEX(SPPR!$E:$X,MATCH($A237,SPPR!$A:$A,0),14),""),"")</f>
        <v/>
      </c>
      <c r="R237">
        <f>IFERROR(IF(ISNUMBER(INDEX(SPPR!$E:$X,MATCH($A237,SPPR!$A:$A,0),15)),$C237*INDEX(SPPR!$E:$X,MATCH($A237,SPPR!$A:$A,0),15),""),"")</f>
        <v/>
      </c>
      <c r="S237">
        <f>IFERROR(IF(ISNUMBER(INDEX(SPPR!$E:$X,MATCH($A237,SPPR!$A:$A,0),16)),$C237*INDEX(SPPR!$E:$X,MATCH($A237,SPPR!$A:$A,0),16),""),"")</f>
        <v/>
      </c>
      <c r="T237">
        <f>IFERROR(IF(ISNUMBER(INDEX(SPPR!$E:$X,MATCH($A237,SPPR!$A:$A,0),17)),$C237*INDEX(SPPR!$E:$X,MATCH($A237,SPPR!$A:$A,0),17),""),"")</f>
        <v/>
      </c>
      <c r="U237">
        <f>IFERROR(IF(ISNUMBER(INDEX(SPPR!$E:$X,MATCH($A237,SPPR!$A:$A,0),18)),$C237*INDEX(SPPR!$E:$X,MATCH($A237,SPPR!$A:$A,0),18),""),"")</f>
        <v/>
      </c>
      <c r="V237">
        <f>IFERROR(IF(ISNUMBER(INDEX(SPPR!$E:$X,MATCH($A237,SPPR!$A:$A,0),19)),$C237*INDEX(SPPR!$E:$X,MATCH($A237,SPPR!$A:$A,0),19),""),"")</f>
        <v/>
      </c>
      <c r="W237">
        <f>IFERROR(IF(ISNUMBER(INDEX(SPPR!$E:$X,MATCH($A237,SPPR!$A:$A,0),20)),$C237*INDEX(SPPR!$E:$X,MATCH($A237,SPPR!$A:$A,0),20),""),"")</f>
        <v/>
      </c>
    </row>
    <row r="238">
      <c r="A238" t="inlineStr">
        <is>
          <t>Mora moro</t>
        </is>
      </c>
      <c r="B238">
        <f>IFERROR(INDEX(SPPR!$D:$D,MATCH($A238,SPPR!$A:$A,0)),"")</f>
        <v/>
      </c>
      <c r="C238">
        <f>IFERROR(INDEX(Catch!$E:$BV,MATCH($A238,Catch!$A:$A,0),MATCH($B$4,Catch!$E$1:$BV$1,0)),0)</f>
        <v/>
      </c>
      <c r="D238">
        <f>IFERROR(IF(ISNUMBER(INDEX(SPPR!$E:$X,MATCH($A238,SPPR!$A:$A,0),1)),$C238*INDEX(SPPR!$E:$X,MATCH($A238,SPPR!$A:$A,0),1),""),"")</f>
        <v/>
      </c>
      <c r="E238">
        <f>IFERROR(IF(ISNUMBER(INDEX(SPPR!$E:$X,MATCH($A238,SPPR!$A:$A,0),2)),$C238*INDEX(SPPR!$E:$X,MATCH($A238,SPPR!$A:$A,0),2),""),"")</f>
        <v/>
      </c>
      <c r="F238">
        <f>IFERROR(IF(ISNUMBER(INDEX(SPPR!$E:$X,MATCH($A238,SPPR!$A:$A,0),3)),$C238*INDEX(SPPR!$E:$X,MATCH($A238,SPPR!$A:$A,0),3),""),"")</f>
        <v/>
      </c>
      <c r="G238">
        <f>IFERROR(IF(ISNUMBER(INDEX(SPPR!$E:$X,MATCH($A238,SPPR!$A:$A,0),4)),$C238*INDEX(SPPR!$E:$X,MATCH($A238,SPPR!$A:$A,0),4),""),"")</f>
        <v/>
      </c>
      <c r="H238">
        <f>IFERROR(IF(ISNUMBER(INDEX(SPPR!$E:$X,MATCH($A238,SPPR!$A:$A,0),5)),$C238*INDEX(SPPR!$E:$X,MATCH($A238,SPPR!$A:$A,0),5),""),"")</f>
        <v/>
      </c>
      <c r="I238">
        <f>IFERROR(IF(ISNUMBER(INDEX(SPPR!$E:$X,MATCH($A238,SPPR!$A:$A,0),6)),$C238*INDEX(SPPR!$E:$X,MATCH($A238,SPPR!$A:$A,0),6),""),"")</f>
        <v/>
      </c>
      <c r="J238">
        <f>IFERROR(IF(ISNUMBER(INDEX(SPPR!$E:$X,MATCH($A238,SPPR!$A:$A,0),7)),$C238*INDEX(SPPR!$E:$X,MATCH($A238,SPPR!$A:$A,0),7),""),"")</f>
        <v/>
      </c>
      <c r="K238">
        <f>IFERROR(IF(ISNUMBER(INDEX(SPPR!$E:$X,MATCH($A238,SPPR!$A:$A,0),8)),$C238*INDEX(SPPR!$E:$X,MATCH($A238,SPPR!$A:$A,0),8),""),"")</f>
        <v/>
      </c>
      <c r="L238">
        <f>IFERROR(IF(ISNUMBER(INDEX(SPPR!$E:$X,MATCH($A238,SPPR!$A:$A,0),9)),$C238*INDEX(SPPR!$E:$X,MATCH($A238,SPPR!$A:$A,0),9),""),"")</f>
        <v/>
      </c>
      <c r="M238">
        <f>IFERROR(IF(ISNUMBER(INDEX(SPPR!$E:$X,MATCH($A238,SPPR!$A:$A,0),10)),$C238*INDEX(SPPR!$E:$X,MATCH($A238,SPPR!$A:$A,0),10),""),"")</f>
        <v/>
      </c>
      <c r="N238">
        <f>IFERROR(IF(ISNUMBER(INDEX(SPPR!$E:$X,MATCH($A238,SPPR!$A:$A,0),11)),$C238*INDEX(SPPR!$E:$X,MATCH($A238,SPPR!$A:$A,0),11),""),"")</f>
        <v/>
      </c>
      <c r="O238">
        <f>IFERROR(IF(ISNUMBER(INDEX(SPPR!$E:$X,MATCH($A238,SPPR!$A:$A,0),12)),$C238*INDEX(SPPR!$E:$X,MATCH($A238,SPPR!$A:$A,0),12),""),"")</f>
        <v/>
      </c>
      <c r="P238">
        <f>IFERROR(IF(ISNUMBER(INDEX(SPPR!$E:$X,MATCH($A238,SPPR!$A:$A,0),13)),$C238*INDEX(SPPR!$E:$X,MATCH($A238,SPPR!$A:$A,0),13),""),"")</f>
        <v/>
      </c>
      <c r="Q238">
        <f>IFERROR(IF(ISNUMBER(INDEX(SPPR!$E:$X,MATCH($A238,SPPR!$A:$A,0),14)),$C238*INDEX(SPPR!$E:$X,MATCH($A238,SPPR!$A:$A,0),14),""),"")</f>
        <v/>
      </c>
      <c r="R238">
        <f>IFERROR(IF(ISNUMBER(INDEX(SPPR!$E:$X,MATCH($A238,SPPR!$A:$A,0),15)),$C238*INDEX(SPPR!$E:$X,MATCH($A238,SPPR!$A:$A,0),15),""),"")</f>
        <v/>
      </c>
      <c r="S238">
        <f>IFERROR(IF(ISNUMBER(INDEX(SPPR!$E:$X,MATCH($A238,SPPR!$A:$A,0),16)),$C238*INDEX(SPPR!$E:$X,MATCH($A238,SPPR!$A:$A,0),16),""),"")</f>
        <v/>
      </c>
      <c r="T238">
        <f>IFERROR(IF(ISNUMBER(INDEX(SPPR!$E:$X,MATCH($A238,SPPR!$A:$A,0),17)),$C238*INDEX(SPPR!$E:$X,MATCH($A238,SPPR!$A:$A,0),17),""),"")</f>
        <v/>
      </c>
      <c r="U238">
        <f>IFERROR(IF(ISNUMBER(INDEX(SPPR!$E:$X,MATCH($A238,SPPR!$A:$A,0),18)),$C238*INDEX(SPPR!$E:$X,MATCH($A238,SPPR!$A:$A,0),18),""),"")</f>
        <v/>
      </c>
      <c r="V238">
        <f>IFERROR(IF(ISNUMBER(INDEX(SPPR!$E:$X,MATCH($A238,SPPR!$A:$A,0),19)),$C238*INDEX(SPPR!$E:$X,MATCH($A238,SPPR!$A:$A,0),19),""),"")</f>
        <v/>
      </c>
      <c r="W238">
        <f>IFERROR(IF(ISNUMBER(INDEX(SPPR!$E:$X,MATCH($A238,SPPR!$A:$A,0),20)),$C238*INDEX(SPPR!$E:$X,MATCH($A238,SPPR!$A:$A,0),20),""),"")</f>
        <v/>
      </c>
    </row>
    <row r="239">
      <c r="A239" t="inlineStr">
        <is>
          <t>Cepola macrophthalma</t>
        </is>
      </c>
      <c r="B239">
        <f>IFERROR(INDEX(SPPR!$D:$D,MATCH($A239,SPPR!$A:$A,0)),"")</f>
        <v/>
      </c>
      <c r="C239">
        <f>IFERROR(INDEX(Catch!$E:$BV,MATCH($A239,Catch!$A:$A,0),MATCH($B$4,Catch!$E$1:$BV$1,0)),0)</f>
        <v/>
      </c>
      <c r="D239">
        <f>IFERROR(IF(ISNUMBER(INDEX(SPPR!$E:$X,MATCH($A239,SPPR!$A:$A,0),1)),$C239*INDEX(SPPR!$E:$X,MATCH($A239,SPPR!$A:$A,0),1),""),"")</f>
        <v/>
      </c>
      <c r="E239">
        <f>IFERROR(IF(ISNUMBER(INDEX(SPPR!$E:$X,MATCH($A239,SPPR!$A:$A,0),2)),$C239*INDEX(SPPR!$E:$X,MATCH($A239,SPPR!$A:$A,0),2),""),"")</f>
        <v/>
      </c>
      <c r="F239">
        <f>IFERROR(IF(ISNUMBER(INDEX(SPPR!$E:$X,MATCH($A239,SPPR!$A:$A,0),3)),$C239*INDEX(SPPR!$E:$X,MATCH($A239,SPPR!$A:$A,0),3),""),"")</f>
        <v/>
      </c>
      <c r="G239">
        <f>IFERROR(IF(ISNUMBER(INDEX(SPPR!$E:$X,MATCH($A239,SPPR!$A:$A,0),4)),$C239*INDEX(SPPR!$E:$X,MATCH($A239,SPPR!$A:$A,0),4),""),"")</f>
        <v/>
      </c>
      <c r="H239">
        <f>IFERROR(IF(ISNUMBER(INDEX(SPPR!$E:$X,MATCH($A239,SPPR!$A:$A,0),5)),$C239*INDEX(SPPR!$E:$X,MATCH($A239,SPPR!$A:$A,0),5),""),"")</f>
        <v/>
      </c>
      <c r="I239">
        <f>IFERROR(IF(ISNUMBER(INDEX(SPPR!$E:$X,MATCH($A239,SPPR!$A:$A,0),6)),$C239*INDEX(SPPR!$E:$X,MATCH($A239,SPPR!$A:$A,0),6),""),"")</f>
        <v/>
      </c>
      <c r="J239">
        <f>IFERROR(IF(ISNUMBER(INDEX(SPPR!$E:$X,MATCH($A239,SPPR!$A:$A,0),7)),$C239*INDEX(SPPR!$E:$X,MATCH($A239,SPPR!$A:$A,0),7),""),"")</f>
        <v/>
      </c>
      <c r="K239">
        <f>IFERROR(IF(ISNUMBER(INDEX(SPPR!$E:$X,MATCH($A239,SPPR!$A:$A,0),8)),$C239*INDEX(SPPR!$E:$X,MATCH($A239,SPPR!$A:$A,0),8),""),"")</f>
        <v/>
      </c>
      <c r="L239">
        <f>IFERROR(IF(ISNUMBER(INDEX(SPPR!$E:$X,MATCH($A239,SPPR!$A:$A,0),9)),$C239*INDEX(SPPR!$E:$X,MATCH($A239,SPPR!$A:$A,0),9),""),"")</f>
        <v/>
      </c>
      <c r="M239">
        <f>IFERROR(IF(ISNUMBER(INDEX(SPPR!$E:$X,MATCH($A239,SPPR!$A:$A,0),10)),$C239*INDEX(SPPR!$E:$X,MATCH($A239,SPPR!$A:$A,0),10),""),"")</f>
        <v/>
      </c>
      <c r="N239">
        <f>IFERROR(IF(ISNUMBER(INDEX(SPPR!$E:$X,MATCH($A239,SPPR!$A:$A,0),11)),$C239*INDEX(SPPR!$E:$X,MATCH($A239,SPPR!$A:$A,0),11),""),"")</f>
        <v/>
      </c>
      <c r="O239">
        <f>IFERROR(IF(ISNUMBER(INDEX(SPPR!$E:$X,MATCH($A239,SPPR!$A:$A,0),12)),$C239*INDEX(SPPR!$E:$X,MATCH($A239,SPPR!$A:$A,0),12),""),"")</f>
        <v/>
      </c>
      <c r="P239">
        <f>IFERROR(IF(ISNUMBER(INDEX(SPPR!$E:$X,MATCH($A239,SPPR!$A:$A,0),13)),$C239*INDEX(SPPR!$E:$X,MATCH($A239,SPPR!$A:$A,0),13),""),"")</f>
        <v/>
      </c>
      <c r="Q239">
        <f>IFERROR(IF(ISNUMBER(INDEX(SPPR!$E:$X,MATCH($A239,SPPR!$A:$A,0),14)),$C239*INDEX(SPPR!$E:$X,MATCH($A239,SPPR!$A:$A,0),14),""),"")</f>
        <v/>
      </c>
      <c r="R239">
        <f>IFERROR(IF(ISNUMBER(INDEX(SPPR!$E:$X,MATCH($A239,SPPR!$A:$A,0),15)),$C239*INDEX(SPPR!$E:$X,MATCH($A239,SPPR!$A:$A,0),15),""),"")</f>
        <v/>
      </c>
      <c r="S239">
        <f>IFERROR(IF(ISNUMBER(INDEX(SPPR!$E:$X,MATCH($A239,SPPR!$A:$A,0),16)),$C239*INDEX(SPPR!$E:$X,MATCH($A239,SPPR!$A:$A,0),16),""),"")</f>
        <v/>
      </c>
      <c r="T239">
        <f>IFERROR(IF(ISNUMBER(INDEX(SPPR!$E:$X,MATCH($A239,SPPR!$A:$A,0),17)),$C239*INDEX(SPPR!$E:$X,MATCH($A239,SPPR!$A:$A,0),17),""),"")</f>
        <v/>
      </c>
      <c r="U239">
        <f>IFERROR(IF(ISNUMBER(INDEX(SPPR!$E:$X,MATCH($A239,SPPR!$A:$A,0),18)),$C239*INDEX(SPPR!$E:$X,MATCH($A239,SPPR!$A:$A,0),18),""),"")</f>
        <v/>
      </c>
      <c r="V239">
        <f>IFERROR(IF(ISNUMBER(INDEX(SPPR!$E:$X,MATCH($A239,SPPR!$A:$A,0),19)),$C239*INDEX(SPPR!$E:$X,MATCH($A239,SPPR!$A:$A,0),19),""),"")</f>
        <v/>
      </c>
      <c r="W239">
        <f>IFERROR(IF(ISNUMBER(INDEX(SPPR!$E:$X,MATCH($A239,SPPR!$A:$A,0),20)),$C239*INDEX(SPPR!$E:$X,MATCH($A239,SPPR!$A:$A,0),20),""),"")</f>
        <v/>
      </c>
    </row>
    <row r="240">
      <c r="A240" t="inlineStr">
        <is>
          <t>Serranidae</t>
        </is>
      </c>
      <c r="B240">
        <f>IFERROR(INDEX(SPPR!$D:$D,MATCH($A240,SPPR!$A:$A,0)),"")</f>
        <v/>
      </c>
      <c r="C240">
        <f>IFERROR(INDEX(Catch!$E:$BV,MATCH($A240,Catch!$A:$A,0),MATCH($B$4,Catch!$E$1:$BV$1,0)),0)</f>
        <v/>
      </c>
      <c r="D240">
        <f>IFERROR(IF(ISNUMBER(INDEX(SPPR!$E:$X,MATCH($A240,SPPR!$A:$A,0),1)),$C240*INDEX(SPPR!$E:$X,MATCH($A240,SPPR!$A:$A,0),1),""),"")</f>
        <v/>
      </c>
      <c r="E240">
        <f>IFERROR(IF(ISNUMBER(INDEX(SPPR!$E:$X,MATCH($A240,SPPR!$A:$A,0),2)),$C240*INDEX(SPPR!$E:$X,MATCH($A240,SPPR!$A:$A,0),2),""),"")</f>
        <v/>
      </c>
      <c r="F240">
        <f>IFERROR(IF(ISNUMBER(INDEX(SPPR!$E:$X,MATCH($A240,SPPR!$A:$A,0),3)),$C240*INDEX(SPPR!$E:$X,MATCH($A240,SPPR!$A:$A,0),3),""),"")</f>
        <v/>
      </c>
      <c r="G240">
        <f>IFERROR(IF(ISNUMBER(INDEX(SPPR!$E:$X,MATCH($A240,SPPR!$A:$A,0),4)),$C240*INDEX(SPPR!$E:$X,MATCH($A240,SPPR!$A:$A,0),4),""),"")</f>
        <v/>
      </c>
      <c r="H240">
        <f>IFERROR(IF(ISNUMBER(INDEX(SPPR!$E:$X,MATCH($A240,SPPR!$A:$A,0),5)),$C240*INDEX(SPPR!$E:$X,MATCH($A240,SPPR!$A:$A,0),5),""),"")</f>
        <v/>
      </c>
      <c r="I240">
        <f>IFERROR(IF(ISNUMBER(INDEX(SPPR!$E:$X,MATCH($A240,SPPR!$A:$A,0),6)),$C240*INDEX(SPPR!$E:$X,MATCH($A240,SPPR!$A:$A,0),6),""),"")</f>
        <v/>
      </c>
      <c r="J240">
        <f>IFERROR(IF(ISNUMBER(INDEX(SPPR!$E:$X,MATCH($A240,SPPR!$A:$A,0),7)),$C240*INDEX(SPPR!$E:$X,MATCH($A240,SPPR!$A:$A,0),7),""),"")</f>
        <v/>
      </c>
      <c r="K240">
        <f>IFERROR(IF(ISNUMBER(INDEX(SPPR!$E:$X,MATCH($A240,SPPR!$A:$A,0),8)),$C240*INDEX(SPPR!$E:$X,MATCH($A240,SPPR!$A:$A,0),8),""),"")</f>
        <v/>
      </c>
      <c r="L240">
        <f>IFERROR(IF(ISNUMBER(INDEX(SPPR!$E:$X,MATCH($A240,SPPR!$A:$A,0),9)),$C240*INDEX(SPPR!$E:$X,MATCH($A240,SPPR!$A:$A,0),9),""),"")</f>
        <v/>
      </c>
      <c r="M240">
        <f>IFERROR(IF(ISNUMBER(INDEX(SPPR!$E:$X,MATCH($A240,SPPR!$A:$A,0),10)),$C240*INDEX(SPPR!$E:$X,MATCH($A240,SPPR!$A:$A,0),10),""),"")</f>
        <v/>
      </c>
      <c r="N240">
        <f>IFERROR(IF(ISNUMBER(INDEX(SPPR!$E:$X,MATCH($A240,SPPR!$A:$A,0),11)),$C240*INDEX(SPPR!$E:$X,MATCH($A240,SPPR!$A:$A,0),11),""),"")</f>
        <v/>
      </c>
      <c r="O240">
        <f>IFERROR(IF(ISNUMBER(INDEX(SPPR!$E:$X,MATCH($A240,SPPR!$A:$A,0),12)),$C240*INDEX(SPPR!$E:$X,MATCH($A240,SPPR!$A:$A,0),12),""),"")</f>
        <v/>
      </c>
      <c r="P240">
        <f>IFERROR(IF(ISNUMBER(INDEX(SPPR!$E:$X,MATCH($A240,SPPR!$A:$A,0),13)),$C240*INDEX(SPPR!$E:$X,MATCH($A240,SPPR!$A:$A,0),13),""),"")</f>
        <v/>
      </c>
      <c r="Q240">
        <f>IFERROR(IF(ISNUMBER(INDEX(SPPR!$E:$X,MATCH($A240,SPPR!$A:$A,0),14)),$C240*INDEX(SPPR!$E:$X,MATCH($A240,SPPR!$A:$A,0),14),""),"")</f>
        <v/>
      </c>
      <c r="R240">
        <f>IFERROR(IF(ISNUMBER(INDEX(SPPR!$E:$X,MATCH($A240,SPPR!$A:$A,0),15)),$C240*INDEX(SPPR!$E:$X,MATCH($A240,SPPR!$A:$A,0),15),""),"")</f>
        <v/>
      </c>
      <c r="S240">
        <f>IFERROR(IF(ISNUMBER(INDEX(SPPR!$E:$X,MATCH($A240,SPPR!$A:$A,0),16)),$C240*INDEX(SPPR!$E:$X,MATCH($A240,SPPR!$A:$A,0),16),""),"")</f>
        <v/>
      </c>
      <c r="T240">
        <f>IFERROR(IF(ISNUMBER(INDEX(SPPR!$E:$X,MATCH($A240,SPPR!$A:$A,0),17)),$C240*INDEX(SPPR!$E:$X,MATCH($A240,SPPR!$A:$A,0),17),""),"")</f>
        <v/>
      </c>
      <c r="U240">
        <f>IFERROR(IF(ISNUMBER(INDEX(SPPR!$E:$X,MATCH($A240,SPPR!$A:$A,0),18)),$C240*INDEX(SPPR!$E:$X,MATCH($A240,SPPR!$A:$A,0),18),""),"")</f>
        <v/>
      </c>
      <c r="V240">
        <f>IFERROR(IF(ISNUMBER(INDEX(SPPR!$E:$X,MATCH($A240,SPPR!$A:$A,0),19)),$C240*INDEX(SPPR!$E:$X,MATCH($A240,SPPR!$A:$A,0),19),""),"")</f>
        <v/>
      </c>
      <c r="W240">
        <f>IFERROR(IF(ISNUMBER(INDEX(SPPR!$E:$X,MATCH($A240,SPPR!$A:$A,0),20)),$C240*INDEX(SPPR!$E:$X,MATCH($A240,SPPR!$A:$A,0),20),""),"")</f>
        <v/>
      </c>
    </row>
    <row r="241">
      <c r="A241" t="inlineStr">
        <is>
          <t>Scorpaenidae</t>
        </is>
      </c>
      <c r="B241">
        <f>IFERROR(INDEX(SPPR!$D:$D,MATCH($A241,SPPR!$A:$A,0)),"")</f>
        <v/>
      </c>
      <c r="C241">
        <f>IFERROR(INDEX(Catch!$E:$BV,MATCH($A241,Catch!$A:$A,0),MATCH($B$4,Catch!$E$1:$BV$1,0)),0)</f>
        <v/>
      </c>
      <c r="D241">
        <f>IFERROR(IF(ISNUMBER(INDEX(SPPR!$E:$X,MATCH($A241,SPPR!$A:$A,0),1)),$C241*INDEX(SPPR!$E:$X,MATCH($A241,SPPR!$A:$A,0),1),""),"")</f>
        <v/>
      </c>
      <c r="E241">
        <f>IFERROR(IF(ISNUMBER(INDEX(SPPR!$E:$X,MATCH($A241,SPPR!$A:$A,0),2)),$C241*INDEX(SPPR!$E:$X,MATCH($A241,SPPR!$A:$A,0),2),""),"")</f>
        <v/>
      </c>
      <c r="F241">
        <f>IFERROR(IF(ISNUMBER(INDEX(SPPR!$E:$X,MATCH($A241,SPPR!$A:$A,0),3)),$C241*INDEX(SPPR!$E:$X,MATCH($A241,SPPR!$A:$A,0),3),""),"")</f>
        <v/>
      </c>
      <c r="G241">
        <f>IFERROR(IF(ISNUMBER(INDEX(SPPR!$E:$X,MATCH($A241,SPPR!$A:$A,0),4)),$C241*INDEX(SPPR!$E:$X,MATCH($A241,SPPR!$A:$A,0),4),""),"")</f>
        <v/>
      </c>
      <c r="H241">
        <f>IFERROR(IF(ISNUMBER(INDEX(SPPR!$E:$X,MATCH($A241,SPPR!$A:$A,0),5)),$C241*INDEX(SPPR!$E:$X,MATCH($A241,SPPR!$A:$A,0),5),""),"")</f>
        <v/>
      </c>
      <c r="I241">
        <f>IFERROR(IF(ISNUMBER(INDEX(SPPR!$E:$X,MATCH($A241,SPPR!$A:$A,0),6)),$C241*INDEX(SPPR!$E:$X,MATCH($A241,SPPR!$A:$A,0),6),""),"")</f>
        <v/>
      </c>
      <c r="J241">
        <f>IFERROR(IF(ISNUMBER(INDEX(SPPR!$E:$X,MATCH($A241,SPPR!$A:$A,0),7)),$C241*INDEX(SPPR!$E:$X,MATCH($A241,SPPR!$A:$A,0),7),""),"")</f>
        <v/>
      </c>
      <c r="K241">
        <f>IFERROR(IF(ISNUMBER(INDEX(SPPR!$E:$X,MATCH($A241,SPPR!$A:$A,0),8)),$C241*INDEX(SPPR!$E:$X,MATCH($A241,SPPR!$A:$A,0),8),""),"")</f>
        <v/>
      </c>
      <c r="L241">
        <f>IFERROR(IF(ISNUMBER(INDEX(SPPR!$E:$X,MATCH($A241,SPPR!$A:$A,0),9)),$C241*INDEX(SPPR!$E:$X,MATCH($A241,SPPR!$A:$A,0),9),""),"")</f>
        <v/>
      </c>
      <c r="M241">
        <f>IFERROR(IF(ISNUMBER(INDEX(SPPR!$E:$X,MATCH($A241,SPPR!$A:$A,0),10)),$C241*INDEX(SPPR!$E:$X,MATCH($A241,SPPR!$A:$A,0),10),""),"")</f>
        <v/>
      </c>
      <c r="N241">
        <f>IFERROR(IF(ISNUMBER(INDEX(SPPR!$E:$X,MATCH($A241,SPPR!$A:$A,0),11)),$C241*INDEX(SPPR!$E:$X,MATCH($A241,SPPR!$A:$A,0),11),""),"")</f>
        <v/>
      </c>
      <c r="O241">
        <f>IFERROR(IF(ISNUMBER(INDEX(SPPR!$E:$X,MATCH($A241,SPPR!$A:$A,0),12)),$C241*INDEX(SPPR!$E:$X,MATCH($A241,SPPR!$A:$A,0),12),""),"")</f>
        <v/>
      </c>
      <c r="P241">
        <f>IFERROR(IF(ISNUMBER(INDEX(SPPR!$E:$X,MATCH($A241,SPPR!$A:$A,0),13)),$C241*INDEX(SPPR!$E:$X,MATCH($A241,SPPR!$A:$A,0),13),""),"")</f>
        <v/>
      </c>
      <c r="Q241">
        <f>IFERROR(IF(ISNUMBER(INDEX(SPPR!$E:$X,MATCH($A241,SPPR!$A:$A,0),14)),$C241*INDEX(SPPR!$E:$X,MATCH($A241,SPPR!$A:$A,0),14),""),"")</f>
        <v/>
      </c>
      <c r="R241">
        <f>IFERROR(IF(ISNUMBER(INDEX(SPPR!$E:$X,MATCH($A241,SPPR!$A:$A,0),15)),$C241*INDEX(SPPR!$E:$X,MATCH($A241,SPPR!$A:$A,0),15),""),"")</f>
        <v/>
      </c>
      <c r="S241">
        <f>IFERROR(IF(ISNUMBER(INDEX(SPPR!$E:$X,MATCH($A241,SPPR!$A:$A,0),16)),$C241*INDEX(SPPR!$E:$X,MATCH($A241,SPPR!$A:$A,0),16),""),"")</f>
        <v/>
      </c>
      <c r="T241">
        <f>IFERROR(IF(ISNUMBER(INDEX(SPPR!$E:$X,MATCH($A241,SPPR!$A:$A,0),17)),$C241*INDEX(SPPR!$E:$X,MATCH($A241,SPPR!$A:$A,0),17),""),"")</f>
        <v/>
      </c>
      <c r="U241">
        <f>IFERROR(IF(ISNUMBER(INDEX(SPPR!$E:$X,MATCH($A241,SPPR!$A:$A,0),18)),$C241*INDEX(SPPR!$E:$X,MATCH($A241,SPPR!$A:$A,0),18),""),"")</f>
        <v/>
      </c>
      <c r="V241">
        <f>IFERROR(IF(ISNUMBER(INDEX(SPPR!$E:$X,MATCH($A241,SPPR!$A:$A,0),19)),$C241*INDEX(SPPR!$E:$X,MATCH($A241,SPPR!$A:$A,0),19),""),"")</f>
        <v/>
      </c>
      <c r="W241">
        <f>IFERROR(IF(ISNUMBER(INDEX(SPPR!$E:$X,MATCH($A241,SPPR!$A:$A,0),20)),$C241*INDEX(SPPR!$E:$X,MATCH($A241,SPPR!$A:$A,0),20),""),"")</f>
        <v/>
      </c>
    </row>
    <row r="242">
      <c r="A242" t="inlineStr">
        <is>
          <t>Labrus bergylta</t>
        </is>
      </c>
      <c r="B242">
        <f>IFERROR(INDEX(SPPR!$D:$D,MATCH($A242,SPPR!$A:$A,0)),"")</f>
        <v/>
      </c>
      <c r="C242">
        <f>IFERROR(INDEX(Catch!$E:$BV,MATCH($A242,Catch!$A:$A,0),MATCH($B$4,Catch!$E$1:$BV$1,0)),0)</f>
        <v/>
      </c>
      <c r="D242">
        <f>IFERROR(IF(ISNUMBER(INDEX(SPPR!$E:$X,MATCH($A242,SPPR!$A:$A,0),1)),$C242*INDEX(SPPR!$E:$X,MATCH($A242,SPPR!$A:$A,0),1),""),"")</f>
        <v/>
      </c>
      <c r="E242">
        <f>IFERROR(IF(ISNUMBER(INDEX(SPPR!$E:$X,MATCH($A242,SPPR!$A:$A,0),2)),$C242*INDEX(SPPR!$E:$X,MATCH($A242,SPPR!$A:$A,0),2),""),"")</f>
        <v/>
      </c>
      <c r="F242">
        <f>IFERROR(IF(ISNUMBER(INDEX(SPPR!$E:$X,MATCH($A242,SPPR!$A:$A,0),3)),$C242*INDEX(SPPR!$E:$X,MATCH($A242,SPPR!$A:$A,0),3),""),"")</f>
        <v/>
      </c>
      <c r="G242">
        <f>IFERROR(IF(ISNUMBER(INDEX(SPPR!$E:$X,MATCH($A242,SPPR!$A:$A,0),4)),$C242*INDEX(SPPR!$E:$X,MATCH($A242,SPPR!$A:$A,0),4),""),"")</f>
        <v/>
      </c>
      <c r="H242">
        <f>IFERROR(IF(ISNUMBER(INDEX(SPPR!$E:$X,MATCH($A242,SPPR!$A:$A,0),5)),$C242*INDEX(SPPR!$E:$X,MATCH($A242,SPPR!$A:$A,0),5),""),"")</f>
        <v/>
      </c>
      <c r="I242">
        <f>IFERROR(IF(ISNUMBER(INDEX(SPPR!$E:$X,MATCH($A242,SPPR!$A:$A,0),6)),$C242*INDEX(SPPR!$E:$X,MATCH($A242,SPPR!$A:$A,0),6),""),"")</f>
        <v/>
      </c>
      <c r="J242">
        <f>IFERROR(IF(ISNUMBER(INDEX(SPPR!$E:$X,MATCH($A242,SPPR!$A:$A,0),7)),$C242*INDEX(SPPR!$E:$X,MATCH($A242,SPPR!$A:$A,0),7),""),"")</f>
        <v/>
      </c>
      <c r="K242">
        <f>IFERROR(IF(ISNUMBER(INDEX(SPPR!$E:$X,MATCH($A242,SPPR!$A:$A,0),8)),$C242*INDEX(SPPR!$E:$X,MATCH($A242,SPPR!$A:$A,0),8),""),"")</f>
        <v/>
      </c>
      <c r="L242">
        <f>IFERROR(IF(ISNUMBER(INDEX(SPPR!$E:$X,MATCH($A242,SPPR!$A:$A,0),9)),$C242*INDEX(SPPR!$E:$X,MATCH($A242,SPPR!$A:$A,0),9),""),"")</f>
        <v/>
      </c>
      <c r="M242">
        <f>IFERROR(IF(ISNUMBER(INDEX(SPPR!$E:$X,MATCH($A242,SPPR!$A:$A,0),10)),$C242*INDEX(SPPR!$E:$X,MATCH($A242,SPPR!$A:$A,0),10),""),"")</f>
        <v/>
      </c>
      <c r="N242">
        <f>IFERROR(IF(ISNUMBER(INDEX(SPPR!$E:$X,MATCH($A242,SPPR!$A:$A,0),11)),$C242*INDEX(SPPR!$E:$X,MATCH($A242,SPPR!$A:$A,0),11),""),"")</f>
        <v/>
      </c>
      <c r="O242">
        <f>IFERROR(IF(ISNUMBER(INDEX(SPPR!$E:$X,MATCH($A242,SPPR!$A:$A,0),12)),$C242*INDEX(SPPR!$E:$X,MATCH($A242,SPPR!$A:$A,0),12),""),"")</f>
        <v/>
      </c>
      <c r="P242">
        <f>IFERROR(IF(ISNUMBER(INDEX(SPPR!$E:$X,MATCH($A242,SPPR!$A:$A,0),13)),$C242*INDEX(SPPR!$E:$X,MATCH($A242,SPPR!$A:$A,0),13),""),"")</f>
        <v/>
      </c>
      <c r="Q242">
        <f>IFERROR(IF(ISNUMBER(INDEX(SPPR!$E:$X,MATCH($A242,SPPR!$A:$A,0),14)),$C242*INDEX(SPPR!$E:$X,MATCH($A242,SPPR!$A:$A,0),14),""),"")</f>
        <v/>
      </c>
      <c r="R242">
        <f>IFERROR(IF(ISNUMBER(INDEX(SPPR!$E:$X,MATCH($A242,SPPR!$A:$A,0),15)),$C242*INDEX(SPPR!$E:$X,MATCH($A242,SPPR!$A:$A,0),15),""),"")</f>
        <v/>
      </c>
      <c r="S242">
        <f>IFERROR(IF(ISNUMBER(INDEX(SPPR!$E:$X,MATCH($A242,SPPR!$A:$A,0),16)),$C242*INDEX(SPPR!$E:$X,MATCH($A242,SPPR!$A:$A,0),16),""),"")</f>
        <v/>
      </c>
      <c r="T242">
        <f>IFERROR(IF(ISNUMBER(INDEX(SPPR!$E:$X,MATCH($A242,SPPR!$A:$A,0),17)),$C242*INDEX(SPPR!$E:$X,MATCH($A242,SPPR!$A:$A,0),17),""),"")</f>
        <v/>
      </c>
      <c r="U242">
        <f>IFERROR(IF(ISNUMBER(INDEX(SPPR!$E:$X,MATCH($A242,SPPR!$A:$A,0),18)),$C242*INDEX(SPPR!$E:$X,MATCH($A242,SPPR!$A:$A,0),18),""),"")</f>
        <v/>
      </c>
      <c r="V242">
        <f>IFERROR(IF(ISNUMBER(INDEX(SPPR!$E:$X,MATCH($A242,SPPR!$A:$A,0),19)),$C242*INDEX(SPPR!$E:$X,MATCH($A242,SPPR!$A:$A,0),19),""),"")</f>
        <v/>
      </c>
      <c r="W242">
        <f>IFERROR(IF(ISNUMBER(INDEX(SPPR!$E:$X,MATCH($A242,SPPR!$A:$A,0),20)),$C242*INDEX(SPPR!$E:$X,MATCH($A242,SPPR!$A:$A,0),20),""),"")</f>
        <v/>
      </c>
    </row>
    <row r="243">
      <c r="A243" t="inlineStr">
        <is>
          <t>Echinus esculentus</t>
        </is>
      </c>
      <c r="B243">
        <f>IFERROR(INDEX(SPPR!$D:$D,MATCH($A243,SPPR!$A:$A,0)),"")</f>
        <v/>
      </c>
      <c r="C243">
        <f>IFERROR(INDEX(Catch!$E:$BV,MATCH($A243,Catch!$A:$A,0),MATCH($B$4,Catch!$E$1:$BV$1,0)),0)</f>
        <v/>
      </c>
      <c r="D243">
        <f>IFERROR(IF(ISNUMBER(INDEX(SPPR!$E:$X,MATCH($A243,SPPR!$A:$A,0),1)),$C243*INDEX(SPPR!$E:$X,MATCH($A243,SPPR!$A:$A,0),1),""),"")</f>
        <v/>
      </c>
      <c r="E243">
        <f>IFERROR(IF(ISNUMBER(INDEX(SPPR!$E:$X,MATCH($A243,SPPR!$A:$A,0),2)),$C243*INDEX(SPPR!$E:$X,MATCH($A243,SPPR!$A:$A,0),2),""),"")</f>
        <v/>
      </c>
      <c r="F243">
        <f>IFERROR(IF(ISNUMBER(INDEX(SPPR!$E:$X,MATCH($A243,SPPR!$A:$A,0),3)),$C243*INDEX(SPPR!$E:$X,MATCH($A243,SPPR!$A:$A,0),3),""),"")</f>
        <v/>
      </c>
      <c r="G243">
        <f>IFERROR(IF(ISNUMBER(INDEX(SPPR!$E:$X,MATCH($A243,SPPR!$A:$A,0),4)),$C243*INDEX(SPPR!$E:$X,MATCH($A243,SPPR!$A:$A,0),4),""),"")</f>
        <v/>
      </c>
      <c r="H243">
        <f>IFERROR(IF(ISNUMBER(INDEX(SPPR!$E:$X,MATCH($A243,SPPR!$A:$A,0),5)),$C243*INDEX(SPPR!$E:$X,MATCH($A243,SPPR!$A:$A,0),5),""),"")</f>
        <v/>
      </c>
      <c r="I243">
        <f>IFERROR(IF(ISNUMBER(INDEX(SPPR!$E:$X,MATCH($A243,SPPR!$A:$A,0),6)),$C243*INDEX(SPPR!$E:$X,MATCH($A243,SPPR!$A:$A,0),6),""),"")</f>
        <v/>
      </c>
      <c r="J243">
        <f>IFERROR(IF(ISNUMBER(INDEX(SPPR!$E:$X,MATCH($A243,SPPR!$A:$A,0),7)),$C243*INDEX(SPPR!$E:$X,MATCH($A243,SPPR!$A:$A,0),7),""),"")</f>
        <v/>
      </c>
      <c r="K243">
        <f>IFERROR(IF(ISNUMBER(INDEX(SPPR!$E:$X,MATCH($A243,SPPR!$A:$A,0),8)),$C243*INDEX(SPPR!$E:$X,MATCH($A243,SPPR!$A:$A,0),8),""),"")</f>
        <v/>
      </c>
      <c r="L243">
        <f>IFERROR(IF(ISNUMBER(INDEX(SPPR!$E:$X,MATCH($A243,SPPR!$A:$A,0),9)),$C243*INDEX(SPPR!$E:$X,MATCH($A243,SPPR!$A:$A,0),9),""),"")</f>
        <v/>
      </c>
      <c r="M243">
        <f>IFERROR(IF(ISNUMBER(INDEX(SPPR!$E:$X,MATCH($A243,SPPR!$A:$A,0),10)),$C243*INDEX(SPPR!$E:$X,MATCH($A243,SPPR!$A:$A,0),10),""),"")</f>
        <v/>
      </c>
      <c r="N243">
        <f>IFERROR(IF(ISNUMBER(INDEX(SPPR!$E:$X,MATCH($A243,SPPR!$A:$A,0),11)),$C243*INDEX(SPPR!$E:$X,MATCH($A243,SPPR!$A:$A,0),11),""),"")</f>
        <v/>
      </c>
      <c r="O243">
        <f>IFERROR(IF(ISNUMBER(INDEX(SPPR!$E:$X,MATCH($A243,SPPR!$A:$A,0),12)),$C243*INDEX(SPPR!$E:$X,MATCH($A243,SPPR!$A:$A,0),12),""),"")</f>
        <v/>
      </c>
      <c r="P243">
        <f>IFERROR(IF(ISNUMBER(INDEX(SPPR!$E:$X,MATCH($A243,SPPR!$A:$A,0),13)),$C243*INDEX(SPPR!$E:$X,MATCH($A243,SPPR!$A:$A,0),13),""),"")</f>
        <v/>
      </c>
      <c r="Q243">
        <f>IFERROR(IF(ISNUMBER(INDEX(SPPR!$E:$X,MATCH($A243,SPPR!$A:$A,0),14)),$C243*INDEX(SPPR!$E:$X,MATCH($A243,SPPR!$A:$A,0),14),""),"")</f>
        <v/>
      </c>
      <c r="R243">
        <f>IFERROR(IF(ISNUMBER(INDEX(SPPR!$E:$X,MATCH($A243,SPPR!$A:$A,0),15)),$C243*INDEX(SPPR!$E:$X,MATCH($A243,SPPR!$A:$A,0),15),""),"")</f>
        <v/>
      </c>
      <c r="S243">
        <f>IFERROR(IF(ISNUMBER(INDEX(SPPR!$E:$X,MATCH($A243,SPPR!$A:$A,0),16)),$C243*INDEX(SPPR!$E:$X,MATCH($A243,SPPR!$A:$A,0),16),""),"")</f>
        <v/>
      </c>
      <c r="T243">
        <f>IFERROR(IF(ISNUMBER(INDEX(SPPR!$E:$X,MATCH($A243,SPPR!$A:$A,0),17)),$C243*INDEX(SPPR!$E:$X,MATCH($A243,SPPR!$A:$A,0),17),""),"")</f>
        <v/>
      </c>
      <c r="U243">
        <f>IFERROR(IF(ISNUMBER(INDEX(SPPR!$E:$X,MATCH($A243,SPPR!$A:$A,0),18)),$C243*INDEX(SPPR!$E:$X,MATCH($A243,SPPR!$A:$A,0),18),""),"")</f>
        <v/>
      </c>
      <c r="V243">
        <f>IFERROR(IF(ISNUMBER(INDEX(SPPR!$E:$X,MATCH($A243,SPPR!$A:$A,0),19)),$C243*INDEX(SPPR!$E:$X,MATCH($A243,SPPR!$A:$A,0),19),""),"")</f>
        <v/>
      </c>
      <c r="W243">
        <f>IFERROR(IF(ISNUMBER(INDEX(SPPR!$E:$X,MATCH($A243,SPPR!$A:$A,0),20)),$C243*INDEX(SPPR!$E:$X,MATCH($A243,SPPR!$A:$A,0),20),""),"")</f>
        <v/>
      </c>
    </row>
    <row r="244">
      <c r="A244" t="inlineStr">
        <is>
          <t>Epigonus telescopus</t>
        </is>
      </c>
      <c r="B244">
        <f>IFERROR(INDEX(SPPR!$D:$D,MATCH($A244,SPPR!$A:$A,0)),"")</f>
        <v/>
      </c>
      <c r="C244">
        <f>IFERROR(INDEX(Catch!$E:$BV,MATCH($A244,Catch!$A:$A,0),MATCH($B$4,Catch!$E$1:$BV$1,0)),0)</f>
        <v/>
      </c>
      <c r="D244">
        <f>IFERROR(IF(ISNUMBER(INDEX(SPPR!$E:$X,MATCH($A244,SPPR!$A:$A,0),1)),$C244*INDEX(SPPR!$E:$X,MATCH($A244,SPPR!$A:$A,0),1),""),"")</f>
        <v/>
      </c>
      <c r="E244">
        <f>IFERROR(IF(ISNUMBER(INDEX(SPPR!$E:$X,MATCH($A244,SPPR!$A:$A,0),2)),$C244*INDEX(SPPR!$E:$X,MATCH($A244,SPPR!$A:$A,0),2),""),"")</f>
        <v/>
      </c>
      <c r="F244">
        <f>IFERROR(IF(ISNUMBER(INDEX(SPPR!$E:$X,MATCH($A244,SPPR!$A:$A,0),3)),$C244*INDEX(SPPR!$E:$X,MATCH($A244,SPPR!$A:$A,0),3),""),"")</f>
        <v/>
      </c>
      <c r="G244">
        <f>IFERROR(IF(ISNUMBER(INDEX(SPPR!$E:$X,MATCH($A244,SPPR!$A:$A,0),4)),$C244*INDEX(SPPR!$E:$X,MATCH($A244,SPPR!$A:$A,0),4),""),"")</f>
        <v/>
      </c>
      <c r="H244">
        <f>IFERROR(IF(ISNUMBER(INDEX(SPPR!$E:$X,MATCH($A244,SPPR!$A:$A,0),5)),$C244*INDEX(SPPR!$E:$X,MATCH($A244,SPPR!$A:$A,0),5),""),"")</f>
        <v/>
      </c>
      <c r="I244">
        <f>IFERROR(IF(ISNUMBER(INDEX(SPPR!$E:$X,MATCH($A244,SPPR!$A:$A,0),6)),$C244*INDEX(SPPR!$E:$X,MATCH($A244,SPPR!$A:$A,0),6),""),"")</f>
        <v/>
      </c>
      <c r="J244">
        <f>IFERROR(IF(ISNUMBER(INDEX(SPPR!$E:$X,MATCH($A244,SPPR!$A:$A,0),7)),$C244*INDEX(SPPR!$E:$X,MATCH($A244,SPPR!$A:$A,0),7),""),"")</f>
        <v/>
      </c>
      <c r="K244">
        <f>IFERROR(IF(ISNUMBER(INDEX(SPPR!$E:$X,MATCH($A244,SPPR!$A:$A,0),8)),$C244*INDEX(SPPR!$E:$X,MATCH($A244,SPPR!$A:$A,0),8),""),"")</f>
        <v/>
      </c>
      <c r="L244">
        <f>IFERROR(IF(ISNUMBER(INDEX(SPPR!$E:$X,MATCH($A244,SPPR!$A:$A,0),9)),$C244*INDEX(SPPR!$E:$X,MATCH($A244,SPPR!$A:$A,0),9),""),"")</f>
        <v/>
      </c>
      <c r="M244">
        <f>IFERROR(IF(ISNUMBER(INDEX(SPPR!$E:$X,MATCH($A244,SPPR!$A:$A,0),10)),$C244*INDEX(SPPR!$E:$X,MATCH($A244,SPPR!$A:$A,0),10),""),"")</f>
        <v/>
      </c>
      <c r="N244">
        <f>IFERROR(IF(ISNUMBER(INDEX(SPPR!$E:$X,MATCH($A244,SPPR!$A:$A,0),11)),$C244*INDEX(SPPR!$E:$X,MATCH($A244,SPPR!$A:$A,0),11),""),"")</f>
        <v/>
      </c>
      <c r="O244">
        <f>IFERROR(IF(ISNUMBER(INDEX(SPPR!$E:$X,MATCH($A244,SPPR!$A:$A,0),12)),$C244*INDEX(SPPR!$E:$X,MATCH($A244,SPPR!$A:$A,0),12),""),"")</f>
        <v/>
      </c>
      <c r="P244">
        <f>IFERROR(IF(ISNUMBER(INDEX(SPPR!$E:$X,MATCH($A244,SPPR!$A:$A,0),13)),$C244*INDEX(SPPR!$E:$X,MATCH($A244,SPPR!$A:$A,0),13),""),"")</f>
        <v/>
      </c>
      <c r="Q244">
        <f>IFERROR(IF(ISNUMBER(INDEX(SPPR!$E:$X,MATCH($A244,SPPR!$A:$A,0),14)),$C244*INDEX(SPPR!$E:$X,MATCH($A244,SPPR!$A:$A,0),14),""),"")</f>
        <v/>
      </c>
      <c r="R244">
        <f>IFERROR(IF(ISNUMBER(INDEX(SPPR!$E:$X,MATCH($A244,SPPR!$A:$A,0),15)),$C244*INDEX(SPPR!$E:$X,MATCH($A244,SPPR!$A:$A,0),15),""),"")</f>
        <v/>
      </c>
      <c r="S244">
        <f>IFERROR(IF(ISNUMBER(INDEX(SPPR!$E:$X,MATCH($A244,SPPR!$A:$A,0),16)),$C244*INDEX(SPPR!$E:$X,MATCH($A244,SPPR!$A:$A,0),16),""),"")</f>
        <v/>
      </c>
      <c r="T244">
        <f>IFERROR(IF(ISNUMBER(INDEX(SPPR!$E:$X,MATCH($A244,SPPR!$A:$A,0),17)),$C244*INDEX(SPPR!$E:$X,MATCH($A244,SPPR!$A:$A,0),17),""),"")</f>
        <v/>
      </c>
      <c r="U244">
        <f>IFERROR(IF(ISNUMBER(INDEX(SPPR!$E:$X,MATCH($A244,SPPR!$A:$A,0),18)),$C244*INDEX(SPPR!$E:$X,MATCH($A244,SPPR!$A:$A,0),18),""),"")</f>
        <v/>
      </c>
      <c r="V244">
        <f>IFERROR(IF(ISNUMBER(INDEX(SPPR!$E:$X,MATCH($A244,SPPR!$A:$A,0),19)),$C244*INDEX(SPPR!$E:$X,MATCH($A244,SPPR!$A:$A,0),19),""),"")</f>
        <v/>
      </c>
      <c r="W244">
        <f>IFERROR(IF(ISNUMBER(INDEX(SPPR!$E:$X,MATCH($A244,SPPR!$A:$A,0),20)),$C244*INDEX(SPPR!$E:$X,MATCH($A244,SPPR!$A:$A,0),20),""),"")</f>
        <v/>
      </c>
    </row>
    <row r="245">
      <c r="A245" t="inlineStr">
        <is>
          <t>Trachinus</t>
        </is>
      </c>
      <c r="B245">
        <f>IFERROR(INDEX(SPPR!$D:$D,MATCH($A245,SPPR!$A:$A,0)),"")</f>
        <v/>
      </c>
      <c r="C245">
        <f>IFERROR(INDEX(Catch!$E:$BV,MATCH($A245,Catch!$A:$A,0),MATCH($B$4,Catch!$E$1:$BV$1,0)),0)</f>
        <v/>
      </c>
      <c r="D245">
        <f>IFERROR(IF(ISNUMBER(INDEX(SPPR!$E:$X,MATCH($A245,SPPR!$A:$A,0),1)),$C245*INDEX(SPPR!$E:$X,MATCH($A245,SPPR!$A:$A,0),1),""),"")</f>
        <v/>
      </c>
      <c r="E245">
        <f>IFERROR(IF(ISNUMBER(INDEX(SPPR!$E:$X,MATCH($A245,SPPR!$A:$A,0),2)),$C245*INDEX(SPPR!$E:$X,MATCH($A245,SPPR!$A:$A,0),2),""),"")</f>
        <v/>
      </c>
      <c r="F245">
        <f>IFERROR(IF(ISNUMBER(INDEX(SPPR!$E:$X,MATCH($A245,SPPR!$A:$A,0),3)),$C245*INDEX(SPPR!$E:$X,MATCH($A245,SPPR!$A:$A,0),3),""),"")</f>
        <v/>
      </c>
      <c r="G245">
        <f>IFERROR(IF(ISNUMBER(INDEX(SPPR!$E:$X,MATCH($A245,SPPR!$A:$A,0),4)),$C245*INDEX(SPPR!$E:$X,MATCH($A245,SPPR!$A:$A,0),4),""),"")</f>
        <v/>
      </c>
      <c r="H245">
        <f>IFERROR(IF(ISNUMBER(INDEX(SPPR!$E:$X,MATCH($A245,SPPR!$A:$A,0),5)),$C245*INDEX(SPPR!$E:$X,MATCH($A245,SPPR!$A:$A,0),5),""),"")</f>
        <v/>
      </c>
      <c r="I245">
        <f>IFERROR(IF(ISNUMBER(INDEX(SPPR!$E:$X,MATCH($A245,SPPR!$A:$A,0),6)),$C245*INDEX(SPPR!$E:$X,MATCH($A245,SPPR!$A:$A,0),6),""),"")</f>
        <v/>
      </c>
      <c r="J245">
        <f>IFERROR(IF(ISNUMBER(INDEX(SPPR!$E:$X,MATCH($A245,SPPR!$A:$A,0),7)),$C245*INDEX(SPPR!$E:$X,MATCH($A245,SPPR!$A:$A,0),7),""),"")</f>
        <v/>
      </c>
      <c r="K245">
        <f>IFERROR(IF(ISNUMBER(INDEX(SPPR!$E:$X,MATCH($A245,SPPR!$A:$A,0),8)),$C245*INDEX(SPPR!$E:$X,MATCH($A245,SPPR!$A:$A,0),8),""),"")</f>
        <v/>
      </c>
      <c r="L245">
        <f>IFERROR(IF(ISNUMBER(INDEX(SPPR!$E:$X,MATCH($A245,SPPR!$A:$A,0),9)),$C245*INDEX(SPPR!$E:$X,MATCH($A245,SPPR!$A:$A,0),9),""),"")</f>
        <v/>
      </c>
      <c r="M245">
        <f>IFERROR(IF(ISNUMBER(INDEX(SPPR!$E:$X,MATCH($A245,SPPR!$A:$A,0),10)),$C245*INDEX(SPPR!$E:$X,MATCH($A245,SPPR!$A:$A,0),10),""),"")</f>
        <v/>
      </c>
      <c r="N245">
        <f>IFERROR(IF(ISNUMBER(INDEX(SPPR!$E:$X,MATCH($A245,SPPR!$A:$A,0),11)),$C245*INDEX(SPPR!$E:$X,MATCH($A245,SPPR!$A:$A,0),11),""),"")</f>
        <v/>
      </c>
      <c r="O245">
        <f>IFERROR(IF(ISNUMBER(INDEX(SPPR!$E:$X,MATCH($A245,SPPR!$A:$A,0),12)),$C245*INDEX(SPPR!$E:$X,MATCH($A245,SPPR!$A:$A,0),12),""),"")</f>
        <v/>
      </c>
      <c r="P245">
        <f>IFERROR(IF(ISNUMBER(INDEX(SPPR!$E:$X,MATCH($A245,SPPR!$A:$A,0),13)),$C245*INDEX(SPPR!$E:$X,MATCH($A245,SPPR!$A:$A,0),13),""),"")</f>
        <v/>
      </c>
      <c r="Q245">
        <f>IFERROR(IF(ISNUMBER(INDEX(SPPR!$E:$X,MATCH($A245,SPPR!$A:$A,0),14)),$C245*INDEX(SPPR!$E:$X,MATCH($A245,SPPR!$A:$A,0),14),""),"")</f>
        <v/>
      </c>
      <c r="R245">
        <f>IFERROR(IF(ISNUMBER(INDEX(SPPR!$E:$X,MATCH($A245,SPPR!$A:$A,0),15)),$C245*INDEX(SPPR!$E:$X,MATCH($A245,SPPR!$A:$A,0),15),""),"")</f>
        <v/>
      </c>
      <c r="S245">
        <f>IFERROR(IF(ISNUMBER(INDEX(SPPR!$E:$X,MATCH($A245,SPPR!$A:$A,0),16)),$C245*INDEX(SPPR!$E:$X,MATCH($A245,SPPR!$A:$A,0),16),""),"")</f>
        <v/>
      </c>
      <c r="T245">
        <f>IFERROR(IF(ISNUMBER(INDEX(SPPR!$E:$X,MATCH($A245,SPPR!$A:$A,0),17)),$C245*INDEX(SPPR!$E:$X,MATCH($A245,SPPR!$A:$A,0),17),""),"")</f>
        <v/>
      </c>
      <c r="U245">
        <f>IFERROR(IF(ISNUMBER(INDEX(SPPR!$E:$X,MATCH($A245,SPPR!$A:$A,0),18)),$C245*INDEX(SPPR!$E:$X,MATCH($A245,SPPR!$A:$A,0),18),""),"")</f>
        <v/>
      </c>
      <c r="V245">
        <f>IFERROR(IF(ISNUMBER(INDEX(SPPR!$E:$X,MATCH($A245,SPPR!$A:$A,0),19)),$C245*INDEX(SPPR!$E:$X,MATCH($A245,SPPR!$A:$A,0),19),""),"")</f>
        <v/>
      </c>
      <c r="W245">
        <f>IFERROR(IF(ISNUMBER(INDEX(SPPR!$E:$X,MATCH($A245,SPPR!$A:$A,0),20)),$C245*INDEX(SPPR!$E:$X,MATCH($A245,SPPR!$A:$A,0),20),""),"")</f>
        <v/>
      </c>
    </row>
    <row r="246">
      <c r="A246" t="inlineStr">
        <is>
          <t>Boops boops</t>
        </is>
      </c>
      <c r="B246">
        <f>IFERROR(INDEX(SPPR!$D:$D,MATCH($A246,SPPR!$A:$A,0)),"")</f>
        <v/>
      </c>
      <c r="C246">
        <f>IFERROR(INDEX(Catch!$E:$BV,MATCH($A246,Catch!$A:$A,0),MATCH($B$4,Catch!$E$1:$BV$1,0)),0)</f>
        <v/>
      </c>
      <c r="D246">
        <f>IFERROR(IF(ISNUMBER(INDEX(SPPR!$E:$X,MATCH($A246,SPPR!$A:$A,0),1)),$C246*INDEX(SPPR!$E:$X,MATCH($A246,SPPR!$A:$A,0),1),""),"")</f>
        <v/>
      </c>
      <c r="E246">
        <f>IFERROR(IF(ISNUMBER(INDEX(SPPR!$E:$X,MATCH($A246,SPPR!$A:$A,0),2)),$C246*INDEX(SPPR!$E:$X,MATCH($A246,SPPR!$A:$A,0),2),""),"")</f>
        <v/>
      </c>
      <c r="F246">
        <f>IFERROR(IF(ISNUMBER(INDEX(SPPR!$E:$X,MATCH($A246,SPPR!$A:$A,0),3)),$C246*INDEX(SPPR!$E:$X,MATCH($A246,SPPR!$A:$A,0),3),""),"")</f>
        <v/>
      </c>
      <c r="G246">
        <f>IFERROR(IF(ISNUMBER(INDEX(SPPR!$E:$X,MATCH($A246,SPPR!$A:$A,0),4)),$C246*INDEX(SPPR!$E:$X,MATCH($A246,SPPR!$A:$A,0),4),""),"")</f>
        <v/>
      </c>
      <c r="H246">
        <f>IFERROR(IF(ISNUMBER(INDEX(SPPR!$E:$X,MATCH($A246,SPPR!$A:$A,0),5)),$C246*INDEX(SPPR!$E:$X,MATCH($A246,SPPR!$A:$A,0),5),""),"")</f>
        <v/>
      </c>
      <c r="I246">
        <f>IFERROR(IF(ISNUMBER(INDEX(SPPR!$E:$X,MATCH($A246,SPPR!$A:$A,0),6)),$C246*INDEX(SPPR!$E:$X,MATCH($A246,SPPR!$A:$A,0),6),""),"")</f>
        <v/>
      </c>
      <c r="J246">
        <f>IFERROR(IF(ISNUMBER(INDEX(SPPR!$E:$X,MATCH($A246,SPPR!$A:$A,0),7)),$C246*INDEX(SPPR!$E:$X,MATCH($A246,SPPR!$A:$A,0),7),""),"")</f>
        <v/>
      </c>
      <c r="K246">
        <f>IFERROR(IF(ISNUMBER(INDEX(SPPR!$E:$X,MATCH($A246,SPPR!$A:$A,0),8)),$C246*INDEX(SPPR!$E:$X,MATCH($A246,SPPR!$A:$A,0),8),""),"")</f>
        <v/>
      </c>
      <c r="L246">
        <f>IFERROR(IF(ISNUMBER(INDEX(SPPR!$E:$X,MATCH($A246,SPPR!$A:$A,0),9)),$C246*INDEX(SPPR!$E:$X,MATCH($A246,SPPR!$A:$A,0),9),""),"")</f>
        <v/>
      </c>
      <c r="M246">
        <f>IFERROR(IF(ISNUMBER(INDEX(SPPR!$E:$X,MATCH($A246,SPPR!$A:$A,0),10)),$C246*INDEX(SPPR!$E:$X,MATCH($A246,SPPR!$A:$A,0),10),""),"")</f>
        <v/>
      </c>
      <c r="N246">
        <f>IFERROR(IF(ISNUMBER(INDEX(SPPR!$E:$X,MATCH($A246,SPPR!$A:$A,0),11)),$C246*INDEX(SPPR!$E:$X,MATCH($A246,SPPR!$A:$A,0),11),""),"")</f>
        <v/>
      </c>
      <c r="O246">
        <f>IFERROR(IF(ISNUMBER(INDEX(SPPR!$E:$X,MATCH($A246,SPPR!$A:$A,0),12)),$C246*INDEX(SPPR!$E:$X,MATCH($A246,SPPR!$A:$A,0),12),""),"")</f>
        <v/>
      </c>
      <c r="P246">
        <f>IFERROR(IF(ISNUMBER(INDEX(SPPR!$E:$X,MATCH($A246,SPPR!$A:$A,0),13)),$C246*INDEX(SPPR!$E:$X,MATCH($A246,SPPR!$A:$A,0),13),""),"")</f>
        <v/>
      </c>
      <c r="Q246">
        <f>IFERROR(IF(ISNUMBER(INDEX(SPPR!$E:$X,MATCH($A246,SPPR!$A:$A,0),14)),$C246*INDEX(SPPR!$E:$X,MATCH($A246,SPPR!$A:$A,0),14),""),"")</f>
        <v/>
      </c>
      <c r="R246">
        <f>IFERROR(IF(ISNUMBER(INDEX(SPPR!$E:$X,MATCH($A246,SPPR!$A:$A,0),15)),$C246*INDEX(SPPR!$E:$X,MATCH($A246,SPPR!$A:$A,0),15),""),"")</f>
        <v/>
      </c>
      <c r="S246">
        <f>IFERROR(IF(ISNUMBER(INDEX(SPPR!$E:$X,MATCH($A246,SPPR!$A:$A,0),16)),$C246*INDEX(SPPR!$E:$X,MATCH($A246,SPPR!$A:$A,0),16),""),"")</f>
        <v/>
      </c>
      <c r="T246">
        <f>IFERROR(IF(ISNUMBER(INDEX(SPPR!$E:$X,MATCH($A246,SPPR!$A:$A,0),17)),$C246*INDEX(SPPR!$E:$X,MATCH($A246,SPPR!$A:$A,0),17),""),"")</f>
        <v/>
      </c>
      <c r="U246">
        <f>IFERROR(IF(ISNUMBER(INDEX(SPPR!$E:$X,MATCH($A246,SPPR!$A:$A,0),18)),$C246*INDEX(SPPR!$E:$X,MATCH($A246,SPPR!$A:$A,0),18),""),"")</f>
        <v/>
      </c>
      <c r="V246">
        <f>IFERROR(IF(ISNUMBER(INDEX(SPPR!$E:$X,MATCH($A246,SPPR!$A:$A,0),19)),$C246*INDEX(SPPR!$E:$X,MATCH($A246,SPPR!$A:$A,0),19),""),"")</f>
        <v/>
      </c>
      <c r="W246">
        <f>IFERROR(IF(ISNUMBER(INDEX(SPPR!$E:$X,MATCH($A246,SPPR!$A:$A,0),20)),$C246*INDEX(SPPR!$E:$X,MATCH($A246,SPPR!$A:$A,0),20),""),"")</f>
        <v/>
      </c>
    </row>
    <row r="247">
      <c r="A247" t="inlineStr">
        <is>
          <t>Pandalidae</t>
        </is>
      </c>
      <c r="B247">
        <f>IFERROR(INDEX(SPPR!$D:$D,MATCH($A247,SPPR!$A:$A,0)),"")</f>
        <v/>
      </c>
      <c r="C247">
        <f>IFERROR(INDEX(Catch!$E:$BV,MATCH($A247,Catch!$A:$A,0),MATCH($B$4,Catch!$E$1:$BV$1,0)),0)</f>
        <v/>
      </c>
      <c r="D247">
        <f>IFERROR(IF(ISNUMBER(INDEX(SPPR!$E:$X,MATCH($A247,SPPR!$A:$A,0),1)),$C247*INDEX(SPPR!$E:$X,MATCH($A247,SPPR!$A:$A,0),1),""),"")</f>
        <v/>
      </c>
      <c r="E247">
        <f>IFERROR(IF(ISNUMBER(INDEX(SPPR!$E:$X,MATCH($A247,SPPR!$A:$A,0),2)),$C247*INDEX(SPPR!$E:$X,MATCH($A247,SPPR!$A:$A,0),2),""),"")</f>
        <v/>
      </c>
      <c r="F247">
        <f>IFERROR(IF(ISNUMBER(INDEX(SPPR!$E:$X,MATCH($A247,SPPR!$A:$A,0),3)),$C247*INDEX(SPPR!$E:$X,MATCH($A247,SPPR!$A:$A,0),3),""),"")</f>
        <v/>
      </c>
      <c r="G247">
        <f>IFERROR(IF(ISNUMBER(INDEX(SPPR!$E:$X,MATCH($A247,SPPR!$A:$A,0),4)),$C247*INDEX(SPPR!$E:$X,MATCH($A247,SPPR!$A:$A,0),4),""),"")</f>
        <v/>
      </c>
      <c r="H247">
        <f>IFERROR(IF(ISNUMBER(INDEX(SPPR!$E:$X,MATCH($A247,SPPR!$A:$A,0),5)),$C247*INDEX(SPPR!$E:$X,MATCH($A247,SPPR!$A:$A,0),5),""),"")</f>
        <v/>
      </c>
      <c r="I247">
        <f>IFERROR(IF(ISNUMBER(INDEX(SPPR!$E:$X,MATCH($A247,SPPR!$A:$A,0),6)),$C247*INDEX(SPPR!$E:$X,MATCH($A247,SPPR!$A:$A,0),6),""),"")</f>
        <v/>
      </c>
      <c r="J247">
        <f>IFERROR(IF(ISNUMBER(INDEX(SPPR!$E:$X,MATCH($A247,SPPR!$A:$A,0),7)),$C247*INDEX(SPPR!$E:$X,MATCH($A247,SPPR!$A:$A,0),7),""),"")</f>
        <v/>
      </c>
      <c r="K247">
        <f>IFERROR(IF(ISNUMBER(INDEX(SPPR!$E:$X,MATCH($A247,SPPR!$A:$A,0),8)),$C247*INDEX(SPPR!$E:$X,MATCH($A247,SPPR!$A:$A,0),8),""),"")</f>
        <v/>
      </c>
      <c r="L247">
        <f>IFERROR(IF(ISNUMBER(INDEX(SPPR!$E:$X,MATCH($A247,SPPR!$A:$A,0),9)),$C247*INDEX(SPPR!$E:$X,MATCH($A247,SPPR!$A:$A,0),9),""),"")</f>
        <v/>
      </c>
      <c r="M247">
        <f>IFERROR(IF(ISNUMBER(INDEX(SPPR!$E:$X,MATCH($A247,SPPR!$A:$A,0),10)),$C247*INDEX(SPPR!$E:$X,MATCH($A247,SPPR!$A:$A,0),10),""),"")</f>
        <v/>
      </c>
      <c r="N247">
        <f>IFERROR(IF(ISNUMBER(INDEX(SPPR!$E:$X,MATCH($A247,SPPR!$A:$A,0),11)),$C247*INDEX(SPPR!$E:$X,MATCH($A247,SPPR!$A:$A,0),11),""),"")</f>
        <v/>
      </c>
      <c r="O247">
        <f>IFERROR(IF(ISNUMBER(INDEX(SPPR!$E:$X,MATCH($A247,SPPR!$A:$A,0),12)),$C247*INDEX(SPPR!$E:$X,MATCH($A247,SPPR!$A:$A,0),12),""),"")</f>
        <v/>
      </c>
      <c r="P247">
        <f>IFERROR(IF(ISNUMBER(INDEX(SPPR!$E:$X,MATCH($A247,SPPR!$A:$A,0),13)),$C247*INDEX(SPPR!$E:$X,MATCH($A247,SPPR!$A:$A,0),13),""),"")</f>
        <v/>
      </c>
      <c r="Q247">
        <f>IFERROR(IF(ISNUMBER(INDEX(SPPR!$E:$X,MATCH($A247,SPPR!$A:$A,0),14)),$C247*INDEX(SPPR!$E:$X,MATCH($A247,SPPR!$A:$A,0),14),""),"")</f>
        <v/>
      </c>
      <c r="R247">
        <f>IFERROR(IF(ISNUMBER(INDEX(SPPR!$E:$X,MATCH($A247,SPPR!$A:$A,0),15)),$C247*INDEX(SPPR!$E:$X,MATCH($A247,SPPR!$A:$A,0),15),""),"")</f>
        <v/>
      </c>
      <c r="S247">
        <f>IFERROR(IF(ISNUMBER(INDEX(SPPR!$E:$X,MATCH($A247,SPPR!$A:$A,0),16)),$C247*INDEX(SPPR!$E:$X,MATCH($A247,SPPR!$A:$A,0),16),""),"")</f>
        <v/>
      </c>
      <c r="T247">
        <f>IFERROR(IF(ISNUMBER(INDEX(SPPR!$E:$X,MATCH($A247,SPPR!$A:$A,0),17)),$C247*INDEX(SPPR!$E:$X,MATCH($A247,SPPR!$A:$A,0),17),""),"")</f>
        <v/>
      </c>
      <c r="U247">
        <f>IFERROR(IF(ISNUMBER(INDEX(SPPR!$E:$X,MATCH($A247,SPPR!$A:$A,0),18)),$C247*INDEX(SPPR!$E:$X,MATCH($A247,SPPR!$A:$A,0),18),""),"")</f>
        <v/>
      </c>
      <c r="V247">
        <f>IFERROR(IF(ISNUMBER(INDEX(SPPR!$E:$X,MATCH($A247,SPPR!$A:$A,0),19)),$C247*INDEX(SPPR!$E:$X,MATCH($A247,SPPR!$A:$A,0),19),""),"")</f>
        <v/>
      </c>
      <c r="W247">
        <f>IFERROR(IF(ISNUMBER(INDEX(SPPR!$E:$X,MATCH($A247,SPPR!$A:$A,0),20)),$C247*INDEX(SPPR!$E:$X,MATCH($A247,SPPR!$A:$A,0),20),""),"")</f>
        <v/>
      </c>
    </row>
    <row r="248">
      <c r="A248" t="inlineStr">
        <is>
          <t>Symphodus melops</t>
        </is>
      </c>
      <c r="B248">
        <f>IFERROR(INDEX(SPPR!$D:$D,MATCH($A248,SPPR!$A:$A,0)),"")</f>
        <v/>
      </c>
      <c r="C248">
        <f>IFERROR(INDEX(Catch!$E:$BV,MATCH($A248,Catch!$A:$A,0),MATCH($B$4,Catch!$E$1:$BV$1,0)),0)</f>
        <v/>
      </c>
      <c r="D248">
        <f>IFERROR(IF(ISNUMBER(INDEX(SPPR!$E:$X,MATCH($A248,SPPR!$A:$A,0),1)),$C248*INDEX(SPPR!$E:$X,MATCH($A248,SPPR!$A:$A,0),1),""),"")</f>
        <v/>
      </c>
      <c r="E248">
        <f>IFERROR(IF(ISNUMBER(INDEX(SPPR!$E:$X,MATCH($A248,SPPR!$A:$A,0),2)),$C248*INDEX(SPPR!$E:$X,MATCH($A248,SPPR!$A:$A,0),2),""),"")</f>
        <v/>
      </c>
      <c r="F248">
        <f>IFERROR(IF(ISNUMBER(INDEX(SPPR!$E:$X,MATCH($A248,SPPR!$A:$A,0),3)),$C248*INDEX(SPPR!$E:$X,MATCH($A248,SPPR!$A:$A,0),3),""),"")</f>
        <v/>
      </c>
      <c r="G248">
        <f>IFERROR(IF(ISNUMBER(INDEX(SPPR!$E:$X,MATCH($A248,SPPR!$A:$A,0),4)),$C248*INDEX(SPPR!$E:$X,MATCH($A248,SPPR!$A:$A,0),4),""),"")</f>
        <v/>
      </c>
      <c r="H248">
        <f>IFERROR(IF(ISNUMBER(INDEX(SPPR!$E:$X,MATCH($A248,SPPR!$A:$A,0),5)),$C248*INDEX(SPPR!$E:$X,MATCH($A248,SPPR!$A:$A,0),5),""),"")</f>
        <v/>
      </c>
      <c r="I248">
        <f>IFERROR(IF(ISNUMBER(INDEX(SPPR!$E:$X,MATCH($A248,SPPR!$A:$A,0),6)),$C248*INDEX(SPPR!$E:$X,MATCH($A248,SPPR!$A:$A,0),6),""),"")</f>
        <v/>
      </c>
      <c r="J248">
        <f>IFERROR(IF(ISNUMBER(INDEX(SPPR!$E:$X,MATCH($A248,SPPR!$A:$A,0),7)),$C248*INDEX(SPPR!$E:$X,MATCH($A248,SPPR!$A:$A,0),7),""),"")</f>
        <v/>
      </c>
      <c r="K248">
        <f>IFERROR(IF(ISNUMBER(INDEX(SPPR!$E:$X,MATCH($A248,SPPR!$A:$A,0),8)),$C248*INDEX(SPPR!$E:$X,MATCH($A248,SPPR!$A:$A,0),8),""),"")</f>
        <v/>
      </c>
      <c r="L248">
        <f>IFERROR(IF(ISNUMBER(INDEX(SPPR!$E:$X,MATCH($A248,SPPR!$A:$A,0),9)),$C248*INDEX(SPPR!$E:$X,MATCH($A248,SPPR!$A:$A,0),9),""),"")</f>
        <v/>
      </c>
      <c r="M248">
        <f>IFERROR(IF(ISNUMBER(INDEX(SPPR!$E:$X,MATCH($A248,SPPR!$A:$A,0),10)),$C248*INDEX(SPPR!$E:$X,MATCH($A248,SPPR!$A:$A,0),10),""),"")</f>
        <v/>
      </c>
      <c r="N248">
        <f>IFERROR(IF(ISNUMBER(INDEX(SPPR!$E:$X,MATCH($A248,SPPR!$A:$A,0),11)),$C248*INDEX(SPPR!$E:$X,MATCH($A248,SPPR!$A:$A,0),11),""),"")</f>
        <v/>
      </c>
      <c r="O248">
        <f>IFERROR(IF(ISNUMBER(INDEX(SPPR!$E:$X,MATCH($A248,SPPR!$A:$A,0),12)),$C248*INDEX(SPPR!$E:$X,MATCH($A248,SPPR!$A:$A,0),12),""),"")</f>
        <v/>
      </c>
      <c r="P248">
        <f>IFERROR(IF(ISNUMBER(INDEX(SPPR!$E:$X,MATCH($A248,SPPR!$A:$A,0),13)),$C248*INDEX(SPPR!$E:$X,MATCH($A248,SPPR!$A:$A,0),13),""),"")</f>
        <v/>
      </c>
      <c r="Q248">
        <f>IFERROR(IF(ISNUMBER(INDEX(SPPR!$E:$X,MATCH($A248,SPPR!$A:$A,0),14)),$C248*INDEX(SPPR!$E:$X,MATCH($A248,SPPR!$A:$A,0),14),""),"")</f>
        <v/>
      </c>
      <c r="R248">
        <f>IFERROR(IF(ISNUMBER(INDEX(SPPR!$E:$X,MATCH($A248,SPPR!$A:$A,0),15)),$C248*INDEX(SPPR!$E:$X,MATCH($A248,SPPR!$A:$A,0),15),""),"")</f>
        <v/>
      </c>
      <c r="S248">
        <f>IFERROR(IF(ISNUMBER(INDEX(SPPR!$E:$X,MATCH($A248,SPPR!$A:$A,0),16)),$C248*INDEX(SPPR!$E:$X,MATCH($A248,SPPR!$A:$A,0),16),""),"")</f>
        <v/>
      </c>
      <c r="T248">
        <f>IFERROR(IF(ISNUMBER(INDEX(SPPR!$E:$X,MATCH($A248,SPPR!$A:$A,0),17)),$C248*INDEX(SPPR!$E:$X,MATCH($A248,SPPR!$A:$A,0),17),""),"")</f>
        <v/>
      </c>
      <c r="U248">
        <f>IFERROR(IF(ISNUMBER(INDEX(SPPR!$E:$X,MATCH($A248,SPPR!$A:$A,0),18)),$C248*INDEX(SPPR!$E:$X,MATCH($A248,SPPR!$A:$A,0),18),""),"")</f>
        <v/>
      </c>
      <c r="V248">
        <f>IFERROR(IF(ISNUMBER(INDEX(SPPR!$E:$X,MATCH($A248,SPPR!$A:$A,0),19)),$C248*INDEX(SPPR!$E:$X,MATCH($A248,SPPR!$A:$A,0),19),""),"")</f>
        <v/>
      </c>
      <c r="W248">
        <f>IFERROR(IF(ISNUMBER(INDEX(SPPR!$E:$X,MATCH($A248,SPPR!$A:$A,0),20)),$C248*INDEX(SPPR!$E:$X,MATCH($A248,SPPR!$A:$A,0),20),""),"")</f>
        <v/>
      </c>
    </row>
    <row r="249">
      <c r="A249" t="inlineStr">
        <is>
          <t>Solea</t>
        </is>
      </c>
      <c r="B249">
        <f>IFERROR(INDEX(SPPR!$D:$D,MATCH($A249,SPPR!$A:$A,0)),"")</f>
        <v/>
      </c>
      <c r="C249">
        <f>IFERROR(INDEX(Catch!$E:$BV,MATCH($A249,Catch!$A:$A,0),MATCH($B$4,Catch!$E$1:$BV$1,0)),0)</f>
        <v/>
      </c>
      <c r="D249">
        <f>IFERROR(IF(ISNUMBER(INDEX(SPPR!$E:$X,MATCH($A249,SPPR!$A:$A,0),1)),$C249*INDEX(SPPR!$E:$X,MATCH($A249,SPPR!$A:$A,0),1),""),"")</f>
        <v/>
      </c>
      <c r="E249">
        <f>IFERROR(IF(ISNUMBER(INDEX(SPPR!$E:$X,MATCH($A249,SPPR!$A:$A,0),2)),$C249*INDEX(SPPR!$E:$X,MATCH($A249,SPPR!$A:$A,0),2),""),"")</f>
        <v/>
      </c>
      <c r="F249">
        <f>IFERROR(IF(ISNUMBER(INDEX(SPPR!$E:$X,MATCH($A249,SPPR!$A:$A,0),3)),$C249*INDEX(SPPR!$E:$X,MATCH($A249,SPPR!$A:$A,0),3),""),"")</f>
        <v/>
      </c>
      <c r="G249">
        <f>IFERROR(IF(ISNUMBER(INDEX(SPPR!$E:$X,MATCH($A249,SPPR!$A:$A,0),4)),$C249*INDEX(SPPR!$E:$X,MATCH($A249,SPPR!$A:$A,0),4),""),"")</f>
        <v/>
      </c>
      <c r="H249">
        <f>IFERROR(IF(ISNUMBER(INDEX(SPPR!$E:$X,MATCH($A249,SPPR!$A:$A,0),5)),$C249*INDEX(SPPR!$E:$X,MATCH($A249,SPPR!$A:$A,0),5),""),"")</f>
        <v/>
      </c>
      <c r="I249">
        <f>IFERROR(IF(ISNUMBER(INDEX(SPPR!$E:$X,MATCH($A249,SPPR!$A:$A,0),6)),$C249*INDEX(SPPR!$E:$X,MATCH($A249,SPPR!$A:$A,0),6),""),"")</f>
        <v/>
      </c>
      <c r="J249">
        <f>IFERROR(IF(ISNUMBER(INDEX(SPPR!$E:$X,MATCH($A249,SPPR!$A:$A,0),7)),$C249*INDEX(SPPR!$E:$X,MATCH($A249,SPPR!$A:$A,0),7),""),"")</f>
        <v/>
      </c>
      <c r="K249">
        <f>IFERROR(IF(ISNUMBER(INDEX(SPPR!$E:$X,MATCH($A249,SPPR!$A:$A,0),8)),$C249*INDEX(SPPR!$E:$X,MATCH($A249,SPPR!$A:$A,0),8),""),"")</f>
        <v/>
      </c>
      <c r="L249">
        <f>IFERROR(IF(ISNUMBER(INDEX(SPPR!$E:$X,MATCH($A249,SPPR!$A:$A,0),9)),$C249*INDEX(SPPR!$E:$X,MATCH($A249,SPPR!$A:$A,0),9),""),"")</f>
        <v/>
      </c>
      <c r="M249">
        <f>IFERROR(IF(ISNUMBER(INDEX(SPPR!$E:$X,MATCH($A249,SPPR!$A:$A,0),10)),$C249*INDEX(SPPR!$E:$X,MATCH($A249,SPPR!$A:$A,0),10),""),"")</f>
        <v/>
      </c>
      <c r="N249">
        <f>IFERROR(IF(ISNUMBER(INDEX(SPPR!$E:$X,MATCH($A249,SPPR!$A:$A,0),11)),$C249*INDEX(SPPR!$E:$X,MATCH($A249,SPPR!$A:$A,0),11),""),"")</f>
        <v/>
      </c>
      <c r="O249">
        <f>IFERROR(IF(ISNUMBER(INDEX(SPPR!$E:$X,MATCH($A249,SPPR!$A:$A,0),12)),$C249*INDEX(SPPR!$E:$X,MATCH($A249,SPPR!$A:$A,0),12),""),"")</f>
        <v/>
      </c>
      <c r="P249">
        <f>IFERROR(IF(ISNUMBER(INDEX(SPPR!$E:$X,MATCH($A249,SPPR!$A:$A,0),13)),$C249*INDEX(SPPR!$E:$X,MATCH($A249,SPPR!$A:$A,0),13),""),"")</f>
        <v/>
      </c>
      <c r="Q249">
        <f>IFERROR(IF(ISNUMBER(INDEX(SPPR!$E:$X,MATCH($A249,SPPR!$A:$A,0),14)),$C249*INDEX(SPPR!$E:$X,MATCH($A249,SPPR!$A:$A,0),14),""),"")</f>
        <v/>
      </c>
      <c r="R249">
        <f>IFERROR(IF(ISNUMBER(INDEX(SPPR!$E:$X,MATCH($A249,SPPR!$A:$A,0),15)),$C249*INDEX(SPPR!$E:$X,MATCH($A249,SPPR!$A:$A,0),15),""),"")</f>
        <v/>
      </c>
      <c r="S249">
        <f>IFERROR(IF(ISNUMBER(INDEX(SPPR!$E:$X,MATCH($A249,SPPR!$A:$A,0),16)),$C249*INDEX(SPPR!$E:$X,MATCH($A249,SPPR!$A:$A,0),16),""),"")</f>
        <v/>
      </c>
      <c r="T249">
        <f>IFERROR(IF(ISNUMBER(INDEX(SPPR!$E:$X,MATCH($A249,SPPR!$A:$A,0),17)),$C249*INDEX(SPPR!$E:$X,MATCH($A249,SPPR!$A:$A,0),17),""),"")</f>
        <v/>
      </c>
      <c r="U249">
        <f>IFERROR(IF(ISNUMBER(INDEX(SPPR!$E:$X,MATCH($A249,SPPR!$A:$A,0),18)),$C249*INDEX(SPPR!$E:$X,MATCH($A249,SPPR!$A:$A,0),18),""),"")</f>
        <v/>
      </c>
      <c r="V249">
        <f>IFERROR(IF(ISNUMBER(INDEX(SPPR!$E:$X,MATCH($A249,SPPR!$A:$A,0),19)),$C249*INDEX(SPPR!$E:$X,MATCH($A249,SPPR!$A:$A,0),19),""),"")</f>
        <v/>
      </c>
      <c r="W249">
        <f>IFERROR(IF(ISNUMBER(INDEX(SPPR!$E:$X,MATCH($A249,SPPR!$A:$A,0),20)),$C249*INDEX(SPPR!$E:$X,MATCH($A249,SPPR!$A:$A,0),20),""),"")</f>
        <v/>
      </c>
    </row>
    <row r="250">
      <c r="A250" t="inlineStr">
        <is>
          <t>Mustelus asterias</t>
        </is>
      </c>
      <c r="B250">
        <f>IFERROR(INDEX(SPPR!$D:$D,MATCH($A250,SPPR!$A:$A,0)),"")</f>
        <v/>
      </c>
      <c r="C250">
        <f>IFERROR(INDEX(Catch!$E:$BV,MATCH($A250,Catch!$A:$A,0),MATCH($B$4,Catch!$E$1:$BV$1,0)),0)</f>
        <v/>
      </c>
      <c r="D250">
        <f>IFERROR(IF(ISNUMBER(INDEX(SPPR!$E:$X,MATCH($A250,SPPR!$A:$A,0),1)),$C250*INDEX(SPPR!$E:$X,MATCH($A250,SPPR!$A:$A,0),1),""),"")</f>
        <v/>
      </c>
      <c r="E250">
        <f>IFERROR(IF(ISNUMBER(INDEX(SPPR!$E:$X,MATCH($A250,SPPR!$A:$A,0),2)),$C250*INDEX(SPPR!$E:$X,MATCH($A250,SPPR!$A:$A,0),2),""),"")</f>
        <v/>
      </c>
      <c r="F250">
        <f>IFERROR(IF(ISNUMBER(INDEX(SPPR!$E:$X,MATCH($A250,SPPR!$A:$A,0),3)),$C250*INDEX(SPPR!$E:$X,MATCH($A250,SPPR!$A:$A,0),3),""),"")</f>
        <v/>
      </c>
      <c r="G250">
        <f>IFERROR(IF(ISNUMBER(INDEX(SPPR!$E:$X,MATCH($A250,SPPR!$A:$A,0),4)),$C250*INDEX(SPPR!$E:$X,MATCH($A250,SPPR!$A:$A,0),4),""),"")</f>
        <v/>
      </c>
      <c r="H250">
        <f>IFERROR(IF(ISNUMBER(INDEX(SPPR!$E:$X,MATCH($A250,SPPR!$A:$A,0),5)),$C250*INDEX(SPPR!$E:$X,MATCH($A250,SPPR!$A:$A,0),5),""),"")</f>
        <v/>
      </c>
      <c r="I250">
        <f>IFERROR(IF(ISNUMBER(INDEX(SPPR!$E:$X,MATCH($A250,SPPR!$A:$A,0),6)),$C250*INDEX(SPPR!$E:$X,MATCH($A250,SPPR!$A:$A,0),6),""),"")</f>
        <v/>
      </c>
      <c r="J250">
        <f>IFERROR(IF(ISNUMBER(INDEX(SPPR!$E:$X,MATCH($A250,SPPR!$A:$A,0),7)),$C250*INDEX(SPPR!$E:$X,MATCH($A250,SPPR!$A:$A,0),7),""),"")</f>
        <v/>
      </c>
      <c r="K250">
        <f>IFERROR(IF(ISNUMBER(INDEX(SPPR!$E:$X,MATCH($A250,SPPR!$A:$A,0),8)),$C250*INDEX(SPPR!$E:$X,MATCH($A250,SPPR!$A:$A,0),8),""),"")</f>
        <v/>
      </c>
      <c r="L250">
        <f>IFERROR(IF(ISNUMBER(INDEX(SPPR!$E:$X,MATCH($A250,SPPR!$A:$A,0),9)),$C250*INDEX(SPPR!$E:$X,MATCH($A250,SPPR!$A:$A,0),9),""),"")</f>
        <v/>
      </c>
      <c r="M250">
        <f>IFERROR(IF(ISNUMBER(INDEX(SPPR!$E:$X,MATCH($A250,SPPR!$A:$A,0),10)),$C250*INDEX(SPPR!$E:$X,MATCH($A250,SPPR!$A:$A,0),10),""),"")</f>
        <v/>
      </c>
      <c r="N250">
        <f>IFERROR(IF(ISNUMBER(INDEX(SPPR!$E:$X,MATCH($A250,SPPR!$A:$A,0),11)),$C250*INDEX(SPPR!$E:$X,MATCH($A250,SPPR!$A:$A,0),11),""),"")</f>
        <v/>
      </c>
      <c r="O250">
        <f>IFERROR(IF(ISNUMBER(INDEX(SPPR!$E:$X,MATCH($A250,SPPR!$A:$A,0),12)),$C250*INDEX(SPPR!$E:$X,MATCH($A250,SPPR!$A:$A,0),12),""),"")</f>
        <v/>
      </c>
      <c r="P250">
        <f>IFERROR(IF(ISNUMBER(INDEX(SPPR!$E:$X,MATCH($A250,SPPR!$A:$A,0),13)),$C250*INDEX(SPPR!$E:$X,MATCH($A250,SPPR!$A:$A,0),13),""),"")</f>
        <v/>
      </c>
      <c r="Q250">
        <f>IFERROR(IF(ISNUMBER(INDEX(SPPR!$E:$X,MATCH($A250,SPPR!$A:$A,0),14)),$C250*INDEX(SPPR!$E:$X,MATCH($A250,SPPR!$A:$A,0),14),""),"")</f>
        <v/>
      </c>
      <c r="R250">
        <f>IFERROR(IF(ISNUMBER(INDEX(SPPR!$E:$X,MATCH($A250,SPPR!$A:$A,0),15)),$C250*INDEX(SPPR!$E:$X,MATCH($A250,SPPR!$A:$A,0),15),""),"")</f>
        <v/>
      </c>
      <c r="S250">
        <f>IFERROR(IF(ISNUMBER(INDEX(SPPR!$E:$X,MATCH($A250,SPPR!$A:$A,0),16)),$C250*INDEX(SPPR!$E:$X,MATCH($A250,SPPR!$A:$A,0),16),""),"")</f>
        <v/>
      </c>
      <c r="T250">
        <f>IFERROR(IF(ISNUMBER(INDEX(SPPR!$E:$X,MATCH($A250,SPPR!$A:$A,0),17)),$C250*INDEX(SPPR!$E:$X,MATCH($A250,SPPR!$A:$A,0),17),""),"")</f>
        <v/>
      </c>
      <c r="U250">
        <f>IFERROR(IF(ISNUMBER(INDEX(SPPR!$E:$X,MATCH($A250,SPPR!$A:$A,0),18)),$C250*INDEX(SPPR!$E:$X,MATCH($A250,SPPR!$A:$A,0),18),""),"")</f>
        <v/>
      </c>
      <c r="V250">
        <f>IFERROR(IF(ISNUMBER(INDEX(SPPR!$E:$X,MATCH($A250,SPPR!$A:$A,0),19)),$C250*INDEX(SPPR!$E:$X,MATCH($A250,SPPR!$A:$A,0),19),""),"")</f>
        <v/>
      </c>
      <c r="W250">
        <f>IFERROR(IF(ISNUMBER(INDEX(SPPR!$E:$X,MATCH($A250,SPPR!$A:$A,0),20)),$C250*INDEX(SPPR!$E:$X,MATCH($A250,SPPR!$A:$A,0),20),""),"")</f>
        <v/>
      </c>
    </row>
    <row r="251">
      <c r="A251" t="inlineStr">
        <is>
          <t>Acipenseridae</t>
        </is>
      </c>
      <c r="B251">
        <f>IFERROR(INDEX(SPPR!$D:$D,MATCH($A251,SPPR!$A:$A,0)),"")</f>
        <v/>
      </c>
      <c r="C251">
        <f>IFERROR(INDEX(Catch!$E:$BV,MATCH($A251,Catch!$A:$A,0),MATCH($B$4,Catch!$E$1:$BV$1,0)),0)</f>
        <v/>
      </c>
      <c r="D251">
        <f>IFERROR(IF(ISNUMBER(INDEX(SPPR!$E:$X,MATCH($A251,SPPR!$A:$A,0),1)),$C251*INDEX(SPPR!$E:$X,MATCH($A251,SPPR!$A:$A,0),1),""),"")</f>
        <v/>
      </c>
      <c r="E251">
        <f>IFERROR(IF(ISNUMBER(INDEX(SPPR!$E:$X,MATCH($A251,SPPR!$A:$A,0),2)),$C251*INDEX(SPPR!$E:$X,MATCH($A251,SPPR!$A:$A,0),2),""),"")</f>
        <v/>
      </c>
      <c r="F251">
        <f>IFERROR(IF(ISNUMBER(INDEX(SPPR!$E:$X,MATCH($A251,SPPR!$A:$A,0),3)),$C251*INDEX(SPPR!$E:$X,MATCH($A251,SPPR!$A:$A,0),3),""),"")</f>
        <v/>
      </c>
      <c r="G251">
        <f>IFERROR(IF(ISNUMBER(INDEX(SPPR!$E:$X,MATCH($A251,SPPR!$A:$A,0),4)),$C251*INDEX(SPPR!$E:$X,MATCH($A251,SPPR!$A:$A,0),4),""),"")</f>
        <v/>
      </c>
      <c r="H251">
        <f>IFERROR(IF(ISNUMBER(INDEX(SPPR!$E:$X,MATCH($A251,SPPR!$A:$A,0),5)),$C251*INDEX(SPPR!$E:$X,MATCH($A251,SPPR!$A:$A,0),5),""),"")</f>
        <v/>
      </c>
      <c r="I251">
        <f>IFERROR(IF(ISNUMBER(INDEX(SPPR!$E:$X,MATCH($A251,SPPR!$A:$A,0),6)),$C251*INDEX(SPPR!$E:$X,MATCH($A251,SPPR!$A:$A,0),6),""),"")</f>
        <v/>
      </c>
      <c r="J251">
        <f>IFERROR(IF(ISNUMBER(INDEX(SPPR!$E:$X,MATCH($A251,SPPR!$A:$A,0),7)),$C251*INDEX(SPPR!$E:$X,MATCH($A251,SPPR!$A:$A,0),7),""),"")</f>
        <v/>
      </c>
      <c r="K251">
        <f>IFERROR(IF(ISNUMBER(INDEX(SPPR!$E:$X,MATCH($A251,SPPR!$A:$A,0),8)),$C251*INDEX(SPPR!$E:$X,MATCH($A251,SPPR!$A:$A,0),8),""),"")</f>
        <v/>
      </c>
      <c r="L251">
        <f>IFERROR(IF(ISNUMBER(INDEX(SPPR!$E:$X,MATCH($A251,SPPR!$A:$A,0),9)),$C251*INDEX(SPPR!$E:$X,MATCH($A251,SPPR!$A:$A,0),9),""),"")</f>
        <v/>
      </c>
      <c r="M251">
        <f>IFERROR(IF(ISNUMBER(INDEX(SPPR!$E:$X,MATCH($A251,SPPR!$A:$A,0),10)),$C251*INDEX(SPPR!$E:$X,MATCH($A251,SPPR!$A:$A,0),10),""),"")</f>
        <v/>
      </c>
      <c r="N251">
        <f>IFERROR(IF(ISNUMBER(INDEX(SPPR!$E:$X,MATCH($A251,SPPR!$A:$A,0),11)),$C251*INDEX(SPPR!$E:$X,MATCH($A251,SPPR!$A:$A,0),11),""),"")</f>
        <v/>
      </c>
      <c r="O251">
        <f>IFERROR(IF(ISNUMBER(INDEX(SPPR!$E:$X,MATCH($A251,SPPR!$A:$A,0),12)),$C251*INDEX(SPPR!$E:$X,MATCH($A251,SPPR!$A:$A,0),12),""),"")</f>
        <v/>
      </c>
      <c r="P251">
        <f>IFERROR(IF(ISNUMBER(INDEX(SPPR!$E:$X,MATCH($A251,SPPR!$A:$A,0),13)),$C251*INDEX(SPPR!$E:$X,MATCH($A251,SPPR!$A:$A,0),13),""),"")</f>
        <v/>
      </c>
      <c r="Q251">
        <f>IFERROR(IF(ISNUMBER(INDEX(SPPR!$E:$X,MATCH($A251,SPPR!$A:$A,0),14)),$C251*INDEX(SPPR!$E:$X,MATCH($A251,SPPR!$A:$A,0),14),""),"")</f>
        <v/>
      </c>
      <c r="R251">
        <f>IFERROR(IF(ISNUMBER(INDEX(SPPR!$E:$X,MATCH($A251,SPPR!$A:$A,0),15)),$C251*INDEX(SPPR!$E:$X,MATCH($A251,SPPR!$A:$A,0),15),""),"")</f>
        <v/>
      </c>
      <c r="S251">
        <f>IFERROR(IF(ISNUMBER(INDEX(SPPR!$E:$X,MATCH($A251,SPPR!$A:$A,0),16)),$C251*INDEX(SPPR!$E:$X,MATCH($A251,SPPR!$A:$A,0),16),""),"")</f>
        <v/>
      </c>
      <c r="T251">
        <f>IFERROR(IF(ISNUMBER(INDEX(SPPR!$E:$X,MATCH($A251,SPPR!$A:$A,0),17)),$C251*INDEX(SPPR!$E:$X,MATCH($A251,SPPR!$A:$A,0),17),""),"")</f>
        <v/>
      </c>
      <c r="U251">
        <f>IFERROR(IF(ISNUMBER(INDEX(SPPR!$E:$X,MATCH($A251,SPPR!$A:$A,0),18)),$C251*INDEX(SPPR!$E:$X,MATCH($A251,SPPR!$A:$A,0),18),""),"")</f>
        <v/>
      </c>
      <c r="V251">
        <f>IFERROR(IF(ISNUMBER(INDEX(SPPR!$E:$X,MATCH($A251,SPPR!$A:$A,0),19)),$C251*INDEX(SPPR!$E:$X,MATCH($A251,SPPR!$A:$A,0),19),""),"")</f>
        <v/>
      </c>
      <c r="W251">
        <f>IFERROR(IF(ISNUMBER(INDEX(SPPR!$E:$X,MATCH($A251,SPPR!$A:$A,0),20)),$C251*INDEX(SPPR!$E:$X,MATCH($A251,SPPR!$A:$A,0),20),""),"")</f>
        <v/>
      </c>
    </row>
    <row r="252">
      <c r="A252" t="inlineStr">
        <is>
          <t>Alosa fallax</t>
        </is>
      </c>
      <c r="B252">
        <f>IFERROR(INDEX(SPPR!$D:$D,MATCH($A252,SPPR!$A:$A,0)),"")</f>
        <v/>
      </c>
      <c r="C252">
        <f>IFERROR(INDEX(Catch!$E:$BV,MATCH($A252,Catch!$A:$A,0),MATCH($B$4,Catch!$E$1:$BV$1,0)),0)</f>
        <v/>
      </c>
      <c r="D252">
        <f>IFERROR(IF(ISNUMBER(INDEX(SPPR!$E:$X,MATCH($A252,SPPR!$A:$A,0),1)),$C252*INDEX(SPPR!$E:$X,MATCH($A252,SPPR!$A:$A,0),1),""),"")</f>
        <v/>
      </c>
      <c r="E252">
        <f>IFERROR(IF(ISNUMBER(INDEX(SPPR!$E:$X,MATCH($A252,SPPR!$A:$A,0),2)),$C252*INDEX(SPPR!$E:$X,MATCH($A252,SPPR!$A:$A,0),2),""),"")</f>
        <v/>
      </c>
      <c r="F252">
        <f>IFERROR(IF(ISNUMBER(INDEX(SPPR!$E:$X,MATCH($A252,SPPR!$A:$A,0),3)),$C252*INDEX(SPPR!$E:$X,MATCH($A252,SPPR!$A:$A,0),3),""),"")</f>
        <v/>
      </c>
      <c r="G252">
        <f>IFERROR(IF(ISNUMBER(INDEX(SPPR!$E:$X,MATCH($A252,SPPR!$A:$A,0),4)),$C252*INDEX(SPPR!$E:$X,MATCH($A252,SPPR!$A:$A,0),4),""),"")</f>
        <v/>
      </c>
      <c r="H252">
        <f>IFERROR(IF(ISNUMBER(INDEX(SPPR!$E:$X,MATCH($A252,SPPR!$A:$A,0),5)),$C252*INDEX(SPPR!$E:$X,MATCH($A252,SPPR!$A:$A,0),5),""),"")</f>
        <v/>
      </c>
      <c r="I252">
        <f>IFERROR(IF(ISNUMBER(INDEX(SPPR!$E:$X,MATCH($A252,SPPR!$A:$A,0),6)),$C252*INDEX(SPPR!$E:$X,MATCH($A252,SPPR!$A:$A,0),6),""),"")</f>
        <v/>
      </c>
      <c r="J252">
        <f>IFERROR(IF(ISNUMBER(INDEX(SPPR!$E:$X,MATCH($A252,SPPR!$A:$A,0),7)),$C252*INDEX(SPPR!$E:$X,MATCH($A252,SPPR!$A:$A,0),7),""),"")</f>
        <v/>
      </c>
      <c r="K252">
        <f>IFERROR(IF(ISNUMBER(INDEX(SPPR!$E:$X,MATCH($A252,SPPR!$A:$A,0),8)),$C252*INDEX(SPPR!$E:$X,MATCH($A252,SPPR!$A:$A,0),8),""),"")</f>
        <v/>
      </c>
      <c r="L252">
        <f>IFERROR(IF(ISNUMBER(INDEX(SPPR!$E:$X,MATCH($A252,SPPR!$A:$A,0),9)),$C252*INDEX(SPPR!$E:$X,MATCH($A252,SPPR!$A:$A,0),9),""),"")</f>
        <v/>
      </c>
      <c r="M252">
        <f>IFERROR(IF(ISNUMBER(INDEX(SPPR!$E:$X,MATCH($A252,SPPR!$A:$A,0),10)),$C252*INDEX(SPPR!$E:$X,MATCH($A252,SPPR!$A:$A,0),10),""),"")</f>
        <v/>
      </c>
      <c r="N252">
        <f>IFERROR(IF(ISNUMBER(INDEX(SPPR!$E:$X,MATCH($A252,SPPR!$A:$A,0),11)),$C252*INDEX(SPPR!$E:$X,MATCH($A252,SPPR!$A:$A,0),11),""),"")</f>
        <v/>
      </c>
      <c r="O252">
        <f>IFERROR(IF(ISNUMBER(INDEX(SPPR!$E:$X,MATCH($A252,SPPR!$A:$A,0),12)),$C252*INDEX(SPPR!$E:$X,MATCH($A252,SPPR!$A:$A,0),12),""),"")</f>
        <v/>
      </c>
      <c r="P252">
        <f>IFERROR(IF(ISNUMBER(INDEX(SPPR!$E:$X,MATCH($A252,SPPR!$A:$A,0),13)),$C252*INDEX(SPPR!$E:$X,MATCH($A252,SPPR!$A:$A,0),13),""),"")</f>
        <v/>
      </c>
      <c r="Q252">
        <f>IFERROR(IF(ISNUMBER(INDEX(SPPR!$E:$X,MATCH($A252,SPPR!$A:$A,0),14)),$C252*INDEX(SPPR!$E:$X,MATCH($A252,SPPR!$A:$A,0),14),""),"")</f>
        <v/>
      </c>
      <c r="R252">
        <f>IFERROR(IF(ISNUMBER(INDEX(SPPR!$E:$X,MATCH($A252,SPPR!$A:$A,0),15)),$C252*INDEX(SPPR!$E:$X,MATCH($A252,SPPR!$A:$A,0),15),""),"")</f>
        <v/>
      </c>
      <c r="S252">
        <f>IFERROR(IF(ISNUMBER(INDEX(SPPR!$E:$X,MATCH($A252,SPPR!$A:$A,0),16)),$C252*INDEX(SPPR!$E:$X,MATCH($A252,SPPR!$A:$A,0),16),""),"")</f>
        <v/>
      </c>
      <c r="T252">
        <f>IFERROR(IF(ISNUMBER(INDEX(SPPR!$E:$X,MATCH($A252,SPPR!$A:$A,0),17)),$C252*INDEX(SPPR!$E:$X,MATCH($A252,SPPR!$A:$A,0),17),""),"")</f>
        <v/>
      </c>
      <c r="U252">
        <f>IFERROR(IF(ISNUMBER(INDEX(SPPR!$E:$X,MATCH($A252,SPPR!$A:$A,0),18)),$C252*INDEX(SPPR!$E:$X,MATCH($A252,SPPR!$A:$A,0),18),""),"")</f>
        <v/>
      </c>
      <c r="V252">
        <f>IFERROR(IF(ISNUMBER(INDEX(SPPR!$E:$X,MATCH($A252,SPPR!$A:$A,0),19)),$C252*INDEX(SPPR!$E:$X,MATCH($A252,SPPR!$A:$A,0),19),""),"")</f>
        <v/>
      </c>
      <c r="W252">
        <f>IFERROR(IF(ISNUMBER(INDEX(SPPR!$E:$X,MATCH($A252,SPPR!$A:$A,0),20)),$C252*INDEX(SPPR!$E:$X,MATCH($A252,SPPR!$A:$A,0),20),""),"")</f>
        <v/>
      </c>
    </row>
    <row r="253">
      <c r="A253" t="inlineStr">
        <is>
          <t>Ciliata mustela</t>
        </is>
      </c>
      <c r="B253">
        <f>IFERROR(INDEX(SPPR!$D:$D,MATCH($A253,SPPR!$A:$A,0)),"")</f>
        <v/>
      </c>
      <c r="C253">
        <f>IFERROR(INDEX(Catch!$E:$BV,MATCH($A253,Catch!$A:$A,0),MATCH($B$4,Catch!$E$1:$BV$1,0)),0)</f>
        <v/>
      </c>
      <c r="D253">
        <f>IFERROR(IF(ISNUMBER(INDEX(SPPR!$E:$X,MATCH($A253,SPPR!$A:$A,0),1)),$C253*INDEX(SPPR!$E:$X,MATCH($A253,SPPR!$A:$A,0),1),""),"")</f>
        <v/>
      </c>
      <c r="E253">
        <f>IFERROR(IF(ISNUMBER(INDEX(SPPR!$E:$X,MATCH($A253,SPPR!$A:$A,0),2)),$C253*INDEX(SPPR!$E:$X,MATCH($A253,SPPR!$A:$A,0),2),""),"")</f>
        <v/>
      </c>
      <c r="F253">
        <f>IFERROR(IF(ISNUMBER(INDEX(SPPR!$E:$X,MATCH($A253,SPPR!$A:$A,0),3)),$C253*INDEX(SPPR!$E:$X,MATCH($A253,SPPR!$A:$A,0),3),""),"")</f>
        <v/>
      </c>
      <c r="G253">
        <f>IFERROR(IF(ISNUMBER(INDEX(SPPR!$E:$X,MATCH($A253,SPPR!$A:$A,0),4)),$C253*INDEX(SPPR!$E:$X,MATCH($A253,SPPR!$A:$A,0),4),""),"")</f>
        <v/>
      </c>
      <c r="H253">
        <f>IFERROR(IF(ISNUMBER(INDEX(SPPR!$E:$X,MATCH($A253,SPPR!$A:$A,0),5)),$C253*INDEX(SPPR!$E:$X,MATCH($A253,SPPR!$A:$A,0),5),""),"")</f>
        <v/>
      </c>
      <c r="I253">
        <f>IFERROR(IF(ISNUMBER(INDEX(SPPR!$E:$X,MATCH($A253,SPPR!$A:$A,0),6)),$C253*INDEX(SPPR!$E:$X,MATCH($A253,SPPR!$A:$A,0),6),""),"")</f>
        <v/>
      </c>
      <c r="J253">
        <f>IFERROR(IF(ISNUMBER(INDEX(SPPR!$E:$X,MATCH($A253,SPPR!$A:$A,0),7)),$C253*INDEX(SPPR!$E:$X,MATCH($A253,SPPR!$A:$A,0),7),""),"")</f>
        <v/>
      </c>
      <c r="K253">
        <f>IFERROR(IF(ISNUMBER(INDEX(SPPR!$E:$X,MATCH($A253,SPPR!$A:$A,0),8)),$C253*INDEX(SPPR!$E:$X,MATCH($A253,SPPR!$A:$A,0),8),""),"")</f>
        <v/>
      </c>
      <c r="L253">
        <f>IFERROR(IF(ISNUMBER(INDEX(SPPR!$E:$X,MATCH($A253,SPPR!$A:$A,0),9)),$C253*INDEX(SPPR!$E:$X,MATCH($A253,SPPR!$A:$A,0),9),""),"")</f>
        <v/>
      </c>
      <c r="M253">
        <f>IFERROR(IF(ISNUMBER(INDEX(SPPR!$E:$X,MATCH($A253,SPPR!$A:$A,0),10)),$C253*INDEX(SPPR!$E:$X,MATCH($A253,SPPR!$A:$A,0),10),""),"")</f>
        <v/>
      </c>
      <c r="N253">
        <f>IFERROR(IF(ISNUMBER(INDEX(SPPR!$E:$X,MATCH($A253,SPPR!$A:$A,0),11)),$C253*INDEX(SPPR!$E:$X,MATCH($A253,SPPR!$A:$A,0),11),""),"")</f>
        <v/>
      </c>
      <c r="O253">
        <f>IFERROR(IF(ISNUMBER(INDEX(SPPR!$E:$X,MATCH($A253,SPPR!$A:$A,0),12)),$C253*INDEX(SPPR!$E:$X,MATCH($A253,SPPR!$A:$A,0),12),""),"")</f>
        <v/>
      </c>
      <c r="P253">
        <f>IFERROR(IF(ISNUMBER(INDEX(SPPR!$E:$X,MATCH($A253,SPPR!$A:$A,0),13)),$C253*INDEX(SPPR!$E:$X,MATCH($A253,SPPR!$A:$A,0),13),""),"")</f>
        <v/>
      </c>
      <c r="Q253">
        <f>IFERROR(IF(ISNUMBER(INDEX(SPPR!$E:$X,MATCH($A253,SPPR!$A:$A,0),14)),$C253*INDEX(SPPR!$E:$X,MATCH($A253,SPPR!$A:$A,0),14),""),"")</f>
        <v/>
      </c>
      <c r="R253">
        <f>IFERROR(IF(ISNUMBER(INDEX(SPPR!$E:$X,MATCH($A253,SPPR!$A:$A,0),15)),$C253*INDEX(SPPR!$E:$X,MATCH($A253,SPPR!$A:$A,0),15),""),"")</f>
        <v/>
      </c>
      <c r="S253">
        <f>IFERROR(IF(ISNUMBER(INDEX(SPPR!$E:$X,MATCH($A253,SPPR!$A:$A,0),16)),$C253*INDEX(SPPR!$E:$X,MATCH($A253,SPPR!$A:$A,0),16),""),"")</f>
        <v/>
      </c>
      <c r="T253">
        <f>IFERROR(IF(ISNUMBER(INDEX(SPPR!$E:$X,MATCH($A253,SPPR!$A:$A,0),17)),$C253*INDEX(SPPR!$E:$X,MATCH($A253,SPPR!$A:$A,0),17),""),"")</f>
        <v/>
      </c>
      <c r="U253">
        <f>IFERROR(IF(ISNUMBER(INDEX(SPPR!$E:$X,MATCH($A253,SPPR!$A:$A,0),18)),$C253*INDEX(SPPR!$E:$X,MATCH($A253,SPPR!$A:$A,0),18),""),"")</f>
        <v/>
      </c>
      <c r="V253">
        <f>IFERROR(IF(ISNUMBER(INDEX(SPPR!$E:$X,MATCH($A253,SPPR!$A:$A,0),19)),$C253*INDEX(SPPR!$E:$X,MATCH($A253,SPPR!$A:$A,0),19),""),"")</f>
        <v/>
      </c>
      <c r="W253">
        <f>IFERROR(IF(ISNUMBER(INDEX(SPPR!$E:$X,MATCH($A253,SPPR!$A:$A,0),20)),$C253*INDEX(SPPR!$E:$X,MATCH($A253,SPPR!$A:$A,0),20),""),"")</f>
        <v/>
      </c>
    </row>
    <row r="254">
      <c r="A254" t="inlineStr">
        <is>
          <t>Gadiculus thori</t>
        </is>
      </c>
      <c r="B254">
        <f>IFERROR(INDEX(SPPR!$D:$D,MATCH($A254,SPPR!$A:$A,0)),"")</f>
        <v/>
      </c>
      <c r="C254">
        <f>IFERROR(INDEX(Catch!$E:$BV,MATCH($A254,Catch!$A:$A,0),MATCH($B$4,Catch!$E$1:$BV$1,0)),0)</f>
        <v/>
      </c>
      <c r="D254">
        <f>IFERROR(IF(ISNUMBER(INDEX(SPPR!$E:$X,MATCH($A254,SPPR!$A:$A,0),1)),$C254*INDEX(SPPR!$E:$X,MATCH($A254,SPPR!$A:$A,0),1),""),"")</f>
        <v/>
      </c>
      <c r="E254">
        <f>IFERROR(IF(ISNUMBER(INDEX(SPPR!$E:$X,MATCH($A254,SPPR!$A:$A,0),2)),$C254*INDEX(SPPR!$E:$X,MATCH($A254,SPPR!$A:$A,0),2),""),"")</f>
        <v/>
      </c>
      <c r="F254">
        <f>IFERROR(IF(ISNUMBER(INDEX(SPPR!$E:$X,MATCH($A254,SPPR!$A:$A,0),3)),$C254*INDEX(SPPR!$E:$X,MATCH($A254,SPPR!$A:$A,0),3),""),"")</f>
        <v/>
      </c>
      <c r="G254">
        <f>IFERROR(IF(ISNUMBER(INDEX(SPPR!$E:$X,MATCH($A254,SPPR!$A:$A,0),4)),$C254*INDEX(SPPR!$E:$X,MATCH($A254,SPPR!$A:$A,0),4),""),"")</f>
        <v/>
      </c>
      <c r="H254">
        <f>IFERROR(IF(ISNUMBER(INDEX(SPPR!$E:$X,MATCH($A254,SPPR!$A:$A,0),5)),$C254*INDEX(SPPR!$E:$X,MATCH($A254,SPPR!$A:$A,0),5),""),"")</f>
        <v/>
      </c>
      <c r="I254">
        <f>IFERROR(IF(ISNUMBER(INDEX(SPPR!$E:$X,MATCH($A254,SPPR!$A:$A,0),6)),$C254*INDEX(SPPR!$E:$X,MATCH($A254,SPPR!$A:$A,0),6),""),"")</f>
        <v/>
      </c>
      <c r="J254">
        <f>IFERROR(IF(ISNUMBER(INDEX(SPPR!$E:$X,MATCH($A254,SPPR!$A:$A,0),7)),$C254*INDEX(SPPR!$E:$X,MATCH($A254,SPPR!$A:$A,0),7),""),"")</f>
        <v/>
      </c>
      <c r="K254">
        <f>IFERROR(IF(ISNUMBER(INDEX(SPPR!$E:$X,MATCH($A254,SPPR!$A:$A,0),8)),$C254*INDEX(SPPR!$E:$X,MATCH($A254,SPPR!$A:$A,0),8),""),"")</f>
        <v/>
      </c>
      <c r="L254">
        <f>IFERROR(IF(ISNUMBER(INDEX(SPPR!$E:$X,MATCH($A254,SPPR!$A:$A,0),9)),$C254*INDEX(SPPR!$E:$X,MATCH($A254,SPPR!$A:$A,0),9),""),"")</f>
        <v/>
      </c>
      <c r="M254">
        <f>IFERROR(IF(ISNUMBER(INDEX(SPPR!$E:$X,MATCH($A254,SPPR!$A:$A,0),10)),$C254*INDEX(SPPR!$E:$X,MATCH($A254,SPPR!$A:$A,0),10),""),"")</f>
        <v/>
      </c>
      <c r="N254">
        <f>IFERROR(IF(ISNUMBER(INDEX(SPPR!$E:$X,MATCH($A254,SPPR!$A:$A,0),11)),$C254*INDEX(SPPR!$E:$X,MATCH($A254,SPPR!$A:$A,0),11),""),"")</f>
        <v/>
      </c>
      <c r="O254">
        <f>IFERROR(IF(ISNUMBER(INDEX(SPPR!$E:$X,MATCH($A254,SPPR!$A:$A,0),12)),$C254*INDEX(SPPR!$E:$X,MATCH($A254,SPPR!$A:$A,0),12),""),"")</f>
        <v/>
      </c>
      <c r="P254">
        <f>IFERROR(IF(ISNUMBER(INDEX(SPPR!$E:$X,MATCH($A254,SPPR!$A:$A,0),13)),$C254*INDEX(SPPR!$E:$X,MATCH($A254,SPPR!$A:$A,0),13),""),"")</f>
        <v/>
      </c>
      <c r="Q254">
        <f>IFERROR(IF(ISNUMBER(INDEX(SPPR!$E:$X,MATCH($A254,SPPR!$A:$A,0),14)),$C254*INDEX(SPPR!$E:$X,MATCH($A254,SPPR!$A:$A,0),14),""),"")</f>
        <v/>
      </c>
      <c r="R254">
        <f>IFERROR(IF(ISNUMBER(INDEX(SPPR!$E:$X,MATCH($A254,SPPR!$A:$A,0),15)),$C254*INDEX(SPPR!$E:$X,MATCH($A254,SPPR!$A:$A,0),15),""),"")</f>
        <v/>
      </c>
      <c r="S254">
        <f>IFERROR(IF(ISNUMBER(INDEX(SPPR!$E:$X,MATCH($A254,SPPR!$A:$A,0),16)),$C254*INDEX(SPPR!$E:$X,MATCH($A254,SPPR!$A:$A,0),16),""),"")</f>
        <v/>
      </c>
      <c r="T254">
        <f>IFERROR(IF(ISNUMBER(INDEX(SPPR!$E:$X,MATCH($A254,SPPR!$A:$A,0),17)),$C254*INDEX(SPPR!$E:$X,MATCH($A254,SPPR!$A:$A,0),17),""),"")</f>
        <v/>
      </c>
      <c r="U254">
        <f>IFERROR(IF(ISNUMBER(INDEX(SPPR!$E:$X,MATCH($A254,SPPR!$A:$A,0),18)),$C254*INDEX(SPPR!$E:$X,MATCH($A254,SPPR!$A:$A,0),18),""),"")</f>
        <v/>
      </c>
      <c r="V254">
        <f>IFERROR(IF(ISNUMBER(INDEX(SPPR!$E:$X,MATCH($A254,SPPR!$A:$A,0),19)),$C254*INDEX(SPPR!$E:$X,MATCH($A254,SPPR!$A:$A,0),19),""),"")</f>
        <v/>
      </c>
      <c r="W254">
        <f>IFERROR(IF(ISNUMBER(INDEX(SPPR!$E:$X,MATCH($A254,SPPR!$A:$A,0),20)),$C254*INDEX(SPPR!$E:$X,MATCH($A254,SPPR!$A:$A,0),20),""),"")</f>
        <v/>
      </c>
    </row>
    <row r="255">
      <c r="A255" t="inlineStr">
        <is>
          <t>Octopus vulgaris</t>
        </is>
      </c>
      <c r="B255">
        <f>IFERROR(INDEX(SPPR!$D:$D,MATCH($A255,SPPR!$A:$A,0)),"")</f>
        <v/>
      </c>
      <c r="C255">
        <f>IFERROR(INDEX(Catch!$E:$BV,MATCH($A255,Catch!$A:$A,0),MATCH($B$4,Catch!$E$1:$BV$1,0)),0)</f>
        <v/>
      </c>
      <c r="D255">
        <f>IFERROR(IF(ISNUMBER(INDEX(SPPR!$E:$X,MATCH($A255,SPPR!$A:$A,0),1)),$C255*INDEX(SPPR!$E:$X,MATCH($A255,SPPR!$A:$A,0),1),""),"")</f>
        <v/>
      </c>
      <c r="E255">
        <f>IFERROR(IF(ISNUMBER(INDEX(SPPR!$E:$X,MATCH($A255,SPPR!$A:$A,0),2)),$C255*INDEX(SPPR!$E:$X,MATCH($A255,SPPR!$A:$A,0),2),""),"")</f>
        <v/>
      </c>
      <c r="F255">
        <f>IFERROR(IF(ISNUMBER(INDEX(SPPR!$E:$X,MATCH($A255,SPPR!$A:$A,0),3)),$C255*INDEX(SPPR!$E:$X,MATCH($A255,SPPR!$A:$A,0),3),""),"")</f>
        <v/>
      </c>
      <c r="G255">
        <f>IFERROR(IF(ISNUMBER(INDEX(SPPR!$E:$X,MATCH($A255,SPPR!$A:$A,0),4)),$C255*INDEX(SPPR!$E:$X,MATCH($A255,SPPR!$A:$A,0),4),""),"")</f>
        <v/>
      </c>
      <c r="H255">
        <f>IFERROR(IF(ISNUMBER(INDEX(SPPR!$E:$X,MATCH($A255,SPPR!$A:$A,0),5)),$C255*INDEX(SPPR!$E:$X,MATCH($A255,SPPR!$A:$A,0),5),""),"")</f>
        <v/>
      </c>
      <c r="I255">
        <f>IFERROR(IF(ISNUMBER(INDEX(SPPR!$E:$X,MATCH($A255,SPPR!$A:$A,0),6)),$C255*INDEX(SPPR!$E:$X,MATCH($A255,SPPR!$A:$A,0),6),""),"")</f>
        <v/>
      </c>
      <c r="J255">
        <f>IFERROR(IF(ISNUMBER(INDEX(SPPR!$E:$X,MATCH($A255,SPPR!$A:$A,0),7)),$C255*INDEX(SPPR!$E:$X,MATCH($A255,SPPR!$A:$A,0),7),""),"")</f>
        <v/>
      </c>
      <c r="K255">
        <f>IFERROR(IF(ISNUMBER(INDEX(SPPR!$E:$X,MATCH($A255,SPPR!$A:$A,0),8)),$C255*INDEX(SPPR!$E:$X,MATCH($A255,SPPR!$A:$A,0),8),""),"")</f>
        <v/>
      </c>
      <c r="L255">
        <f>IFERROR(IF(ISNUMBER(INDEX(SPPR!$E:$X,MATCH($A255,SPPR!$A:$A,0),9)),$C255*INDEX(SPPR!$E:$X,MATCH($A255,SPPR!$A:$A,0),9),""),"")</f>
        <v/>
      </c>
      <c r="M255">
        <f>IFERROR(IF(ISNUMBER(INDEX(SPPR!$E:$X,MATCH($A255,SPPR!$A:$A,0),10)),$C255*INDEX(SPPR!$E:$X,MATCH($A255,SPPR!$A:$A,0),10),""),"")</f>
        <v/>
      </c>
      <c r="N255">
        <f>IFERROR(IF(ISNUMBER(INDEX(SPPR!$E:$X,MATCH($A255,SPPR!$A:$A,0),11)),$C255*INDEX(SPPR!$E:$X,MATCH($A255,SPPR!$A:$A,0),11),""),"")</f>
        <v/>
      </c>
      <c r="O255">
        <f>IFERROR(IF(ISNUMBER(INDEX(SPPR!$E:$X,MATCH($A255,SPPR!$A:$A,0),12)),$C255*INDEX(SPPR!$E:$X,MATCH($A255,SPPR!$A:$A,0),12),""),"")</f>
        <v/>
      </c>
      <c r="P255">
        <f>IFERROR(IF(ISNUMBER(INDEX(SPPR!$E:$X,MATCH($A255,SPPR!$A:$A,0),13)),$C255*INDEX(SPPR!$E:$X,MATCH($A255,SPPR!$A:$A,0),13),""),"")</f>
        <v/>
      </c>
      <c r="Q255">
        <f>IFERROR(IF(ISNUMBER(INDEX(SPPR!$E:$X,MATCH($A255,SPPR!$A:$A,0),14)),$C255*INDEX(SPPR!$E:$X,MATCH($A255,SPPR!$A:$A,0),14),""),"")</f>
        <v/>
      </c>
      <c r="R255">
        <f>IFERROR(IF(ISNUMBER(INDEX(SPPR!$E:$X,MATCH($A255,SPPR!$A:$A,0),15)),$C255*INDEX(SPPR!$E:$X,MATCH($A255,SPPR!$A:$A,0),15),""),"")</f>
        <v/>
      </c>
      <c r="S255">
        <f>IFERROR(IF(ISNUMBER(INDEX(SPPR!$E:$X,MATCH($A255,SPPR!$A:$A,0),16)),$C255*INDEX(SPPR!$E:$X,MATCH($A255,SPPR!$A:$A,0),16),""),"")</f>
        <v/>
      </c>
      <c r="T255">
        <f>IFERROR(IF(ISNUMBER(INDEX(SPPR!$E:$X,MATCH($A255,SPPR!$A:$A,0),17)),$C255*INDEX(SPPR!$E:$X,MATCH($A255,SPPR!$A:$A,0),17),""),"")</f>
        <v/>
      </c>
      <c r="U255">
        <f>IFERROR(IF(ISNUMBER(INDEX(SPPR!$E:$X,MATCH($A255,SPPR!$A:$A,0),18)),$C255*INDEX(SPPR!$E:$X,MATCH($A255,SPPR!$A:$A,0),18),""),"")</f>
        <v/>
      </c>
      <c r="V255">
        <f>IFERROR(IF(ISNUMBER(INDEX(SPPR!$E:$X,MATCH($A255,SPPR!$A:$A,0),19)),$C255*INDEX(SPPR!$E:$X,MATCH($A255,SPPR!$A:$A,0),19),""),"")</f>
        <v/>
      </c>
      <c r="W255">
        <f>IFERROR(IF(ISNUMBER(INDEX(SPPR!$E:$X,MATCH($A255,SPPR!$A:$A,0),20)),$C255*INDEX(SPPR!$E:$X,MATCH($A255,SPPR!$A:$A,0),20),""),"")</f>
        <v/>
      </c>
    </row>
    <row r="256">
      <c r="A256" t="inlineStr">
        <is>
          <t>Isurus oxyrinchus</t>
        </is>
      </c>
      <c r="B256">
        <f>IFERROR(INDEX(SPPR!$D:$D,MATCH($A256,SPPR!$A:$A,0)),"")</f>
        <v/>
      </c>
      <c r="C256">
        <f>IFERROR(INDEX(Catch!$E:$BV,MATCH($A256,Catch!$A:$A,0),MATCH($B$4,Catch!$E$1:$BV$1,0)),0)</f>
        <v/>
      </c>
      <c r="D256">
        <f>IFERROR(IF(ISNUMBER(INDEX(SPPR!$E:$X,MATCH($A256,SPPR!$A:$A,0),1)),$C256*INDEX(SPPR!$E:$X,MATCH($A256,SPPR!$A:$A,0),1),""),"")</f>
        <v/>
      </c>
      <c r="E256">
        <f>IFERROR(IF(ISNUMBER(INDEX(SPPR!$E:$X,MATCH($A256,SPPR!$A:$A,0),2)),$C256*INDEX(SPPR!$E:$X,MATCH($A256,SPPR!$A:$A,0),2),""),"")</f>
        <v/>
      </c>
      <c r="F256">
        <f>IFERROR(IF(ISNUMBER(INDEX(SPPR!$E:$X,MATCH($A256,SPPR!$A:$A,0),3)),$C256*INDEX(SPPR!$E:$X,MATCH($A256,SPPR!$A:$A,0),3),""),"")</f>
        <v/>
      </c>
      <c r="G256">
        <f>IFERROR(IF(ISNUMBER(INDEX(SPPR!$E:$X,MATCH($A256,SPPR!$A:$A,0),4)),$C256*INDEX(SPPR!$E:$X,MATCH($A256,SPPR!$A:$A,0),4),""),"")</f>
        <v/>
      </c>
      <c r="H256">
        <f>IFERROR(IF(ISNUMBER(INDEX(SPPR!$E:$X,MATCH($A256,SPPR!$A:$A,0),5)),$C256*INDEX(SPPR!$E:$X,MATCH($A256,SPPR!$A:$A,0),5),""),"")</f>
        <v/>
      </c>
      <c r="I256">
        <f>IFERROR(IF(ISNUMBER(INDEX(SPPR!$E:$X,MATCH($A256,SPPR!$A:$A,0),6)),$C256*INDEX(SPPR!$E:$X,MATCH($A256,SPPR!$A:$A,0),6),""),"")</f>
        <v/>
      </c>
      <c r="J256">
        <f>IFERROR(IF(ISNUMBER(INDEX(SPPR!$E:$X,MATCH($A256,SPPR!$A:$A,0),7)),$C256*INDEX(SPPR!$E:$X,MATCH($A256,SPPR!$A:$A,0),7),""),"")</f>
        <v/>
      </c>
      <c r="K256">
        <f>IFERROR(IF(ISNUMBER(INDEX(SPPR!$E:$X,MATCH($A256,SPPR!$A:$A,0),8)),$C256*INDEX(SPPR!$E:$X,MATCH($A256,SPPR!$A:$A,0),8),""),"")</f>
        <v/>
      </c>
      <c r="L256">
        <f>IFERROR(IF(ISNUMBER(INDEX(SPPR!$E:$X,MATCH($A256,SPPR!$A:$A,0),9)),$C256*INDEX(SPPR!$E:$X,MATCH($A256,SPPR!$A:$A,0),9),""),"")</f>
        <v/>
      </c>
      <c r="M256">
        <f>IFERROR(IF(ISNUMBER(INDEX(SPPR!$E:$X,MATCH($A256,SPPR!$A:$A,0),10)),$C256*INDEX(SPPR!$E:$X,MATCH($A256,SPPR!$A:$A,0),10),""),"")</f>
        <v/>
      </c>
      <c r="N256">
        <f>IFERROR(IF(ISNUMBER(INDEX(SPPR!$E:$X,MATCH($A256,SPPR!$A:$A,0),11)),$C256*INDEX(SPPR!$E:$X,MATCH($A256,SPPR!$A:$A,0),11),""),"")</f>
        <v/>
      </c>
      <c r="O256">
        <f>IFERROR(IF(ISNUMBER(INDEX(SPPR!$E:$X,MATCH($A256,SPPR!$A:$A,0),12)),$C256*INDEX(SPPR!$E:$X,MATCH($A256,SPPR!$A:$A,0),12),""),"")</f>
        <v/>
      </c>
      <c r="P256">
        <f>IFERROR(IF(ISNUMBER(INDEX(SPPR!$E:$X,MATCH($A256,SPPR!$A:$A,0),13)),$C256*INDEX(SPPR!$E:$X,MATCH($A256,SPPR!$A:$A,0),13),""),"")</f>
        <v/>
      </c>
      <c r="Q256">
        <f>IFERROR(IF(ISNUMBER(INDEX(SPPR!$E:$X,MATCH($A256,SPPR!$A:$A,0),14)),$C256*INDEX(SPPR!$E:$X,MATCH($A256,SPPR!$A:$A,0),14),""),"")</f>
        <v/>
      </c>
      <c r="R256">
        <f>IFERROR(IF(ISNUMBER(INDEX(SPPR!$E:$X,MATCH($A256,SPPR!$A:$A,0),15)),$C256*INDEX(SPPR!$E:$X,MATCH($A256,SPPR!$A:$A,0),15),""),"")</f>
        <v/>
      </c>
      <c r="S256">
        <f>IFERROR(IF(ISNUMBER(INDEX(SPPR!$E:$X,MATCH($A256,SPPR!$A:$A,0),16)),$C256*INDEX(SPPR!$E:$X,MATCH($A256,SPPR!$A:$A,0),16),""),"")</f>
        <v/>
      </c>
      <c r="T256">
        <f>IFERROR(IF(ISNUMBER(INDEX(SPPR!$E:$X,MATCH($A256,SPPR!$A:$A,0),17)),$C256*INDEX(SPPR!$E:$X,MATCH($A256,SPPR!$A:$A,0),17),""),"")</f>
        <v/>
      </c>
      <c r="U256">
        <f>IFERROR(IF(ISNUMBER(INDEX(SPPR!$E:$X,MATCH($A256,SPPR!$A:$A,0),18)),$C256*INDEX(SPPR!$E:$X,MATCH($A256,SPPR!$A:$A,0),18),""),"")</f>
        <v/>
      </c>
      <c r="V256">
        <f>IFERROR(IF(ISNUMBER(INDEX(SPPR!$E:$X,MATCH($A256,SPPR!$A:$A,0),19)),$C256*INDEX(SPPR!$E:$X,MATCH($A256,SPPR!$A:$A,0),19),""),"")</f>
        <v/>
      </c>
      <c r="W256">
        <f>IFERROR(IF(ISNUMBER(INDEX(SPPR!$E:$X,MATCH($A256,SPPR!$A:$A,0),20)),$C256*INDEX(SPPR!$E:$X,MATCH($A256,SPPR!$A:$A,0),20),""),"")</f>
        <v/>
      </c>
    </row>
    <row r="257">
      <c r="A257" t="inlineStr">
        <is>
          <t>Ctenolabrus rupestris</t>
        </is>
      </c>
      <c r="B257">
        <f>IFERROR(INDEX(SPPR!$D:$D,MATCH($A257,SPPR!$A:$A,0)),"")</f>
        <v/>
      </c>
      <c r="C257">
        <f>IFERROR(INDEX(Catch!$E:$BV,MATCH($A257,Catch!$A:$A,0),MATCH($B$4,Catch!$E$1:$BV$1,0)),0)</f>
        <v/>
      </c>
      <c r="D257">
        <f>IFERROR(IF(ISNUMBER(INDEX(SPPR!$E:$X,MATCH($A257,SPPR!$A:$A,0),1)),$C257*INDEX(SPPR!$E:$X,MATCH($A257,SPPR!$A:$A,0),1),""),"")</f>
        <v/>
      </c>
      <c r="E257">
        <f>IFERROR(IF(ISNUMBER(INDEX(SPPR!$E:$X,MATCH($A257,SPPR!$A:$A,0),2)),$C257*INDEX(SPPR!$E:$X,MATCH($A257,SPPR!$A:$A,0),2),""),"")</f>
        <v/>
      </c>
      <c r="F257">
        <f>IFERROR(IF(ISNUMBER(INDEX(SPPR!$E:$X,MATCH($A257,SPPR!$A:$A,0),3)),$C257*INDEX(SPPR!$E:$X,MATCH($A257,SPPR!$A:$A,0),3),""),"")</f>
        <v/>
      </c>
      <c r="G257">
        <f>IFERROR(IF(ISNUMBER(INDEX(SPPR!$E:$X,MATCH($A257,SPPR!$A:$A,0),4)),$C257*INDEX(SPPR!$E:$X,MATCH($A257,SPPR!$A:$A,0),4),""),"")</f>
        <v/>
      </c>
      <c r="H257">
        <f>IFERROR(IF(ISNUMBER(INDEX(SPPR!$E:$X,MATCH($A257,SPPR!$A:$A,0),5)),$C257*INDEX(SPPR!$E:$X,MATCH($A257,SPPR!$A:$A,0),5),""),"")</f>
        <v/>
      </c>
      <c r="I257">
        <f>IFERROR(IF(ISNUMBER(INDEX(SPPR!$E:$X,MATCH($A257,SPPR!$A:$A,0),6)),$C257*INDEX(SPPR!$E:$X,MATCH($A257,SPPR!$A:$A,0),6),""),"")</f>
        <v/>
      </c>
      <c r="J257">
        <f>IFERROR(IF(ISNUMBER(INDEX(SPPR!$E:$X,MATCH($A257,SPPR!$A:$A,0),7)),$C257*INDEX(SPPR!$E:$X,MATCH($A257,SPPR!$A:$A,0),7),""),"")</f>
        <v/>
      </c>
      <c r="K257">
        <f>IFERROR(IF(ISNUMBER(INDEX(SPPR!$E:$X,MATCH($A257,SPPR!$A:$A,0),8)),$C257*INDEX(SPPR!$E:$X,MATCH($A257,SPPR!$A:$A,0),8),""),"")</f>
        <v/>
      </c>
      <c r="L257">
        <f>IFERROR(IF(ISNUMBER(INDEX(SPPR!$E:$X,MATCH($A257,SPPR!$A:$A,0),9)),$C257*INDEX(SPPR!$E:$X,MATCH($A257,SPPR!$A:$A,0),9),""),"")</f>
        <v/>
      </c>
      <c r="M257">
        <f>IFERROR(IF(ISNUMBER(INDEX(SPPR!$E:$X,MATCH($A257,SPPR!$A:$A,0),10)),$C257*INDEX(SPPR!$E:$X,MATCH($A257,SPPR!$A:$A,0),10),""),"")</f>
        <v/>
      </c>
      <c r="N257">
        <f>IFERROR(IF(ISNUMBER(INDEX(SPPR!$E:$X,MATCH($A257,SPPR!$A:$A,0),11)),$C257*INDEX(SPPR!$E:$X,MATCH($A257,SPPR!$A:$A,0),11),""),"")</f>
        <v/>
      </c>
      <c r="O257">
        <f>IFERROR(IF(ISNUMBER(INDEX(SPPR!$E:$X,MATCH($A257,SPPR!$A:$A,0),12)),$C257*INDEX(SPPR!$E:$X,MATCH($A257,SPPR!$A:$A,0),12),""),"")</f>
        <v/>
      </c>
      <c r="P257">
        <f>IFERROR(IF(ISNUMBER(INDEX(SPPR!$E:$X,MATCH($A257,SPPR!$A:$A,0),13)),$C257*INDEX(SPPR!$E:$X,MATCH($A257,SPPR!$A:$A,0),13),""),"")</f>
        <v/>
      </c>
      <c r="Q257">
        <f>IFERROR(IF(ISNUMBER(INDEX(SPPR!$E:$X,MATCH($A257,SPPR!$A:$A,0),14)),$C257*INDEX(SPPR!$E:$X,MATCH($A257,SPPR!$A:$A,0),14),""),"")</f>
        <v/>
      </c>
      <c r="R257">
        <f>IFERROR(IF(ISNUMBER(INDEX(SPPR!$E:$X,MATCH($A257,SPPR!$A:$A,0),15)),$C257*INDEX(SPPR!$E:$X,MATCH($A257,SPPR!$A:$A,0),15),""),"")</f>
        <v/>
      </c>
      <c r="S257">
        <f>IFERROR(IF(ISNUMBER(INDEX(SPPR!$E:$X,MATCH($A257,SPPR!$A:$A,0),16)),$C257*INDEX(SPPR!$E:$X,MATCH($A257,SPPR!$A:$A,0),16),""),"")</f>
        <v/>
      </c>
      <c r="T257">
        <f>IFERROR(IF(ISNUMBER(INDEX(SPPR!$E:$X,MATCH($A257,SPPR!$A:$A,0),17)),$C257*INDEX(SPPR!$E:$X,MATCH($A257,SPPR!$A:$A,0),17),""),"")</f>
        <v/>
      </c>
      <c r="U257">
        <f>IFERROR(IF(ISNUMBER(INDEX(SPPR!$E:$X,MATCH($A257,SPPR!$A:$A,0),18)),$C257*INDEX(SPPR!$E:$X,MATCH($A257,SPPR!$A:$A,0),18),""),"")</f>
        <v/>
      </c>
      <c r="V257">
        <f>IFERROR(IF(ISNUMBER(INDEX(SPPR!$E:$X,MATCH($A257,SPPR!$A:$A,0),19)),$C257*INDEX(SPPR!$E:$X,MATCH($A257,SPPR!$A:$A,0),19),""),"")</f>
        <v/>
      </c>
      <c r="W257">
        <f>IFERROR(IF(ISNUMBER(INDEX(SPPR!$E:$X,MATCH($A257,SPPR!$A:$A,0),20)),$C257*INDEX(SPPR!$E:$X,MATCH($A257,SPPR!$A:$A,0),20),""),"")</f>
        <v/>
      </c>
    </row>
    <row r="258">
      <c r="A258" t="inlineStr">
        <is>
          <t>Atherinidae</t>
        </is>
      </c>
      <c r="B258">
        <f>IFERROR(INDEX(SPPR!$D:$D,MATCH($A258,SPPR!$A:$A,0)),"")</f>
        <v/>
      </c>
      <c r="C258">
        <f>IFERROR(INDEX(Catch!$E:$BV,MATCH($A258,Catch!$A:$A,0),MATCH($B$4,Catch!$E$1:$BV$1,0)),0)</f>
        <v/>
      </c>
      <c r="D258">
        <f>IFERROR(IF(ISNUMBER(INDEX(SPPR!$E:$X,MATCH($A258,SPPR!$A:$A,0),1)),$C258*INDEX(SPPR!$E:$X,MATCH($A258,SPPR!$A:$A,0),1),""),"")</f>
        <v/>
      </c>
      <c r="E258">
        <f>IFERROR(IF(ISNUMBER(INDEX(SPPR!$E:$X,MATCH($A258,SPPR!$A:$A,0),2)),$C258*INDEX(SPPR!$E:$X,MATCH($A258,SPPR!$A:$A,0),2),""),"")</f>
        <v/>
      </c>
      <c r="F258">
        <f>IFERROR(IF(ISNUMBER(INDEX(SPPR!$E:$X,MATCH($A258,SPPR!$A:$A,0),3)),$C258*INDEX(SPPR!$E:$X,MATCH($A258,SPPR!$A:$A,0),3),""),"")</f>
        <v/>
      </c>
      <c r="G258">
        <f>IFERROR(IF(ISNUMBER(INDEX(SPPR!$E:$X,MATCH($A258,SPPR!$A:$A,0),4)),$C258*INDEX(SPPR!$E:$X,MATCH($A258,SPPR!$A:$A,0),4),""),"")</f>
        <v/>
      </c>
      <c r="H258">
        <f>IFERROR(IF(ISNUMBER(INDEX(SPPR!$E:$X,MATCH($A258,SPPR!$A:$A,0),5)),$C258*INDEX(SPPR!$E:$X,MATCH($A258,SPPR!$A:$A,0),5),""),"")</f>
        <v/>
      </c>
      <c r="I258">
        <f>IFERROR(IF(ISNUMBER(INDEX(SPPR!$E:$X,MATCH($A258,SPPR!$A:$A,0),6)),$C258*INDEX(SPPR!$E:$X,MATCH($A258,SPPR!$A:$A,0),6),""),"")</f>
        <v/>
      </c>
      <c r="J258">
        <f>IFERROR(IF(ISNUMBER(INDEX(SPPR!$E:$X,MATCH($A258,SPPR!$A:$A,0),7)),$C258*INDEX(SPPR!$E:$X,MATCH($A258,SPPR!$A:$A,0),7),""),"")</f>
        <v/>
      </c>
      <c r="K258">
        <f>IFERROR(IF(ISNUMBER(INDEX(SPPR!$E:$X,MATCH($A258,SPPR!$A:$A,0),8)),$C258*INDEX(SPPR!$E:$X,MATCH($A258,SPPR!$A:$A,0),8),""),"")</f>
        <v/>
      </c>
      <c r="L258">
        <f>IFERROR(IF(ISNUMBER(INDEX(SPPR!$E:$X,MATCH($A258,SPPR!$A:$A,0),9)),$C258*INDEX(SPPR!$E:$X,MATCH($A258,SPPR!$A:$A,0),9),""),"")</f>
        <v/>
      </c>
      <c r="M258">
        <f>IFERROR(IF(ISNUMBER(INDEX(SPPR!$E:$X,MATCH($A258,SPPR!$A:$A,0),10)),$C258*INDEX(SPPR!$E:$X,MATCH($A258,SPPR!$A:$A,0),10),""),"")</f>
        <v/>
      </c>
      <c r="N258">
        <f>IFERROR(IF(ISNUMBER(INDEX(SPPR!$E:$X,MATCH($A258,SPPR!$A:$A,0),11)),$C258*INDEX(SPPR!$E:$X,MATCH($A258,SPPR!$A:$A,0),11),""),"")</f>
        <v/>
      </c>
      <c r="O258">
        <f>IFERROR(IF(ISNUMBER(INDEX(SPPR!$E:$X,MATCH($A258,SPPR!$A:$A,0),12)),$C258*INDEX(SPPR!$E:$X,MATCH($A258,SPPR!$A:$A,0),12),""),"")</f>
        <v/>
      </c>
      <c r="P258">
        <f>IFERROR(IF(ISNUMBER(INDEX(SPPR!$E:$X,MATCH($A258,SPPR!$A:$A,0),13)),$C258*INDEX(SPPR!$E:$X,MATCH($A258,SPPR!$A:$A,0),13),""),"")</f>
        <v/>
      </c>
      <c r="Q258">
        <f>IFERROR(IF(ISNUMBER(INDEX(SPPR!$E:$X,MATCH($A258,SPPR!$A:$A,0),14)),$C258*INDEX(SPPR!$E:$X,MATCH($A258,SPPR!$A:$A,0),14),""),"")</f>
        <v/>
      </c>
      <c r="R258">
        <f>IFERROR(IF(ISNUMBER(INDEX(SPPR!$E:$X,MATCH($A258,SPPR!$A:$A,0),15)),$C258*INDEX(SPPR!$E:$X,MATCH($A258,SPPR!$A:$A,0),15),""),"")</f>
        <v/>
      </c>
      <c r="S258">
        <f>IFERROR(IF(ISNUMBER(INDEX(SPPR!$E:$X,MATCH($A258,SPPR!$A:$A,0),16)),$C258*INDEX(SPPR!$E:$X,MATCH($A258,SPPR!$A:$A,0),16),""),"")</f>
        <v/>
      </c>
      <c r="T258">
        <f>IFERROR(IF(ISNUMBER(INDEX(SPPR!$E:$X,MATCH($A258,SPPR!$A:$A,0),17)),$C258*INDEX(SPPR!$E:$X,MATCH($A258,SPPR!$A:$A,0),17),""),"")</f>
        <v/>
      </c>
      <c r="U258">
        <f>IFERROR(IF(ISNUMBER(INDEX(SPPR!$E:$X,MATCH($A258,SPPR!$A:$A,0),18)),$C258*INDEX(SPPR!$E:$X,MATCH($A258,SPPR!$A:$A,0),18),""),"")</f>
        <v/>
      </c>
      <c r="V258">
        <f>IFERROR(IF(ISNUMBER(INDEX(SPPR!$E:$X,MATCH($A258,SPPR!$A:$A,0),19)),$C258*INDEX(SPPR!$E:$X,MATCH($A258,SPPR!$A:$A,0),19),""),"")</f>
        <v/>
      </c>
      <c r="W258">
        <f>IFERROR(IF(ISNUMBER(INDEX(SPPR!$E:$X,MATCH($A258,SPPR!$A:$A,0),20)),$C258*INDEX(SPPR!$E:$X,MATCH($A258,SPPR!$A:$A,0),20),""),"")</f>
        <v/>
      </c>
    </row>
    <row r="259">
      <c r="A259" t="inlineStr">
        <is>
          <t>Microchirus</t>
        </is>
      </c>
      <c r="B259">
        <f>IFERROR(INDEX(SPPR!$D:$D,MATCH($A259,SPPR!$A:$A,0)),"")</f>
        <v/>
      </c>
      <c r="C259">
        <f>IFERROR(INDEX(Catch!$E:$BV,MATCH($A259,Catch!$A:$A,0),MATCH($B$4,Catch!$E$1:$BV$1,0)),0)</f>
        <v/>
      </c>
      <c r="D259">
        <f>IFERROR(IF(ISNUMBER(INDEX(SPPR!$E:$X,MATCH($A259,SPPR!$A:$A,0),1)),$C259*INDEX(SPPR!$E:$X,MATCH($A259,SPPR!$A:$A,0),1),""),"")</f>
        <v/>
      </c>
      <c r="E259">
        <f>IFERROR(IF(ISNUMBER(INDEX(SPPR!$E:$X,MATCH($A259,SPPR!$A:$A,0),2)),$C259*INDEX(SPPR!$E:$X,MATCH($A259,SPPR!$A:$A,0),2),""),"")</f>
        <v/>
      </c>
      <c r="F259">
        <f>IFERROR(IF(ISNUMBER(INDEX(SPPR!$E:$X,MATCH($A259,SPPR!$A:$A,0),3)),$C259*INDEX(SPPR!$E:$X,MATCH($A259,SPPR!$A:$A,0),3),""),"")</f>
        <v/>
      </c>
      <c r="G259">
        <f>IFERROR(IF(ISNUMBER(INDEX(SPPR!$E:$X,MATCH($A259,SPPR!$A:$A,0),4)),$C259*INDEX(SPPR!$E:$X,MATCH($A259,SPPR!$A:$A,0),4),""),"")</f>
        <v/>
      </c>
      <c r="H259">
        <f>IFERROR(IF(ISNUMBER(INDEX(SPPR!$E:$X,MATCH($A259,SPPR!$A:$A,0),5)),$C259*INDEX(SPPR!$E:$X,MATCH($A259,SPPR!$A:$A,0),5),""),"")</f>
        <v/>
      </c>
      <c r="I259">
        <f>IFERROR(IF(ISNUMBER(INDEX(SPPR!$E:$X,MATCH($A259,SPPR!$A:$A,0),6)),$C259*INDEX(SPPR!$E:$X,MATCH($A259,SPPR!$A:$A,0),6),""),"")</f>
        <v/>
      </c>
      <c r="J259">
        <f>IFERROR(IF(ISNUMBER(INDEX(SPPR!$E:$X,MATCH($A259,SPPR!$A:$A,0),7)),$C259*INDEX(SPPR!$E:$X,MATCH($A259,SPPR!$A:$A,0),7),""),"")</f>
        <v/>
      </c>
      <c r="K259">
        <f>IFERROR(IF(ISNUMBER(INDEX(SPPR!$E:$X,MATCH($A259,SPPR!$A:$A,0),8)),$C259*INDEX(SPPR!$E:$X,MATCH($A259,SPPR!$A:$A,0),8),""),"")</f>
        <v/>
      </c>
      <c r="L259">
        <f>IFERROR(IF(ISNUMBER(INDEX(SPPR!$E:$X,MATCH($A259,SPPR!$A:$A,0),9)),$C259*INDEX(SPPR!$E:$X,MATCH($A259,SPPR!$A:$A,0),9),""),"")</f>
        <v/>
      </c>
      <c r="M259">
        <f>IFERROR(IF(ISNUMBER(INDEX(SPPR!$E:$X,MATCH($A259,SPPR!$A:$A,0),10)),$C259*INDEX(SPPR!$E:$X,MATCH($A259,SPPR!$A:$A,0),10),""),"")</f>
        <v/>
      </c>
      <c r="N259">
        <f>IFERROR(IF(ISNUMBER(INDEX(SPPR!$E:$X,MATCH($A259,SPPR!$A:$A,0),11)),$C259*INDEX(SPPR!$E:$X,MATCH($A259,SPPR!$A:$A,0),11),""),"")</f>
        <v/>
      </c>
      <c r="O259">
        <f>IFERROR(IF(ISNUMBER(INDEX(SPPR!$E:$X,MATCH($A259,SPPR!$A:$A,0),12)),$C259*INDEX(SPPR!$E:$X,MATCH($A259,SPPR!$A:$A,0),12),""),"")</f>
        <v/>
      </c>
      <c r="P259">
        <f>IFERROR(IF(ISNUMBER(INDEX(SPPR!$E:$X,MATCH($A259,SPPR!$A:$A,0),13)),$C259*INDEX(SPPR!$E:$X,MATCH($A259,SPPR!$A:$A,0),13),""),"")</f>
        <v/>
      </c>
      <c r="Q259">
        <f>IFERROR(IF(ISNUMBER(INDEX(SPPR!$E:$X,MATCH($A259,SPPR!$A:$A,0),14)),$C259*INDEX(SPPR!$E:$X,MATCH($A259,SPPR!$A:$A,0),14),""),"")</f>
        <v/>
      </c>
      <c r="R259">
        <f>IFERROR(IF(ISNUMBER(INDEX(SPPR!$E:$X,MATCH($A259,SPPR!$A:$A,0),15)),$C259*INDEX(SPPR!$E:$X,MATCH($A259,SPPR!$A:$A,0),15),""),"")</f>
        <v/>
      </c>
      <c r="S259">
        <f>IFERROR(IF(ISNUMBER(INDEX(SPPR!$E:$X,MATCH($A259,SPPR!$A:$A,0),16)),$C259*INDEX(SPPR!$E:$X,MATCH($A259,SPPR!$A:$A,0),16),""),"")</f>
        <v/>
      </c>
      <c r="T259">
        <f>IFERROR(IF(ISNUMBER(INDEX(SPPR!$E:$X,MATCH($A259,SPPR!$A:$A,0),17)),$C259*INDEX(SPPR!$E:$X,MATCH($A259,SPPR!$A:$A,0),17),""),"")</f>
        <v/>
      </c>
      <c r="U259">
        <f>IFERROR(IF(ISNUMBER(INDEX(SPPR!$E:$X,MATCH($A259,SPPR!$A:$A,0),18)),$C259*INDEX(SPPR!$E:$X,MATCH($A259,SPPR!$A:$A,0),18),""),"")</f>
        <v/>
      </c>
      <c r="V259">
        <f>IFERROR(IF(ISNUMBER(INDEX(SPPR!$E:$X,MATCH($A259,SPPR!$A:$A,0),19)),$C259*INDEX(SPPR!$E:$X,MATCH($A259,SPPR!$A:$A,0),19),""),"")</f>
        <v/>
      </c>
      <c r="W259">
        <f>IFERROR(IF(ISNUMBER(INDEX(SPPR!$E:$X,MATCH($A259,SPPR!$A:$A,0),20)),$C259*INDEX(SPPR!$E:$X,MATCH($A259,SPPR!$A:$A,0),20),""),"")</f>
        <v/>
      </c>
    </row>
    <row r="260">
      <c r="A260" t="inlineStr">
        <is>
          <t>Trachipterus</t>
        </is>
      </c>
      <c r="B260">
        <f>IFERROR(INDEX(SPPR!$D:$D,MATCH($A260,SPPR!$A:$A,0)),"")</f>
        <v/>
      </c>
      <c r="C260">
        <f>IFERROR(INDEX(Catch!$E:$BV,MATCH($A260,Catch!$A:$A,0),MATCH($B$4,Catch!$E$1:$BV$1,0)),0)</f>
        <v/>
      </c>
      <c r="D260">
        <f>IFERROR(IF(ISNUMBER(INDEX(SPPR!$E:$X,MATCH($A260,SPPR!$A:$A,0),1)),$C260*INDEX(SPPR!$E:$X,MATCH($A260,SPPR!$A:$A,0),1),""),"")</f>
        <v/>
      </c>
      <c r="E260">
        <f>IFERROR(IF(ISNUMBER(INDEX(SPPR!$E:$X,MATCH($A260,SPPR!$A:$A,0),2)),$C260*INDEX(SPPR!$E:$X,MATCH($A260,SPPR!$A:$A,0),2),""),"")</f>
        <v/>
      </c>
      <c r="F260">
        <f>IFERROR(IF(ISNUMBER(INDEX(SPPR!$E:$X,MATCH($A260,SPPR!$A:$A,0),3)),$C260*INDEX(SPPR!$E:$X,MATCH($A260,SPPR!$A:$A,0),3),""),"")</f>
        <v/>
      </c>
      <c r="G260">
        <f>IFERROR(IF(ISNUMBER(INDEX(SPPR!$E:$X,MATCH($A260,SPPR!$A:$A,0),4)),$C260*INDEX(SPPR!$E:$X,MATCH($A260,SPPR!$A:$A,0),4),""),"")</f>
        <v/>
      </c>
      <c r="H260">
        <f>IFERROR(IF(ISNUMBER(INDEX(SPPR!$E:$X,MATCH($A260,SPPR!$A:$A,0),5)),$C260*INDEX(SPPR!$E:$X,MATCH($A260,SPPR!$A:$A,0),5),""),"")</f>
        <v/>
      </c>
      <c r="I260">
        <f>IFERROR(IF(ISNUMBER(INDEX(SPPR!$E:$X,MATCH($A260,SPPR!$A:$A,0),6)),$C260*INDEX(SPPR!$E:$X,MATCH($A260,SPPR!$A:$A,0),6),""),"")</f>
        <v/>
      </c>
      <c r="J260">
        <f>IFERROR(IF(ISNUMBER(INDEX(SPPR!$E:$X,MATCH($A260,SPPR!$A:$A,0),7)),$C260*INDEX(SPPR!$E:$X,MATCH($A260,SPPR!$A:$A,0),7),""),"")</f>
        <v/>
      </c>
      <c r="K260">
        <f>IFERROR(IF(ISNUMBER(INDEX(SPPR!$E:$X,MATCH($A260,SPPR!$A:$A,0),8)),$C260*INDEX(SPPR!$E:$X,MATCH($A260,SPPR!$A:$A,0),8),""),"")</f>
        <v/>
      </c>
      <c r="L260">
        <f>IFERROR(IF(ISNUMBER(INDEX(SPPR!$E:$X,MATCH($A260,SPPR!$A:$A,0),9)),$C260*INDEX(SPPR!$E:$X,MATCH($A260,SPPR!$A:$A,0),9),""),"")</f>
        <v/>
      </c>
      <c r="M260">
        <f>IFERROR(IF(ISNUMBER(INDEX(SPPR!$E:$X,MATCH($A260,SPPR!$A:$A,0),10)),$C260*INDEX(SPPR!$E:$X,MATCH($A260,SPPR!$A:$A,0),10),""),"")</f>
        <v/>
      </c>
      <c r="N260">
        <f>IFERROR(IF(ISNUMBER(INDEX(SPPR!$E:$X,MATCH($A260,SPPR!$A:$A,0),11)),$C260*INDEX(SPPR!$E:$X,MATCH($A260,SPPR!$A:$A,0),11),""),"")</f>
        <v/>
      </c>
      <c r="O260">
        <f>IFERROR(IF(ISNUMBER(INDEX(SPPR!$E:$X,MATCH($A260,SPPR!$A:$A,0),12)),$C260*INDEX(SPPR!$E:$X,MATCH($A260,SPPR!$A:$A,0),12),""),"")</f>
        <v/>
      </c>
      <c r="P260">
        <f>IFERROR(IF(ISNUMBER(INDEX(SPPR!$E:$X,MATCH($A260,SPPR!$A:$A,0),13)),$C260*INDEX(SPPR!$E:$X,MATCH($A260,SPPR!$A:$A,0),13),""),"")</f>
        <v/>
      </c>
      <c r="Q260">
        <f>IFERROR(IF(ISNUMBER(INDEX(SPPR!$E:$X,MATCH($A260,SPPR!$A:$A,0),14)),$C260*INDEX(SPPR!$E:$X,MATCH($A260,SPPR!$A:$A,0),14),""),"")</f>
        <v/>
      </c>
      <c r="R260">
        <f>IFERROR(IF(ISNUMBER(INDEX(SPPR!$E:$X,MATCH($A260,SPPR!$A:$A,0),15)),$C260*INDEX(SPPR!$E:$X,MATCH($A260,SPPR!$A:$A,0),15),""),"")</f>
        <v/>
      </c>
      <c r="S260">
        <f>IFERROR(IF(ISNUMBER(INDEX(SPPR!$E:$X,MATCH($A260,SPPR!$A:$A,0),16)),$C260*INDEX(SPPR!$E:$X,MATCH($A260,SPPR!$A:$A,0),16),""),"")</f>
        <v/>
      </c>
      <c r="T260">
        <f>IFERROR(IF(ISNUMBER(INDEX(SPPR!$E:$X,MATCH($A260,SPPR!$A:$A,0),17)),$C260*INDEX(SPPR!$E:$X,MATCH($A260,SPPR!$A:$A,0),17),""),"")</f>
        <v/>
      </c>
      <c r="U260">
        <f>IFERROR(IF(ISNUMBER(INDEX(SPPR!$E:$X,MATCH($A260,SPPR!$A:$A,0),18)),$C260*INDEX(SPPR!$E:$X,MATCH($A260,SPPR!$A:$A,0),18),""),"")</f>
        <v/>
      </c>
      <c r="V260">
        <f>IFERROR(IF(ISNUMBER(INDEX(SPPR!$E:$X,MATCH($A260,SPPR!$A:$A,0),19)),$C260*INDEX(SPPR!$E:$X,MATCH($A260,SPPR!$A:$A,0),19),""),"")</f>
        <v/>
      </c>
      <c r="W260">
        <f>IFERROR(IF(ISNUMBER(INDEX(SPPR!$E:$X,MATCH($A260,SPPR!$A:$A,0),20)),$C260*INDEX(SPPR!$E:$X,MATCH($A260,SPPR!$A:$A,0),20),""),"")</f>
        <v/>
      </c>
    </row>
    <row r="261">
      <c r="A261" t="inlineStr">
        <is>
          <t>Todarodes sagittatus</t>
        </is>
      </c>
      <c r="B261">
        <f>IFERROR(INDEX(SPPR!$D:$D,MATCH($A261,SPPR!$A:$A,0)),"")</f>
        <v/>
      </c>
      <c r="C261">
        <f>IFERROR(INDEX(Catch!$E:$BV,MATCH($A261,Catch!$A:$A,0),MATCH($B$4,Catch!$E$1:$BV$1,0)),0)</f>
        <v/>
      </c>
      <c r="D261">
        <f>IFERROR(IF(ISNUMBER(INDEX(SPPR!$E:$X,MATCH($A261,SPPR!$A:$A,0),1)),$C261*INDEX(SPPR!$E:$X,MATCH($A261,SPPR!$A:$A,0),1),""),"")</f>
        <v/>
      </c>
      <c r="E261">
        <f>IFERROR(IF(ISNUMBER(INDEX(SPPR!$E:$X,MATCH($A261,SPPR!$A:$A,0),2)),$C261*INDEX(SPPR!$E:$X,MATCH($A261,SPPR!$A:$A,0),2),""),"")</f>
        <v/>
      </c>
      <c r="F261">
        <f>IFERROR(IF(ISNUMBER(INDEX(SPPR!$E:$X,MATCH($A261,SPPR!$A:$A,0),3)),$C261*INDEX(SPPR!$E:$X,MATCH($A261,SPPR!$A:$A,0),3),""),"")</f>
        <v/>
      </c>
      <c r="G261">
        <f>IFERROR(IF(ISNUMBER(INDEX(SPPR!$E:$X,MATCH($A261,SPPR!$A:$A,0),4)),$C261*INDEX(SPPR!$E:$X,MATCH($A261,SPPR!$A:$A,0),4),""),"")</f>
        <v/>
      </c>
      <c r="H261">
        <f>IFERROR(IF(ISNUMBER(INDEX(SPPR!$E:$X,MATCH($A261,SPPR!$A:$A,0),5)),$C261*INDEX(SPPR!$E:$X,MATCH($A261,SPPR!$A:$A,0),5),""),"")</f>
        <v/>
      </c>
      <c r="I261">
        <f>IFERROR(IF(ISNUMBER(INDEX(SPPR!$E:$X,MATCH($A261,SPPR!$A:$A,0),6)),$C261*INDEX(SPPR!$E:$X,MATCH($A261,SPPR!$A:$A,0),6),""),"")</f>
        <v/>
      </c>
      <c r="J261">
        <f>IFERROR(IF(ISNUMBER(INDEX(SPPR!$E:$X,MATCH($A261,SPPR!$A:$A,0),7)),$C261*INDEX(SPPR!$E:$X,MATCH($A261,SPPR!$A:$A,0),7),""),"")</f>
        <v/>
      </c>
      <c r="K261">
        <f>IFERROR(IF(ISNUMBER(INDEX(SPPR!$E:$X,MATCH($A261,SPPR!$A:$A,0),8)),$C261*INDEX(SPPR!$E:$X,MATCH($A261,SPPR!$A:$A,0),8),""),"")</f>
        <v/>
      </c>
      <c r="L261">
        <f>IFERROR(IF(ISNUMBER(INDEX(SPPR!$E:$X,MATCH($A261,SPPR!$A:$A,0),9)),$C261*INDEX(SPPR!$E:$X,MATCH($A261,SPPR!$A:$A,0),9),""),"")</f>
        <v/>
      </c>
      <c r="M261">
        <f>IFERROR(IF(ISNUMBER(INDEX(SPPR!$E:$X,MATCH($A261,SPPR!$A:$A,0),10)),$C261*INDEX(SPPR!$E:$X,MATCH($A261,SPPR!$A:$A,0),10),""),"")</f>
        <v/>
      </c>
      <c r="N261">
        <f>IFERROR(IF(ISNUMBER(INDEX(SPPR!$E:$X,MATCH($A261,SPPR!$A:$A,0),11)),$C261*INDEX(SPPR!$E:$X,MATCH($A261,SPPR!$A:$A,0),11),""),"")</f>
        <v/>
      </c>
      <c r="O261">
        <f>IFERROR(IF(ISNUMBER(INDEX(SPPR!$E:$X,MATCH($A261,SPPR!$A:$A,0),12)),$C261*INDEX(SPPR!$E:$X,MATCH($A261,SPPR!$A:$A,0),12),""),"")</f>
        <v/>
      </c>
      <c r="P261">
        <f>IFERROR(IF(ISNUMBER(INDEX(SPPR!$E:$X,MATCH($A261,SPPR!$A:$A,0),13)),$C261*INDEX(SPPR!$E:$X,MATCH($A261,SPPR!$A:$A,0),13),""),"")</f>
        <v/>
      </c>
      <c r="Q261">
        <f>IFERROR(IF(ISNUMBER(INDEX(SPPR!$E:$X,MATCH($A261,SPPR!$A:$A,0),14)),$C261*INDEX(SPPR!$E:$X,MATCH($A261,SPPR!$A:$A,0),14),""),"")</f>
        <v/>
      </c>
      <c r="R261">
        <f>IFERROR(IF(ISNUMBER(INDEX(SPPR!$E:$X,MATCH($A261,SPPR!$A:$A,0),15)),$C261*INDEX(SPPR!$E:$X,MATCH($A261,SPPR!$A:$A,0),15),""),"")</f>
        <v/>
      </c>
      <c r="S261">
        <f>IFERROR(IF(ISNUMBER(INDEX(SPPR!$E:$X,MATCH($A261,SPPR!$A:$A,0),16)),$C261*INDEX(SPPR!$E:$X,MATCH($A261,SPPR!$A:$A,0),16),""),"")</f>
        <v/>
      </c>
      <c r="T261">
        <f>IFERROR(IF(ISNUMBER(INDEX(SPPR!$E:$X,MATCH($A261,SPPR!$A:$A,0),17)),$C261*INDEX(SPPR!$E:$X,MATCH($A261,SPPR!$A:$A,0),17),""),"")</f>
        <v/>
      </c>
      <c r="U261">
        <f>IFERROR(IF(ISNUMBER(INDEX(SPPR!$E:$X,MATCH($A261,SPPR!$A:$A,0),18)),$C261*INDEX(SPPR!$E:$X,MATCH($A261,SPPR!$A:$A,0),18),""),"")</f>
        <v/>
      </c>
      <c r="V261">
        <f>IFERROR(IF(ISNUMBER(INDEX(SPPR!$E:$X,MATCH($A261,SPPR!$A:$A,0),19)),$C261*INDEX(SPPR!$E:$X,MATCH($A261,SPPR!$A:$A,0),19),""),"")</f>
        <v/>
      </c>
      <c r="W261">
        <f>IFERROR(IF(ISNUMBER(INDEX(SPPR!$E:$X,MATCH($A261,SPPR!$A:$A,0),20)),$C261*INDEX(SPPR!$E:$X,MATCH($A261,SPPR!$A:$A,0),20),""),"")</f>
        <v/>
      </c>
    </row>
    <row r="262">
      <c r="A262" t="inlineStr">
        <is>
          <t>Hydrolagus</t>
        </is>
      </c>
      <c r="B262">
        <f>IFERROR(INDEX(SPPR!$D:$D,MATCH($A262,SPPR!$A:$A,0)),"")</f>
        <v/>
      </c>
      <c r="C262">
        <f>IFERROR(INDEX(Catch!$E:$BV,MATCH($A262,Catch!$A:$A,0),MATCH($B$4,Catch!$E$1:$BV$1,0)),0)</f>
        <v/>
      </c>
      <c r="D262">
        <f>IFERROR(IF(ISNUMBER(INDEX(SPPR!$E:$X,MATCH($A262,SPPR!$A:$A,0),1)),$C262*INDEX(SPPR!$E:$X,MATCH($A262,SPPR!$A:$A,0),1),""),"")</f>
        <v/>
      </c>
      <c r="E262">
        <f>IFERROR(IF(ISNUMBER(INDEX(SPPR!$E:$X,MATCH($A262,SPPR!$A:$A,0),2)),$C262*INDEX(SPPR!$E:$X,MATCH($A262,SPPR!$A:$A,0),2),""),"")</f>
        <v/>
      </c>
      <c r="F262">
        <f>IFERROR(IF(ISNUMBER(INDEX(SPPR!$E:$X,MATCH($A262,SPPR!$A:$A,0),3)),$C262*INDEX(SPPR!$E:$X,MATCH($A262,SPPR!$A:$A,0),3),""),"")</f>
        <v/>
      </c>
      <c r="G262">
        <f>IFERROR(IF(ISNUMBER(INDEX(SPPR!$E:$X,MATCH($A262,SPPR!$A:$A,0),4)),$C262*INDEX(SPPR!$E:$X,MATCH($A262,SPPR!$A:$A,0),4),""),"")</f>
        <v/>
      </c>
      <c r="H262">
        <f>IFERROR(IF(ISNUMBER(INDEX(SPPR!$E:$X,MATCH($A262,SPPR!$A:$A,0),5)),$C262*INDEX(SPPR!$E:$X,MATCH($A262,SPPR!$A:$A,0),5),""),"")</f>
        <v/>
      </c>
      <c r="I262">
        <f>IFERROR(IF(ISNUMBER(INDEX(SPPR!$E:$X,MATCH($A262,SPPR!$A:$A,0),6)),$C262*INDEX(SPPR!$E:$X,MATCH($A262,SPPR!$A:$A,0),6),""),"")</f>
        <v/>
      </c>
      <c r="J262">
        <f>IFERROR(IF(ISNUMBER(INDEX(SPPR!$E:$X,MATCH($A262,SPPR!$A:$A,0),7)),$C262*INDEX(SPPR!$E:$X,MATCH($A262,SPPR!$A:$A,0),7),""),"")</f>
        <v/>
      </c>
      <c r="K262">
        <f>IFERROR(IF(ISNUMBER(INDEX(SPPR!$E:$X,MATCH($A262,SPPR!$A:$A,0),8)),$C262*INDEX(SPPR!$E:$X,MATCH($A262,SPPR!$A:$A,0),8),""),"")</f>
        <v/>
      </c>
      <c r="L262">
        <f>IFERROR(IF(ISNUMBER(INDEX(SPPR!$E:$X,MATCH($A262,SPPR!$A:$A,0),9)),$C262*INDEX(SPPR!$E:$X,MATCH($A262,SPPR!$A:$A,0),9),""),"")</f>
        <v/>
      </c>
      <c r="M262">
        <f>IFERROR(IF(ISNUMBER(INDEX(SPPR!$E:$X,MATCH($A262,SPPR!$A:$A,0),10)),$C262*INDEX(SPPR!$E:$X,MATCH($A262,SPPR!$A:$A,0),10),""),"")</f>
        <v/>
      </c>
      <c r="N262">
        <f>IFERROR(IF(ISNUMBER(INDEX(SPPR!$E:$X,MATCH($A262,SPPR!$A:$A,0),11)),$C262*INDEX(SPPR!$E:$X,MATCH($A262,SPPR!$A:$A,0),11),""),"")</f>
        <v/>
      </c>
      <c r="O262">
        <f>IFERROR(IF(ISNUMBER(INDEX(SPPR!$E:$X,MATCH($A262,SPPR!$A:$A,0),12)),$C262*INDEX(SPPR!$E:$X,MATCH($A262,SPPR!$A:$A,0),12),""),"")</f>
        <v/>
      </c>
      <c r="P262">
        <f>IFERROR(IF(ISNUMBER(INDEX(SPPR!$E:$X,MATCH($A262,SPPR!$A:$A,0),13)),$C262*INDEX(SPPR!$E:$X,MATCH($A262,SPPR!$A:$A,0),13),""),"")</f>
        <v/>
      </c>
      <c r="Q262">
        <f>IFERROR(IF(ISNUMBER(INDEX(SPPR!$E:$X,MATCH($A262,SPPR!$A:$A,0),14)),$C262*INDEX(SPPR!$E:$X,MATCH($A262,SPPR!$A:$A,0),14),""),"")</f>
        <v/>
      </c>
      <c r="R262">
        <f>IFERROR(IF(ISNUMBER(INDEX(SPPR!$E:$X,MATCH($A262,SPPR!$A:$A,0),15)),$C262*INDEX(SPPR!$E:$X,MATCH($A262,SPPR!$A:$A,0),15),""),"")</f>
        <v/>
      </c>
      <c r="S262">
        <f>IFERROR(IF(ISNUMBER(INDEX(SPPR!$E:$X,MATCH($A262,SPPR!$A:$A,0),16)),$C262*INDEX(SPPR!$E:$X,MATCH($A262,SPPR!$A:$A,0),16),""),"")</f>
        <v/>
      </c>
      <c r="T262">
        <f>IFERROR(IF(ISNUMBER(INDEX(SPPR!$E:$X,MATCH($A262,SPPR!$A:$A,0),17)),$C262*INDEX(SPPR!$E:$X,MATCH($A262,SPPR!$A:$A,0),17),""),"")</f>
        <v/>
      </c>
      <c r="U262">
        <f>IFERROR(IF(ISNUMBER(INDEX(SPPR!$E:$X,MATCH($A262,SPPR!$A:$A,0),18)),$C262*INDEX(SPPR!$E:$X,MATCH($A262,SPPR!$A:$A,0),18),""),"")</f>
        <v/>
      </c>
      <c r="V262">
        <f>IFERROR(IF(ISNUMBER(INDEX(SPPR!$E:$X,MATCH($A262,SPPR!$A:$A,0),19)),$C262*INDEX(SPPR!$E:$X,MATCH($A262,SPPR!$A:$A,0),19),""),"")</f>
        <v/>
      </c>
      <c r="W262">
        <f>IFERROR(IF(ISNUMBER(INDEX(SPPR!$E:$X,MATCH($A262,SPPR!$A:$A,0),20)),$C262*INDEX(SPPR!$E:$X,MATCH($A262,SPPR!$A:$A,0),20),""),"")</f>
        <v/>
      </c>
    </row>
    <row r="263">
      <c r="A263" t="inlineStr">
        <is>
          <t>Glycymeris glycymeris</t>
        </is>
      </c>
      <c r="B263">
        <f>IFERROR(INDEX(SPPR!$D:$D,MATCH($A263,SPPR!$A:$A,0)),"")</f>
        <v/>
      </c>
      <c r="C263">
        <f>IFERROR(INDEX(Catch!$E:$BV,MATCH($A263,Catch!$A:$A,0),MATCH($B$4,Catch!$E$1:$BV$1,0)),0)</f>
        <v/>
      </c>
      <c r="D263">
        <f>IFERROR(IF(ISNUMBER(INDEX(SPPR!$E:$X,MATCH($A263,SPPR!$A:$A,0),1)),$C263*INDEX(SPPR!$E:$X,MATCH($A263,SPPR!$A:$A,0),1),""),"")</f>
        <v/>
      </c>
      <c r="E263">
        <f>IFERROR(IF(ISNUMBER(INDEX(SPPR!$E:$X,MATCH($A263,SPPR!$A:$A,0),2)),$C263*INDEX(SPPR!$E:$X,MATCH($A263,SPPR!$A:$A,0),2),""),"")</f>
        <v/>
      </c>
      <c r="F263">
        <f>IFERROR(IF(ISNUMBER(INDEX(SPPR!$E:$X,MATCH($A263,SPPR!$A:$A,0),3)),$C263*INDEX(SPPR!$E:$X,MATCH($A263,SPPR!$A:$A,0),3),""),"")</f>
        <v/>
      </c>
      <c r="G263">
        <f>IFERROR(IF(ISNUMBER(INDEX(SPPR!$E:$X,MATCH($A263,SPPR!$A:$A,0),4)),$C263*INDEX(SPPR!$E:$X,MATCH($A263,SPPR!$A:$A,0),4),""),"")</f>
        <v/>
      </c>
      <c r="H263">
        <f>IFERROR(IF(ISNUMBER(INDEX(SPPR!$E:$X,MATCH($A263,SPPR!$A:$A,0),5)),$C263*INDEX(SPPR!$E:$X,MATCH($A263,SPPR!$A:$A,0),5),""),"")</f>
        <v/>
      </c>
      <c r="I263">
        <f>IFERROR(IF(ISNUMBER(INDEX(SPPR!$E:$X,MATCH($A263,SPPR!$A:$A,0),6)),$C263*INDEX(SPPR!$E:$X,MATCH($A263,SPPR!$A:$A,0),6),""),"")</f>
        <v/>
      </c>
      <c r="J263">
        <f>IFERROR(IF(ISNUMBER(INDEX(SPPR!$E:$X,MATCH($A263,SPPR!$A:$A,0),7)),$C263*INDEX(SPPR!$E:$X,MATCH($A263,SPPR!$A:$A,0),7),""),"")</f>
        <v/>
      </c>
      <c r="K263">
        <f>IFERROR(IF(ISNUMBER(INDEX(SPPR!$E:$X,MATCH($A263,SPPR!$A:$A,0),8)),$C263*INDEX(SPPR!$E:$X,MATCH($A263,SPPR!$A:$A,0),8),""),"")</f>
        <v/>
      </c>
      <c r="L263">
        <f>IFERROR(IF(ISNUMBER(INDEX(SPPR!$E:$X,MATCH($A263,SPPR!$A:$A,0),9)),$C263*INDEX(SPPR!$E:$X,MATCH($A263,SPPR!$A:$A,0),9),""),"")</f>
        <v/>
      </c>
      <c r="M263">
        <f>IFERROR(IF(ISNUMBER(INDEX(SPPR!$E:$X,MATCH($A263,SPPR!$A:$A,0),10)),$C263*INDEX(SPPR!$E:$X,MATCH($A263,SPPR!$A:$A,0),10),""),"")</f>
        <v/>
      </c>
      <c r="N263">
        <f>IFERROR(IF(ISNUMBER(INDEX(SPPR!$E:$X,MATCH($A263,SPPR!$A:$A,0),11)),$C263*INDEX(SPPR!$E:$X,MATCH($A263,SPPR!$A:$A,0),11),""),"")</f>
        <v/>
      </c>
      <c r="O263">
        <f>IFERROR(IF(ISNUMBER(INDEX(SPPR!$E:$X,MATCH($A263,SPPR!$A:$A,0),12)),$C263*INDEX(SPPR!$E:$X,MATCH($A263,SPPR!$A:$A,0),12),""),"")</f>
        <v/>
      </c>
      <c r="P263">
        <f>IFERROR(IF(ISNUMBER(INDEX(SPPR!$E:$X,MATCH($A263,SPPR!$A:$A,0),13)),$C263*INDEX(SPPR!$E:$X,MATCH($A263,SPPR!$A:$A,0),13),""),"")</f>
        <v/>
      </c>
      <c r="Q263">
        <f>IFERROR(IF(ISNUMBER(INDEX(SPPR!$E:$X,MATCH($A263,SPPR!$A:$A,0),14)),$C263*INDEX(SPPR!$E:$X,MATCH($A263,SPPR!$A:$A,0),14),""),"")</f>
        <v/>
      </c>
      <c r="R263">
        <f>IFERROR(IF(ISNUMBER(INDEX(SPPR!$E:$X,MATCH($A263,SPPR!$A:$A,0),15)),$C263*INDEX(SPPR!$E:$X,MATCH($A263,SPPR!$A:$A,0),15),""),"")</f>
        <v/>
      </c>
      <c r="S263">
        <f>IFERROR(IF(ISNUMBER(INDEX(SPPR!$E:$X,MATCH($A263,SPPR!$A:$A,0),16)),$C263*INDEX(SPPR!$E:$X,MATCH($A263,SPPR!$A:$A,0),16),""),"")</f>
        <v/>
      </c>
      <c r="T263">
        <f>IFERROR(IF(ISNUMBER(INDEX(SPPR!$E:$X,MATCH($A263,SPPR!$A:$A,0),17)),$C263*INDEX(SPPR!$E:$X,MATCH($A263,SPPR!$A:$A,0),17),""),"")</f>
        <v/>
      </c>
      <c r="U263">
        <f>IFERROR(IF(ISNUMBER(INDEX(SPPR!$E:$X,MATCH($A263,SPPR!$A:$A,0),18)),$C263*INDEX(SPPR!$E:$X,MATCH($A263,SPPR!$A:$A,0),18),""),"")</f>
        <v/>
      </c>
      <c r="V263">
        <f>IFERROR(IF(ISNUMBER(INDEX(SPPR!$E:$X,MATCH($A263,SPPR!$A:$A,0),19)),$C263*INDEX(SPPR!$E:$X,MATCH($A263,SPPR!$A:$A,0),19),""),"")</f>
        <v/>
      </c>
      <c r="W263">
        <f>IFERROR(IF(ISNUMBER(INDEX(SPPR!$E:$X,MATCH($A263,SPPR!$A:$A,0),20)),$C263*INDEX(SPPR!$E:$X,MATCH($A263,SPPR!$A:$A,0),20),""),"")</f>
        <v/>
      </c>
    </row>
    <row r="264">
      <c r="A264" t="inlineStr">
        <is>
          <t>Thunnus albacares</t>
        </is>
      </c>
      <c r="B264">
        <f>IFERROR(INDEX(SPPR!$D:$D,MATCH($A264,SPPR!$A:$A,0)),"")</f>
        <v/>
      </c>
      <c r="C264">
        <f>IFERROR(INDEX(Catch!$E:$BV,MATCH($A264,Catch!$A:$A,0),MATCH($B$4,Catch!$E$1:$BV$1,0)),0)</f>
        <v/>
      </c>
      <c r="D264">
        <f>IFERROR(IF(ISNUMBER(INDEX(SPPR!$E:$X,MATCH($A264,SPPR!$A:$A,0),1)),$C264*INDEX(SPPR!$E:$X,MATCH($A264,SPPR!$A:$A,0),1),""),"")</f>
        <v/>
      </c>
      <c r="E264">
        <f>IFERROR(IF(ISNUMBER(INDEX(SPPR!$E:$X,MATCH($A264,SPPR!$A:$A,0),2)),$C264*INDEX(SPPR!$E:$X,MATCH($A264,SPPR!$A:$A,0),2),""),"")</f>
        <v/>
      </c>
      <c r="F264">
        <f>IFERROR(IF(ISNUMBER(INDEX(SPPR!$E:$X,MATCH($A264,SPPR!$A:$A,0),3)),$C264*INDEX(SPPR!$E:$X,MATCH($A264,SPPR!$A:$A,0),3),""),"")</f>
        <v/>
      </c>
      <c r="G264">
        <f>IFERROR(IF(ISNUMBER(INDEX(SPPR!$E:$X,MATCH($A264,SPPR!$A:$A,0),4)),$C264*INDEX(SPPR!$E:$X,MATCH($A264,SPPR!$A:$A,0),4),""),"")</f>
        <v/>
      </c>
      <c r="H264">
        <f>IFERROR(IF(ISNUMBER(INDEX(SPPR!$E:$X,MATCH($A264,SPPR!$A:$A,0),5)),$C264*INDEX(SPPR!$E:$X,MATCH($A264,SPPR!$A:$A,0),5),""),"")</f>
        <v/>
      </c>
      <c r="I264">
        <f>IFERROR(IF(ISNUMBER(INDEX(SPPR!$E:$X,MATCH($A264,SPPR!$A:$A,0),6)),$C264*INDEX(SPPR!$E:$X,MATCH($A264,SPPR!$A:$A,0),6),""),"")</f>
        <v/>
      </c>
      <c r="J264">
        <f>IFERROR(IF(ISNUMBER(INDEX(SPPR!$E:$X,MATCH($A264,SPPR!$A:$A,0),7)),$C264*INDEX(SPPR!$E:$X,MATCH($A264,SPPR!$A:$A,0),7),""),"")</f>
        <v/>
      </c>
      <c r="K264">
        <f>IFERROR(IF(ISNUMBER(INDEX(SPPR!$E:$X,MATCH($A264,SPPR!$A:$A,0),8)),$C264*INDEX(SPPR!$E:$X,MATCH($A264,SPPR!$A:$A,0),8),""),"")</f>
        <v/>
      </c>
      <c r="L264">
        <f>IFERROR(IF(ISNUMBER(INDEX(SPPR!$E:$X,MATCH($A264,SPPR!$A:$A,0),9)),$C264*INDEX(SPPR!$E:$X,MATCH($A264,SPPR!$A:$A,0),9),""),"")</f>
        <v/>
      </c>
      <c r="M264">
        <f>IFERROR(IF(ISNUMBER(INDEX(SPPR!$E:$X,MATCH($A264,SPPR!$A:$A,0),10)),$C264*INDEX(SPPR!$E:$X,MATCH($A264,SPPR!$A:$A,0),10),""),"")</f>
        <v/>
      </c>
      <c r="N264">
        <f>IFERROR(IF(ISNUMBER(INDEX(SPPR!$E:$X,MATCH($A264,SPPR!$A:$A,0),11)),$C264*INDEX(SPPR!$E:$X,MATCH($A264,SPPR!$A:$A,0),11),""),"")</f>
        <v/>
      </c>
      <c r="O264">
        <f>IFERROR(IF(ISNUMBER(INDEX(SPPR!$E:$X,MATCH($A264,SPPR!$A:$A,0),12)),$C264*INDEX(SPPR!$E:$X,MATCH($A264,SPPR!$A:$A,0),12),""),"")</f>
        <v/>
      </c>
      <c r="P264">
        <f>IFERROR(IF(ISNUMBER(INDEX(SPPR!$E:$X,MATCH($A264,SPPR!$A:$A,0),13)),$C264*INDEX(SPPR!$E:$X,MATCH($A264,SPPR!$A:$A,0),13),""),"")</f>
        <v/>
      </c>
      <c r="Q264">
        <f>IFERROR(IF(ISNUMBER(INDEX(SPPR!$E:$X,MATCH($A264,SPPR!$A:$A,0),14)),$C264*INDEX(SPPR!$E:$X,MATCH($A264,SPPR!$A:$A,0),14),""),"")</f>
        <v/>
      </c>
      <c r="R264">
        <f>IFERROR(IF(ISNUMBER(INDEX(SPPR!$E:$X,MATCH($A264,SPPR!$A:$A,0),15)),$C264*INDEX(SPPR!$E:$X,MATCH($A264,SPPR!$A:$A,0),15),""),"")</f>
        <v/>
      </c>
      <c r="S264">
        <f>IFERROR(IF(ISNUMBER(INDEX(SPPR!$E:$X,MATCH($A264,SPPR!$A:$A,0),16)),$C264*INDEX(SPPR!$E:$X,MATCH($A264,SPPR!$A:$A,0),16),""),"")</f>
        <v/>
      </c>
      <c r="T264">
        <f>IFERROR(IF(ISNUMBER(INDEX(SPPR!$E:$X,MATCH($A264,SPPR!$A:$A,0),17)),$C264*INDEX(SPPR!$E:$X,MATCH($A264,SPPR!$A:$A,0),17),""),"")</f>
        <v/>
      </c>
      <c r="U264">
        <f>IFERROR(IF(ISNUMBER(INDEX(SPPR!$E:$X,MATCH($A264,SPPR!$A:$A,0),18)),$C264*INDEX(SPPR!$E:$X,MATCH($A264,SPPR!$A:$A,0),18),""),"")</f>
        <v/>
      </c>
      <c r="V264">
        <f>IFERROR(IF(ISNUMBER(INDEX(SPPR!$E:$X,MATCH($A264,SPPR!$A:$A,0),19)),$C264*INDEX(SPPR!$E:$X,MATCH($A264,SPPR!$A:$A,0),19),""),"")</f>
        <v/>
      </c>
      <c r="W264">
        <f>IFERROR(IF(ISNUMBER(INDEX(SPPR!$E:$X,MATCH($A264,SPPR!$A:$A,0),20)),$C264*INDEX(SPPR!$E:$X,MATCH($A264,SPPR!$A:$A,0),20),""),"")</f>
        <v/>
      </c>
    </row>
    <row r="265">
      <c r="A265" t="inlineStr">
        <is>
          <t>Cyprinus carpio</t>
        </is>
      </c>
      <c r="B265">
        <f>IFERROR(INDEX(SPPR!$D:$D,MATCH($A265,SPPR!$A:$A,0)),"")</f>
        <v/>
      </c>
      <c r="C265">
        <f>IFERROR(INDEX(Catch!$E:$BV,MATCH($A265,Catch!$A:$A,0),MATCH($B$4,Catch!$E$1:$BV$1,0)),0)</f>
        <v/>
      </c>
      <c r="D265">
        <f>IFERROR(IF(ISNUMBER(INDEX(SPPR!$E:$X,MATCH($A265,SPPR!$A:$A,0),1)),$C265*INDEX(SPPR!$E:$X,MATCH($A265,SPPR!$A:$A,0),1),""),"")</f>
        <v/>
      </c>
      <c r="E265">
        <f>IFERROR(IF(ISNUMBER(INDEX(SPPR!$E:$X,MATCH($A265,SPPR!$A:$A,0),2)),$C265*INDEX(SPPR!$E:$X,MATCH($A265,SPPR!$A:$A,0),2),""),"")</f>
        <v/>
      </c>
      <c r="F265">
        <f>IFERROR(IF(ISNUMBER(INDEX(SPPR!$E:$X,MATCH($A265,SPPR!$A:$A,0),3)),$C265*INDEX(SPPR!$E:$X,MATCH($A265,SPPR!$A:$A,0),3),""),"")</f>
        <v/>
      </c>
      <c r="G265">
        <f>IFERROR(IF(ISNUMBER(INDEX(SPPR!$E:$X,MATCH($A265,SPPR!$A:$A,0),4)),$C265*INDEX(SPPR!$E:$X,MATCH($A265,SPPR!$A:$A,0),4),""),"")</f>
        <v/>
      </c>
      <c r="H265">
        <f>IFERROR(IF(ISNUMBER(INDEX(SPPR!$E:$X,MATCH($A265,SPPR!$A:$A,0),5)),$C265*INDEX(SPPR!$E:$X,MATCH($A265,SPPR!$A:$A,0),5),""),"")</f>
        <v/>
      </c>
      <c r="I265">
        <f>IFERROR(IF(ISNUMBER(INDEX(SPPR!$E:$X,MATCH($A265,SPPR!$A:$A,0),6)),$C265*INDEX(SPPR!$E:$X,MATCH($A265,SPPR!$A:$A,0),6),""),"")</f>
        <v/>
      </c>
      <c r="J265">
        <f>IFERROR(IF(ISNUMBER(INDEX(SPPR!$E:$X,MATCH($A265,SPPR!$A:$A,0),7)),$C265*INDEX(SPPR!$E:$X,MATCH($A265,SPPR!$A:$A,0),7),""),"")</f>
        <v/>
      </c>
      <c r="K265">
        <f>IFERROR(IF(ISNUMBER(INDEX(SPPR!$E:$X,MATCH($A265,SPPR!$A:$A,0),8)),$C265*INDEX(SPPR!$E:$X,MATCH($A265,SPPR!$A:$A,0),8),""),"")</f>
        <v/>
      </c>
      <c r="L265">
        <f>IFERROR(IF(ISNUMBER(INDEX(SPPR!$E:$X,MATCH($A265,SPPR!$A:$A,0),9)),$C265*INDEX(SPPR!$E:$X,MATCH($A265,SPPR!$A:$A,0),9),""),"")</f>
        <v/>
      </c>
      <c r="M265">
        <f>IFERROR(IF(ISNUMBER(INDEX(SPPR!$E:$X,MATCH($A265,SPPR!$A:$A,0),10)),$C265*INDEX(SPPR!$E:$X,MATCH($A265,SPPR!$A:$A,0),10),""),"")</f>
        <v/>
      </c>
      <c r="N265">
        <f>IFERROR(IF(ISNUMBER(INDEX(SPPR!$E:$X,MATCH($A265,SPPR!$A:$A,0),11)),$C265*INDEX(SPPR!$E:$X,MATCH($A265,SPPR!$A:$A,0),11),""),"")</f>
        <v/>
      </c>
      <c r="O265">
        <f>IFERROR(IF(ISNUMBER(INDEX(SPPR!$E:$X,MATCH($A265,SPPR!$A:$A,0),12)),$C265*INDEX(SPPR!$E:$X,MATCH($A265,SPPR!$A:$A,0),12),""),"")</f>
        <v/>
      </c>
      <c r="P265">
        <f>IFERROR(IF(ISNUMBER(INDEX(SPPR!$E:$X,MATCH($A265,SPPR!$A:$A,0),13)),$C265*INDEX(SPPR!$E:$X,MATCH($A265,SPPR!$A:$A,0),13),""),"")</f>
        <v/>
      </c>
      <c r="Q265">
        <f>IFERROR(IF(ISNUMBER(INDEX(SPPR!$E:$X,MATCH($A265,SPPR!$A:$A,0),14)),$C265*INDEX(SPPR!$E:$X,MATCH($A265,SPPR!$A:$A,0),14),""),"")</f>
        <v/>
      </c>
      <c r="R265">
        <f>IFERROR(IF(ISNUMBER(INDEX(SPPR!$E:$X,MATCH($A265,SPPR!$A:$A,0),15)),$C265*INDEX(SPPR!$E:$X,MATCH($A265,SPPR!$A:$A,0),15),""),"")</f>
        <v/>
      </c>
      <c r="S265">
        <f>IFERROR(IF(ISNUMBER(INDEX(SPPR!$E:$X,MATCH($A265,SPPR!$A:$A,0),16)),$C265*INDEX(SPPR!$E:$X,MATCH($A265,SPPR!$A:$A,0),16),""),"")</f>
        <v/>
      </c>
      <c r="T265">
        <f>IFERROR(IF(ISNUMBER(INDEX(SPPR!$E:$X,MATCH($A265,SPPR!$A:$A,0),17)),$C265*INDEX(SPPR!$E:$X,MATCH($A265,SPPR!$A:$A,0),17),""),"")</f>
        <v/>
      </c>
      <c r="U265">
        <f>IFERROR(IF(ISNUMBER(INDEX(SPPR!$E:$X,MATCH($A265,SPPR!$A:$A,0),18)),$C265*INDEX(SPPR!$E:$X,MATCH($A265,SPPR!$A:$A,0),18),""),"")</f>
        <v/>
      </c>
      <c r="V265">
        <f>IFERROR(IF(ISNUMBER(INDEX(SPPR!$E:$X,MATCH($A265,SPPR!$A:$A,0),19)),$C265*INDEX(SPPR!$E:$X,MATCH($A265,SPPR!$A:$A,0),19),""),"")</f>
        <v/>
      </c>
      <c r="W265">
        <f>IFERROR(IF(ISNUMBER(INDEX(SPPR!$E:$X,MATCH($A265,SPPR!$A:$A,0),20)),$C265*INDEX(SPPR!$E:$X,MATCH($A265,SPPR!$A:$A,0),20),""),"")</f>
        <v/>
      </c>
    </row>
    <row r="266">
      <c r="A266" t="inlineStr">
        <is>
          <t>Peristediidae</t>
        </is>
      </c>
      <c r="B266">
        <f>IFERROR(INDEX(SPPR!$D:$D,MATCH($A266,SPPR!$A:$A,0)),"")</f>
        <v/>
      </c>
      <c r="C266">
        <f>IFERROR(INDEX(Catch!$E:$BV,MATCH($A266,Catch!$A:$A,0),MATCH($B$4,Catch!$E$1:$BV$1,0)),0)</f>
        <v/>
      </c>
      <c r="D266">
        <f>IFERROR(IF(ISNUMBER(INDEX(SPPR!$E:$X,MATCH($A266,SPPR!$A:$A,0),1)),$C266*INDEX(SPPR!$E:$X,MATCH($A266,SPPR!$A:$A,0),1),""),"")</f>
        <v/>
      </c>
      <c r="E266">
        <f>IFERROR(IF(ISNUMBER(INDEX(SPPR!$E:$X,MATCH($A266,SPPR!$A:$A,0),2)),$C266*INDEX(SPPR!$E:$X,MATCH($A266,SPPR!$A:$A,0),2),""),"")</f>
        <v/>
      </c>
      <c r="F266">
        <f>IFERROR(IF(ISNUMBER(INDEX(SPPR!$E:$X,MATCH($A266,SPPR!$A:$A,0),3)),$C266*INDEX(SPPR!$E:$X,MATCH($A266,SPPR!$A:$A,0),3),""),"")</f>
        <v/>
      </c>
      <c r="G266">
        <f>IFERROR(IF(ISNUMBER(INDEX(SPPR!$E:$X,MATCH($A266,SPPR!$A:$A,0),4)),$C266*INDEX(SPPR!$E:$X,MATCH($A266,SPPR!$A:$A,0),4),""),"")</f>
        <v/>
      </c>
      <c r="H266">
        <f>IFERROR(IF(ISNUMBER(INDEX(SPPR!$E:$X,MATCH($A266,SPPR!$A:$A,0),5)),$C266*INDEX(SPPR!$E:$X,MATCH($A266,SPPR!$A:$A,0),5),""),"")</f>
        <v/>
      </c>
      <c r="I266">
        <f>IFERROR(IF(ISNUMBER(INDEX(SPPR!$E:$X,MATCH($A266,SPPR!$A:$A,0),6)),$C266*INDEX(SPPR!$E:$X,MATCH($A266,SPPR!$A:$A,0),6),""),"")</f>
        <v/>
      </c>
      <c r="J266">
        <f>IFERROR(IF(ISNUMBER(INDEX(SPPR!$E:$X,MATCH($A266,SPPR!$A:$A,0),7)),$C266*INDEX(SPPR!$E:$X,MATCH($A266,SPPR!$A:$A,0),7),""),"")</f>
        <v/>
      </c>
      <c r="K266">
        <f>IFERROR(IF(ISNUMBER(INDEX(SPPR!$E:$X,MATCH($A266,SPPR!$A:$A,0),8)),$C266*INDEX(SPPR!$E:$X,MATCH($A266,SPPR!$A:$A,0),8),""),"")</f>
        <v/>
      </c>
      <c r="L266">
        <f>IFERROR(IF(ISNUMBER(INDEX(SPPR!$E:$X,MATCH($A266,SPPR!$A:$A,0),9)),$C266*INDEX(SPPR!$E:$X,MATCH($A266,SPPR!$A:$A,0),9),""),"")</f>
        <v/>
      </c>
      <c r="M266">
        <f>IFERROR(IF(ISNUMBER(INDEX(SPPR!$E:$X,MATCH($A266,SPPR!$A:$A,0),10)),$C266*INDEX(SPPR!$E:$X,MATCH($A266,SPPR!$A:$A,0),10),""),"")</f>
        <v/>
      </c>
      <c r="N266">
        <f>IFERROR(IF(ISNUMBER(INDEX(SPPR!$E:$X,MATCH($A266,SPPR!$A:$A,0),11)),$C266*INDEX(SPPR!$E:$X,MATCH($A266,SPPR!$A:$A,0),11),""),"")</f>
        <v/>
      </c>
      <c r="O266">
        <f>IFERROR(IF(ISNUMBER(INDEX(SPPR!$E:$X,MATCH($A266,SPPR!$A:$A,0),12)),$C266*INDEX(SPPR!$E:$X,MATCH($A266,SPPR!$A:$A,0),12),""),"")</f>
        <v/>
      </c>
      <c r="P266">
        <f>IFERROR(IF(ISNUMBER(INDEX(SPPR!$E:$X,MATCH($A266,SPPR!$A:$A,0),13)),$C266*INDEX(SPPR!$E:$X,MATCH($A266,SPPR!$A:$A,0),13),""),"")</f>
        <v/>
      </c>
      <c r="Q266">
        <f>IFERROR(IF(ISNUMBER(INDEX(SPPR!$E:$X,MATCH($A266,SPPR!$A:$A,0),14)),$C266*INDEX(SPPR!$E:$X,MATCH($A266,SPPR!$A:$A,0),14),""),"")</f>
        <v/>
      </c>
      <c r="R266">
        <f>IFERROR(IF(ISNUMBER(INDEX(SPPR!$E:$X,MATCH($A266,SPPR!$A:$A,0),15)),$C266*INDEX(SPPR!$E:$X,MATCH($A266,SPPR!$A:$A,0),15),""),"")</f>
        <v/>
      </c>
      <c r="S266">
        <f>IFERROR(IF(ISNUMBER(INDEX(SPPR!$E:$X,MATCH($A266,SPPR!$A:$A,0),16)),$C266*INDEX(SPPR!$E:$X,MATCH($A266,SPPR!$A:$A,0),16),""),"")</f>
        <v/>
      </c>
      <c r="T266">
        <f>IFERROR(IF(ISNUMBER(INDEX(SPPR!$E:$X,MATCH($A266,SPPR!$A:$A,0),17)),$C266*INDEX(SPPR!$E:$X,MATCH($A266,SPPR!$A:$A,0),17),""),"")</f>
        <v/>
      </c>
      <c r="U266">
        <f>IFERROR(IF(ISNUMBER(INDEX(SPPR!$E:$X,MATCH($A266,SPPR!$A:$A,0),18)),$C266*INDEX(SPPR!$E:$X,MATCH($A266,SPPR!$A:$A,0),18),""),"")</f>
        <v/>
      </c>
      <c r="V266">
        <f>IFERROR(IF(ISNUMBER(INDEX(SPPR!$E:$X,MATCH($A266,SPPR!$A:$A,0),19)),$C266*INDEX(SPPR!$E:$X,MATCH($A266,SPPR!$A:$A,0),19),""),"")</f>
        <v/>
      </c>
      <c r="W266">
        <f>IFERROR(IF(ISNUMBER(INDEX(SPPR!$E:$X,MATCH($A266,SPPR!$A:$A,0),20)),$C266*INDEX(SPPR!$E:$X,MATCH($A266,SPPR!$A:$A,0),20),""),"")</f>
        <v/>
      </c>
    </row>
    <row r="267">
      <c r="A267" t="inlineStr">
        <is>
          <t>Mercenaria mercenaria</t>
        </is>
      </c>
      <c r="B267">
        <f>IFERROR(INDEX(SPPR!$D:$D,MATCH($A267,SPPR!$A:$A,0)),"")</f>
        <v/>
      </c>
      <c r="C267">
        <f>IFERROR(INDEX(Catch!$E:$BV,MATCH($A267,Catch!$A:$A,0),MATCH($B$4,Catch!$E$1:$BV$1,0)),0)</f>
        <v/>
      </c>
      <c r="D267">
        <f>IFERROR(IF(ISNUMBER(INDEX(SPPR!$E:$X,MATCH($A267,SPPR!$A:$A,0),1)),$C267*INDEX(SPPR!$E:$X,MATCH($A267,SPPR!$A:$A,0),1),""),"")</f>
        <v/>
      </c>
      <c r="E267">
        <f>IFERROR(IF(ISNUMBER(INDEX(SPPR!$E:$X,MATCH($A267,SPPR!$A:$A,0),2)),$C267*INDEX(SPPR!$E:$X,MATCH($A267,SPPR!$A:$A,0),2),""),"")</f>
        <v/>
      </c>
      <c r="F267">
        <f>IFERROR(IF(ISNUMBER(INDEX(SPPR!$E:$X,MATCH($A267,SPPR!$A:$A,0),3)),$C267*INDEX(SPPR!$E:$X,MATCH($A267,SPPR!$A:$A,0),3),""),"")</f>
        <v/>
      </c>
      <c r="G267">
        <f>IFERROR(IF(ISNUMBER(INDEX(SPPR!$E:$X,MATCH($A267,SPPR!$A:$A,0),4)),$C267*INDEX(SPPR!$E:$X,MATCH($A267,SPPR!$A:$A,0),4),""),"")</f>
        <v/>
      </c>
      <c r="H267">
        <f>IFERROR(IF(ISNUMBER(INDEX(SPPR!$E:$X,MATCH($A267,SPPR!$A:$A,0),5)),$C267*INDEX(SPPR!$E:$X,MATCH($A267,SPPR!$A:$A,0),5),""),"")</f>
        <v/>
      </c>
      <c r="I267">
        <f>IFERROR(IF(ISNUMBER(INDEX(SPPR!$E:$X,MATCH($A267,SPPR!$A:$A,0),6)),$C267*INDEX(SPPR!$E:$X,MATCH($A267,SPPR!$A:$A,0),6),""),"")</f>
        <v/>
      </c>
      <c r="J267">
        <f>IFERROR(IF(ISNUMBER(INDEX(SPPR!$E:$X,MATCH($A267,SPPR!$A:$A,0),7)),$C267*INDEX(SPPR!$E:$X,MATCH($A267,SPPR!$A:$A,0),7),""),"")</f>
        <v/>
      </c>
      <c r="K267">
        <f>IFERROR(IF(ISNUMBER(INDEX(SPPR!$E:$X,MATCH($A267,SPPR!$A:$A,0),8)),$C267*INDEX(SPPR!$E:$X,MATCH($A267,SPPR!$A:$A,0),8),""),"")</f>
        <v/>
      </c>
      <c r="L267">
        <f>IFERROR(IF(ISNUMBER(INDEX(SPPR!$E:$X,MATCH($A267,SPPR!$A:$A,0),9)),$C267*INDEX(SPPR!$E:$X,MATCH($A267,SPPR!$A:$A,0),9),""),"")</f>
        <v/>
      </c>
      <c r="M267">
        <f>IFERROR(IF(ISNUMBER(INDEX(SPPR!$E:$X,MATCH($A267,SPPR!$A:$A,0),10)),$C267*INDEX(SPPR!$E:$X,MATCH($A267,SPPR!$A:$A,0),10),""),"")</f>
        <v/>
      </c>
      <c r="N267">
        <f>IFERROR(IF(ISNUMBER(INDEX(SPPR!$E:$X,MATCH($A267,SPPR!$A:$A,0),11)),$C267*INDEX(SPPR!$E:$X,MATCH($A267,SPPR!$A:$A,0),11),""),"")</f>
        <v/>
      </c>
      <c r="O267">
        <f>IFERROR(IF(ISNUMBER(INDEX(SPPR!$E:$X,MATCH($A267,SPPR!$A:$A,0),12)),$C267*INDEX(SPPR!$E:$X,MATCH($A267,SPPR!$A:$A,0),12),""),"")</f>
        <v/>
      </c>
      <c r="P267">
        <f>IFERROR(IF(ISNUMBER(INDEX(SPPR!$E:$X,MATCH($A267,SPPR!$A:$A,0),13)),$C267*INDEX(SPPR!$E:$X,MATCH($A267,SPPR!$A:$A,0),13),""),"")</f>
        <v/>
      </c>
      <c r="Q267">
        <f>IFERROR(IF(ISNUMBER(INDEX(SPPR!$E:$X,MATCH($A267,SPPR!$A:$A,0),14)),$C267*INDEX(SPPR!$E:$X,MATCH($A267,SPPR!$A:$A,0),14),""),"")</f>
        <v/>
      </c>
      <c r="R267">
        <f>IFERROR(IF(ISNUMBER(INDEX(SPPR!$E:$X,MATCH($A267,SPPR!$A:$A,0),15)),$C267*INDEX(SPPR!$E:$X,MATCH($A267,SPPR!$A:$A,0),15),""),"")</f>
        <v/>
      </c>
      <c r="S267">
        <f>IFERROR(IF(ISNUMBER(INDEX(SPPR!$E:$X,MATCH($A267,SPPR!$A:$A,0),16)),$C267*INDEX(SPPR!$E:$X,MATCH($A267,SPPR!$A:$A,0),16),""),"")</f>
        <v/>
      </c>
      <c r="T267">
        <f>IFERROR(IF(ISNUMBER(INDEX(SPPR!$E:$X,MATCH($A267,SPPR!$A:$A,0),17)),$C267*INDEX(SPPR!$E:$X,MATCH($A267,SPPR!$A:$A,0),17),""),"")</f>
        <v/>
      </c>
      <c r="U267">
        <f>IFERROR(IF(ISNUMBER(INDEX(SPPR!$E:$X,MATCH($A267,SPPR!$A:$A,0),18)),$C267*INDEX(SPPR!$E:$X,MATCH($A267,SPPR!$A:$A,0),18),""),"")</f>
        <v/>
      </c>
      <c r="V267">
        <f>IFERROR(IF(ISNUMBER(INDEX(SPPR!$E:$X,MATCH($A267,SPPR!$A:$A,0),19)),$C267*INDEX(SPPR!$E:$X,MATCH($A267,SPPR!$A:$A,0),19),""),"")</f>
        <v/>
      </c>
      <c r="W267">
        <f>IFERROR(IF(ISNUMBER(INDEX(SPPR!$E:$X,MATCH($A267,SPPR!$A:$A,0),20)),$C267*INDEX(SPPR!$E:$X,MATCH($A267,SPPR!$A:$A,0),20),""),"")</f>
        <v/>
      </c>
    </row>
    <row r="268">
      <c r="A268" t="inlineStr">
        <is>
          <t>Scorpaena</t>
        </is>
      </c>
      <c r="B268">
        <f>IFERROR(INDEX(SPPR!$D:$D,MATCH($A268,SPPR!$A:$A,0)),"")</f>
        <v/>
      </c>
      <c r="C268">
        <f>IFERROR(INDEX(Catch!$E:$BV,MATCH($A268,Catch!$A:$A,0),MATCH($B$4,Catch!$E$1:$BV$1,0)),0)</f>
        <v/>
      </c>
      <c r="D268">
        <f>IFERROR(IF(ISNUMBER(INDEX(SPPR!$E:$X,MATCH($A268,SPPR!$A:$A,0),1)),$C268*INDEX(SPPR!$E:$X,MATCH($A268,SPPR!$A:$A,0),1),""),"")</f>
        <v/>
      </c>
      <c r="E268">
        <f>IFERROR(IF(ISNUMBER(INDEX(SPPR!$E:$X,MATCH($A268,SPPR!$A:$A,0),2)),$C268*INDEX(SPPR!$E:$X,MATCH($A268,SPPR!$A:$A,0),2),""),"")</f>
        <v/>
      </c>
      <c r="F268">
        <f>IFERROR(IF(ISNUMBER(INDEX(SPPR!$E:$X,MATCH($A268,SPPR!$A:$A,0),3)),$C268*INDEX(SPPR!$E:$X,MATCH($A268,SPPR!$A:$A,0),3),""),"")</f>
        <v/>
      </c>
      <c r="G268">
        <f>IFERROR(IF(ISNUMBER(INDEX(SPPR!$E:$X,MATCH($A268,SPPR!$A:$A,0),4)),$C268*INDEX(SPPR!$E:$X,MATCH($A268,SPPR!$A:$A,0),4),""),"")</f>
        <v/>
      </c>
      <c r="H268">
        <f>IFERROR(IF(ISNUMBER(INDEX(SPPR!$E:$X,MATCH($A268,SPPR!$A:$A,0),5)),$C268*INDEX(SPPR!$E:$X,MATCH($A268,SPPR!$A:$A,0),5),""),"")</f>
        <v/>
      </c>
      <c r="I268">
        <f>IFERROR(IF(ISNUMBER(INDEX(SPPR!$E:$X,MATCH($A268,SPPR!$A:$A,0),6)),$C268*INDEX(SPPR!$E:$X,MATCH($A268,SPPR!$A:$A,0),6),""),"")</f>
        <v/>
      </c>
      <c r="J268">
        <f>IFERROR(IF(ISNUMBER(INDEX(SPPR!$E:$X,MATCH($A268,SPPR!$A:$A,0),7)),$C268*INDEX(SPPR!$E:$X,MATCH($A268,SPPR!$A:$A,0),7),""),"")</f>
        <v/>
      </c>
      <c r="K268">
        <f>IFERROR(IF(ISNUMBER(INDEX(SPPR!$E:$X,MATCH($A268,SPPR!$A:$A,0),8)),$C268*INDEX(SPPR!$E:$X,MATCH($A268,SPPR!$A:$A,0),8),""),"")</f>
        <v/>
      </c>
      <c r="L268">
        <f>IFERROR(IF(ISNUMBER(INDEX(SPPR!$E:$X,MATCH($A268,SPPR!$A:$A,0),9)),$C268*INDEX(SPPR!$E:$X,MATCH($A268,SPPR!$A:$A,0),9),""),"")</f>
        <v/>
      </c>
      <c r="M268">
        <f>IFERROR(IF(ISNUMBER(INDEX(SPPR!$E:$X,MATCH($A268,SPPR!$A:$A,0),10)),$C268*INDEX(SPPR!$E:$X,MATCH($A268,SPPR!$A:$A,0),10),""),"")</f>
        <v/>
      </c>
      <c r="N268">
        <f>IFERROR(IF(ISNUMBER(INDEX(SPPR!$E:$X,MATCH($A268,SPPR!$A:$A,0),11)),$C268*INDEX(SPPR!$E:$X,MATCH($A268,SPPR!$A:$A,0),11),""),"")</f>
        <v/>
      </c>
      <c r="O268">
        <f>IFERROR(IF(ISNUMBER(INDEX(SPPR!$E:$X,MATCH($A268,SPPR!$A:$A,0),12)),$C268*INDEX(SPPR!$E:$X,MATCH($A268,SPPR!$A:$A,0),12),""),"")</f>
        <v/>
      </c>
      <c r="P268">
        <f>IFERROR(IF(ISNUMBER(INDEX(SPPR!$E:$X,MATCH($A268,SPPR!$A:$A,0),13)),$C268*INDEX(SPPR!$E:$X,MATCH($A268,SPPR!$A:$A,0),13),""),"")</f>
        <v/>
      </c>
      <c r="Q268">
        <f>IFERROR(IF(ISNUMBER(INDEX(SPPR!$E:$X,MATCH($A268,SPPR!$A:$A,0),14)),$C268*INDEX(SPPR!$E:$X,MATCH($A268,SPPR!$A:$A,0),14),""),"")</f>
        <v/>
      </c>
      <c r="R268">
        <f>IFERROR(IF(ISNUMBER(INDEX(SPPR!$E:$X,MATCH($A268,SPPR!$A:$A,0),15)),$C268*INDEX(SPPR!$E:$X,MATCH($A268,SPPR!$A:$A,0),15),""),"")</f>
        <v/>
      </c>
      <c r="S268">
        <f>IFERROR(IF(ISNUMBER(INDEX(SPPR!$E:$X,MATCH($A268,SPPR!$A:$A,0),16)),$C268*INDEX(SPPR!$E:$X,MATCH($A268,SPPR!$A:$A,0),16),""),"")</f>
        <v/>
      </c>
      <c r="T268">
        <f>IFERROR(IF(ISNUMBER(INDEX(SPPR!$E:$X,MATCH($A268,SPPR!$A:$A,0),17)),$C268*INDEX(SPPR!$E:$X,MATCH($A268,SPPR!$A:$A,0),17),""),"")</f>
        <v/>
      </c>
      <c r="U268">
        <f>IFERROR(IF(ISNUMBER(INDEX(SPPR!$E:$X,MATCH($A268,SPPR!$A:$A,0),18)),$C268*INDEX(SPPR!$E:$X,MATCH($A268,SPPR!$A:$A,0),18),""),"")</f>
        <v/>
      </c>
      <c r="V268">
        <f>IFERROR(IF(ISNUMBER(INDEX(SPPR!$E:$X,MATCH($A268,SPPR!$A:$A,0),19)),$C268*INDEX(SPPR!$E:$X,MATCH($A268,SPPR!$A:$A,0),19),""),"")</f>
        <v/>
      </c>
      <c r="W268">
        <f>IFERROR(IF(ISNUMBER(INDEX(SPPR!$E:$X,MATCH($A268,SPPR!$A:$A,0),20)),$C268*INDEX(SPPR!$E:$X,MATCH($A268,SPPR!$A:$A,0),20),""),"")</f>
        <v/>
      </c>
    </row>
    <row r="269">
      <c r="A269" t="inlineStr">
        <is>
          <t>Anomura</t>
        </is>
      </c>
      <c r="B269">
        <f>IFERROR(INDEX(SPPR!$D:$D,MATCH($A269,SPPR!$A:$A,0)),"")</f>
        <v/>
      </c>
      <c r="C269">
        <f>IFERROR(INDEX(Catch!$E:$BV,MATCH($A269,Catch!$A:$A,0),MATCH($B$4,Catch!$E$1:$BV$1,0)),0)</f>
        <v/>
      </c>
      <c r="D269">
        <f>IFERROR(IF(ISNUMBER(INDEX(SPPR!$E:$X,MATCH($A269,SPPR!$A:$A,0),1)),$C269*INDEX(SPPR!$E:$X,MATCH($A269,SPPR!$A:$A,0),1),""),"")</f>
        <v/>
      </c>
      <c r="E269">
        <f>IFERROR(IF(ISNUMBER(INDEX(SPPR!$E:$X,MATCH($A269,SPPR!$A:$A,0),2)),$C269*INDEX(SPPR!$E:$X,MATCH($A269,SPPR!$A:$A,0),2),""),"")</f>
        <v/>
      </c>
      <c r="F269">
        <f>IFERROR(IF(ISNUMBER(INDEX(SPPR!$E:$X,MATCH($A269,SPPR!$A:$A,0),3)),$C269*INDEX(SPPR!$E:$X,MATCH($A269,SPPR!$A:$A,0),3),""),"")</f>
        <v/>
      </c>
      <c r="G269">
        <f>IFERROR(IF(ISNUMBER(INDEX(SPPR!$E:$X,MATCH($A269,SPPR!$A:$A,0),4)),$C269*INDEX(SPPR!$E:$X,MATCH($A269,SPPR!$A:$A,0),4),""),"")</f>
        <v/>
      </c>
      <c r="H269">
        <f>IFERROR(IF(ISNUMBER(INDEX(SPPR!$E:$X,MATCH($A269,SPPR!$A:$A,0),5)),$C269*INDEX(SPPR!$E:$X,MATCH($A269,SPPR!$A:$A,0),5),""),"")</f>
        <v/>
      </c>
      <c r="I269">
        <f>IFERROR(IF(ISNUMBER(INDEX(SPPR!$E:$X,MATCH($A269,SPPR!$A:$A,0),6)),$C269*INDEX(SPPR!$E:$X,MATCH($A269,SPPR!$A:$A,0),6),""),"")</f>
        <v/>
      </c>
      <c r="J269">
        <f>IFERROR(IF(ISNUMBER(INDEX(SPPR!$E:$X,MATCH($A269,SPPR!$A:$A,0),7)),$C269*INDEX(SPPR!$E:$X,MATCH($A269,SPPR!$A:$A,0),7),""),"")</f>
        <v/>
      </c>
      <c r="K269">
        <f>IFERROR(IF(ISNUMBER(INDEX(SPPR!$E:$X,MATCH($A269,SPPR!$A:$A,0),8)),$C269*INDEX(SPPR!$E:$X,MATCH($A269,SPPR!$A:$A,0),8),""),"")</f>
        <v/>
      </c>
      <c r="L269">
        <f>IFERROR(IF(ISNUMBER(INDEX(SPPR!$E:$X,MATCH($A269,SPPR!$A:$A,0),9)),$C269*INDEX(SPPR!$E:$X,MATCH($A269,SPPR!$A:$A,0),9),""),"")</f>
        <v/>
      </c>
      <c r="M269">
        <f>IFERROR(IF(ISNUMBER(INDEX(SPPR!$E:$X,MATCH($A269,SPPR!$A:$A,0),10)),$C269*INDEX(SPPR!$E:$X,MATCH($A269,SPPR!$A:$A,0),10),""),"")</f>
        <v/>
      </c>
      <c r="N269">
        <f>IFERROR(IF(ISNUMBER(INDEX(SPPR!$E:$X,MATCH($A269,SPPR!$A:$A,0),11)),$C269*INDEX(SPPR!$E:$X,MATCH($A269,SPPR!$A:$A,0),11),""),"")</f>
        <v/>
      </c>
      <c r="O269">
        <f>IFERROR(IF(ISNUMBER(INDEX(SPPR!$E:$X,MATCH($A269,SPPR!$A:$A,0),12)),$C269*INDEX(SPPR!$E:$X,MATCH($A269,SPPR!$A:$A,0),12),""),"")</f>
        <v/>
      </c>
      <c r="P269">
        <f>IFERROR(IF(ISNUMBER(INDEX(SPPR!$E:$X,MATCH($A269,SPPR!$A:$A,0),13)),$C269*INDEX(SPPR!$E:$X,MATCH($A269,SPPR!$A:$A,0),13),""),"")</f>
        <v/>
      </c>
      <c r="Q269">
        <f>IFERROR(IF(ISNUMBER(INDEX(SPPR!$E:$X,MATCH($A269,SPPR!$A:$A,0),14)),$C269*INDEX(SPPR!$E:$X,MATCH($A269,SPPR!$A:$A,0),14),""),"")</f>
        <v/>
      </c>
      <c r="R269">
        <f>IFERROR(IF(ISNUMBER(INDEX(SPPR!$E:$X,MATCH($A269,SPPR!$A:$A,0),15)),$C269*INDEX(SPPR!$E:$X,MATCH($A269,SPPR!$A:$A,0),15),""),"")</f>
        <v/>
      </c>
      <c r="S269">
        <f>IFERROR(IF(ISNUMBER(INDEX(SPPR!$E:$X,MATCH($A269,SPPR!$A:$A,0),16)),$C269*INDEX(SPPR!$E:$X,MATCH($A269,SPPR!$A:$A,0),16),""),"")</f>
        <v/>
      </c>
      <c r="T269">
        <f>IFERROR(IF(ISNUMBER(INDEX(SPPR!$E:$X,MATCH($A269,SPPR!$A:$A,0),17)),$C269*INDEX(SPPR!$E:$X,MATCH($A269,SPPR!$A:$A,0),17),""),"")</f>
        <v/>
      </c>
      <c r="U269">
        <f>IFERROR(IF(ISNUMBER(INDEX(SPPR!$E:$X,MATCH($A269,SPPR!$A:$A,0),18)),$C269*INDEX(SPPR!$E:$X,MATCH($A269,SPPR!$A:$A,0),18),""),"")</f>
        <v/>
      </c>
      <c r="V269">
        <f>IFERROR(IF(ISNUMBER(INDEX(SPPR!$E:$X,MATCH($A269,SPPR!$A:$A,0),19)),$C269*INDEX(SPPR!$E:$X,MATCH($A269,SPPR!$A:$A,0),19),""),"")</f>
        <v/>
      </c>
      <c r="W269">
        <f>IFERROR(IF(ISNUMBER(INDEX(SPPR!$E:$X,MATCH($A269,SPPR!$A:$A,0),20)),$C269*INDEX(SPPR!$E:$X,MATCH($A269,SPPR!$A:$A,0),20),""),"")</f>
        <v/>
      </c>
    </row>
    <row r="270">
      <c r="A270" t="inlineStr">
        <is>
          <t>Lithodidae</t>
        </is>
      </c>
      <c r="B270">
        <f>IFERROR(INDEX(SPPR!$D:$D,MATCH($A270,SPPR!$A:$A,0)),"")</f>
        <v/>
      </c>
      <c r="C270">
        <f>IFERROR(INDEX(Catch!$E:$BV,MATCH($A270,Catch!$A:$A,0),MATCH($B$4,Catch!$E$1:$BV$1,0)),0)</f>
        <v/>
      </c>
      <c r="D270">
        <f>IFERROR(IF(ISNUMBER(INDEX(SPPR!$E:$X,MATCH($A270,SPPR!$A:$A,0),1)),$C270*INDEX(SPPR!$E:$X,MATCH($A270,SPPR!$A:$A,0),1),""),"")</f>
        <v/>
      </c>
      <c r="E270">
        <f>IFERROR(IF(ISNUMBER(INDEX(SPPR!$E:$X,MATCH($A270,SPPR!$A:$A,0),2)),$C270*INDEX(SPPR!$E:$X,MATCH($A270,SPPR!$A:$A,0),2),""),"")</f>
        <v/>
      </c>
      <c r="F270">
        <f>IFERROR(IF(ISNUMBER(INDEX(SPPR!$E:$X,MATCH($A270,SPPR!$A:$A,0),3)),$C270*INDEX(SPPR!$E:$X,MATCH($A270,SPPR!$A:$A,0),3),""),"")</f>
        <v/>
      </c>
      <c r="G270">
        <f>IFERROR(IF(ISNUMBER(INDEX(SPPR!$E:$X,MATCH($A270,SPPR!$A:$A,0),4)),$C270*INDEX(SPPR!$E:$X,MATCH($A270,SPPR!$A:$A,0),4),""),"")</f>
        <v/>
      </c>
      <c r="H270">
        <f>IFERROR(IF(ISNUMBER(INDEX(SPPR!$E:$X,MATCH($A270,SPPR!$A:$A,0),5)),$C270*INDEX(SPPR!$E:$X,MATCH($A270,SPPR!$A:$A,0),5),""),"")</f>
        <v/>
      </c>
      <c r="I270">
        <f>IFERROR(IF(ISNUMBER(INDEX(SPPR!$E:$X,MATCH($A270,SPPR!$A:$A,0),6)),$C270*INDEX(SPPR!$E:$X,MATCH($A270,SPPR!$A:$A,0),6),""),"")</f>
        <v/>
      </c>
      <c r="J270">
        <f>IFERROR(IF(ISNUMBER(INDEX(SPPR!$E:$X,MATCH($A270,SPPR!$A:$A,0),7)),$C270*INDEX(SPPR!$E:$X,MATCH($A270,SPPR!$A:$A,0),7),""),"")</f>
        <v/>
      </c>
      <c r="K270">
        <f>IFERROR(IF(ISNUMBER(INDEX(SPPR!$E:$X,MATCH($A270,SPPR!$A:$A,0),8)),$C270*INDEX(SPPR!$E:$X,MATCH($A270,SPPR!$A:$A,0),8),""),"")</f>
        <v/>
      </c>
      <c r="L270">
        <f>IFERROR(IF(ISNUMBER(INDEX(SPPR!$E:$X,MATCH($A270,SPPR!$A:$A,0),9)),$C270*INDEX(SPPR!$E:$X,MATCH($A270,SPPR!$A:$A,0),9),""),"")</f>
        <v/>
      </c>
      <c r="M270">
        <f>IFERROR(IF(ISNUMBER(INDEX(SPPR!$E:$X,MATCH($A270,SPPR!$A:$A,0),10)),$C270*INDEX(SPPR!$E:$X,MATCH($A270,SPPR!$A:$A,0),10),""),"")</f>
        <v/>
      </c>
      <c r="N270">
        <f>IFERROR(IF(ISNUMBER(INDEX(SPPR!$E:$X,MATCH($A270,SPPR!$A:$A,0),11)),$C270*INDEX(SPPR!$E:$X,MATCH($A270,SPPR!$A:$A,0),11),""),"")</f>
        <v/>
      </c>
      <c r="O270">
        <f>IFERROR(IF(ISNUMBER(INDEX(SPPR!$E:$X,MATCH($A270,SPPR!$A:$A,0),12)),$C270*INDEX(SPPR!$E:$X,MATCH($A270,SPPR!$A:$A,0),12),""),"")</f>
        <v/>
      </c>
      <c r="P270">
        <f>IFERROR(IF(ISNUMBER(INDEX(SPPR!$E:$X,MATCH($A270,SPPR!$A:$A,0),13)),$C270*INDEX(SPPR!$E:$X,MATCH($A270,SPPR!$A:$A,0),13),""),"")</f>
        <v/>
      </c>
      <c r="Q270">
        <f>IFERROR(IF(ISNUMBER(INDEX(SPPR!$E:$X,MATCH($A270,SPPR!$A:$A,0),14)),$C270*INDEX(SPPR!$E:$X,MATCH($A270,SPPR!$A:$A,0),14),""),"")</f>
        <v/>
      </c>
      <c r="R270">
        <f>IFERROR(IF(ISNUMBER(INDEX(SPPR!$E:$X,MATCH($A270,SPPR!$A:$A,0),15)),$C270*INDEX(SPPR!$E:$X,MATCH($A270,SPPR!$A:$A,0),15),""),"")</f>
        <v/>
      </c>
      <c r="S270">
        <f>IFERROR(IF(ISNUMBER(INDEX(SPPR!$E:$X,MATCH($A270,SPPR!$A:$A,0),16)),$C270*INDEX(SPPR!$E:$X,MATCH($A270,SPPR!$A:$A,0),16),""),"")</f>
        <v/>
      </c>
      <c r="T270">
        <f>IFERROR(IF(ISNUMBER(INDEX(SPPR!$E:$X,MATCH($A270,SPPR!$A:$A,0),17)),$C270*INDEX(SPPR!$E:$X,MATCH($A270,SPPR!$A:$A,0),17),""),"")</f>
        <v/>
      </c>
      <c r="U270">
        <f>IFERROR(IF(ISNUMBER(INDEX(SPPR!$E:$X,MATCH($A270,SPPR!$A:$A,0),18)),$C270*INDEX(SPPR!$E:$X,MATCH($A270,SPPR!$A:$A,0),18),""),"")</f>
        <v/>
      </c>
      <c r="V270">
        <f>IFERROR(IF(ISNUMBER(INDEX(SPPR!$E:$X,MATCH($A270,SPPR!$A:$A,0),19)),$C270*INDEX(SPPR!$E:$X,MATCH($A270,SPPR!$A:$A,0),19),""),"")</f>
        <v/>
      </c>
      <c r="W270">
        <f>IFERROR(IF(ISNUMBER(INDEX(SPPR!$E:$X,MATCH($A270,SPPR!$A:$A,0),20)),$C270*INDEX(SPPR!$E:$X,MATCH($A270,SPPR!$A:$A,0),20),""),"")</f>
        <v/>
      </c>
    </row>
    <row r="271">
      <c r="A271" t="inlineStr">
        <is>
          <t>Dalatias licha</t>
        </is>
      </c>
      <c r="B271">
        <f>IFERROR(INDEX(SPPR!$D:$D,MATCH($A271,SPPR!$A:$A,0)),"")</f>
        <v/>
      </c>
      <c r="C271">
        <f>IFERROR(INDEX(Catch!$E:$BV,MATCH($A271,Catch!$A:$A,0),MATCH($B$4,Catch!$E$1:$BV$1,0)),0)</f>
        <v/>
      </c>
      <c r="D271">
        <f>IFERROR(IF(ISNUMBER(INDEX(SPPR!$E:$X,MATCH($A271,SPPR!$A:$A,0),1)),$C271*INDEX(SPPR!$E:$X,MATCH($A271,SPPR!$A:$A,0),1),""),"")</f>
        <v/>
      </c>
      <c r="E271">
        <f>IFERROR(IF(ISNUMBER(INDEX(SPPR!$E:$X,MATCH($A271,SPPR!$A:$A,0),2)),$C271*INDEX(SPPR!$E:$X,MATCH($A271,SPPR!$A:$A,0),2),""),"")</f>
        <v/>
      </c>
      <c r="F271">
        <f>IFERROR(IF(ISNUMBER(INDEX(SPPR!$E:$X,MATCH($A271,SPPR!$A:$A,0),3)),$C271*INDEX(SPPR!$E:$X,MATCH($A271,SPPR!$A:$A,0),3),""),"")</f>
        <v/>
      </c>
      <c r="G271">
        <f>IFERROR(IF(ISNUMBER(INDEX(SPPR!$E:$X,MATCH($A271,SPPR!$A:$A,0),4)),$C271*INDEX(SPPR!$E:$X,MATCH($A271,SPPR!$A:$A,0),4),""),"")</f>
        <v/>
      </c>
      <c r="H271">
        <f>IFERROR(IF(ISNUMBER(INDEX(SPPR!$E:$X,MATCH($A271,SPPR!$A:$A,0),5)),$C271*INDEX(SPPR!$E:$X,MATCH($A271,SPPR!$A:$A,0),5),""),"")</f>
        <v/>
      </c>
      <c r="I271">
        <f>IFERROR(IF(ISNUMBER(INDEX(SPPR!$E:$X,MATCH($A271,SPPR!$A:$A,0),6)),$C271*INDEX(SPPR!$E:$X,MATCH($A271,SPPR!$A:$A,0),6),""),"")</f>
        <v/>
      </c>
      <c r="J271">
        <f>IFERROR(IF(ISNUMBER(INDEX(SPPR!$E:$X,MATCH($A271,SPPR!$A:$A,0),7)),$C271*INDEX(SPPR!$E:$X,MATCH($A271,SPPR!$A:$A,0),7),""),"")</f>
        <v/>
      </c>
      <c r="K271">
        <f>IFERROR(IF(ISNUMBER(INDEX(SPPR!$E:$X,MATCH($A271,SPPR!$A:$A,0),8)),$C271*INDEX(SPPR!$E:$X,MATCH($A271,SPPR!$A:$A,0),8),""),"")</f>
        <v/>
      </c>
      <c r="L271">
        <f>IFERROR(IF(ISNUMBER(INDEX(SPPR!$E:$X,MATCH($A271,SPPR!$A:$A,0),9)),$C271*INDEX(SPPR!$E:$X,MATCH($A271,SPPR!$A:$A,0),9),""),"")</f>
        <v/>
      </c>
      <c r="M271">
        <f>IFERROR(IF(ISNUMBER(INDEX(SPPR!$E:$X,MATCH($A271,SPPR!$A:$A,0),10)),$C271*INDEX(SPPR!$E:$X,MATCH($A271,SPPR!$A:$A,0),10),""),"")</f>
        <v/>
      </c>
      <c r="N271">
        <f>IFERROR(IF(ISNUMBER(INDEX(SPPR!$E:$X,MATCH($A271,SPPR!$A:$A,0),11)),$C271*INDEX(SPPR!$E:$X,MATCH($A271,SPPR!$A:$A,0),11),""),"")</f>
        <v/>
      </c>
      <c r="O271">
        <f>IFERROR(IF(ISNUMBER(INDEX(SPPR!$E:$X,MATCH($A271,SPPR!$A:$A,0),12)),$C271*INDEX(SPPR!$E:$X,MATCH($A271,SPPR!$A:$A,0),12),""),"")</f>
        <v/>
      </c>
      <c r="P271">
        <f>IFERROR(IF(ISNUMBER(INDEX(SPPR!$E:$X,MATCH($A271,SPPR!$A:$A,0),13)),$C271*INDEX(SPPR!$E:$X,MATCH($A271,SPPR!$A:$A,0),13),""),"")</f>
        <v/>
      </c>
      <c r="Q271">
        <f>IFERROR(IF(ISNUMBER(INDEX(SPPR!$E:$X,MATCH($A271,SPPR!$A:$A,0),14)),$C271*INDEX(SPPR!$E:$X,MATCH($A271,SPPR!$A:$A,0),14),""),"")</f>
        <v/>
      </c>
      <c r="R271">
        <f>IFERROR(IF(ISNUMBER(INDEX(SPPR!$E:$X,MATCH($A271,SPPR!$A:$A,0),15)),$C271*INDEX(SPPR!$E:$X,MATCH($A271,SPPR!$A:$A,0),15),""),"")</f>
        <v/>
      </c>
      <c r="S271">
        <f>IFERROR(IF(ISNUMBER(INDEX(SPPR!$E:$X,MATCH($A271,SPPR!$A:$A,0),16)),$C271*INDEX(SPPR!$E:$X,MATCH($A271,SPPR!$A:$A,0),16),""),"")</f>
        <v/>
      </c>
      <c r="T271">
        <f>IFERROR(IF(ISNUMBER(INDEX(SPPR!$E:$X,MATCH($A271,SPPR!$A:$A,0),17)),$C271*INDEX(SPPR!$E:$X,MATCH($A271,SPPR!$A:$A,0),17),""),"")</f>
        <v/>
      </c>
      <c r="U271">
        <f>IFERROR(IF(ISNUMBER(INDEX(SPPR!$E:$X,MATCH($A271,SPPR!$A:$A,0),18)),$C271*INDEX(SPPR!$E:$X,MATCH($A271,SPPR!$A:$A,0),18),""),"")</f>
        <v/>
      </c>
      <c r="V271">
        <f>IFERROR(IF(ISNUMBER(INDEX(SPPR!$E:$X,MATCH($A271,SPPR!$A:$A,0),19)),$C271*INDEX(SPPR!$E:$X,MATCH($A271,SPPR!$A:$A,0),19),""),"")</f>
        <v/>
      </c>
      <c r="W271">
        <f>IFERROR(IF(ISNUMBER(INDEX(SPPR!$E:$X,MATCH($A271,SPPR!$A:$A,0),20)),$C271*INDEX(SPPR!$E:$X,MATCH($A271,SPPR!$A:$A,0),20),""),"")</f>
        <v/>
      </c>
    </row>
    <row r="272">
      <c r="A272" t="inlineStr">
        <is>
          <t>Microchirus variegatus</t>
        </is>
      </c>
      <c r="B272">
        <f>IFERROR(INDEX(SPPR!$D:$D,MATCH($A272,SPPR!$A:$A,0)),"")</f>
        <v/>
      </c>
      <c r="C272">
        <f>IFERROR(INDEX(Catch!$E:$BV,MATCH($A272,Catch!$A:$A,0),MATCH($B$4,Catch!$E$1:$BV$1,0)),0)</f>
        <v/>
      </c>
      <c r="D272">
        <f>IFERROR(IF(ISNUMBER(INDEX(SPPR!$E:$X,MATCH($A272,SPPR!$A:$A,0),1)),$C272*INDEX(SPPR!$E:$X,MATCH($A272,SPPR!$A:$A,0),1),""),"")</f>
        <v/>
      </c>
      <c r="E272">
        <f>IFERROR(IF(ISNUMBER(INDEX(SPPR!$E:$X,MATCH($A272,SPPR!$A:$A,0),2)),$C272*INDEX(SPPR!$E:$X,MATCH($A272,SPPR!$A:$A,0),2),""),"")</f>
        <v/>
      </c>
      <c r="F272">
        <f>IFERROR(IF(ISNUMBER(INDEX(SPPR!$E:$X,MATCH($A272,SPPR!$A:$A,0),3)),$C272*INDEX(SPPR!$E:$X,MATCH($A272,SPPR!$A:$A,0),3),""),"")</f>
        <v/>
      </c>
      <c r="G272">
        <f>IFERROR(IF(ISNUMBER(INDEX(SPPR!$E:$X,MATCH($A272,SPPR!$A:$A,0),4)),$C272*INDEX(SPPR!$E:$X,MATCH($A272,SPPR!$A:$A,0),4),""),"")</f>
        <v/>
      </c>
      <c r="H272">
        <f>IFERROR(IF(ISNUMBER(INDEX(SPPR!$E:$X,MATCH($A272,SPPR!$A:$A,0),5)),$C272*INDEX(SPPR!$E:$X,MATCH($A272,SPPR!$A:$A,0),5),""),"")</f>
        <v/>
      </c>
      <c r="I272">
        <f>IFERROR(IF(ISNUMBER(INDEX(SPPR!$E:$X,MATCH($A272,SPPR!$A:$A,0),6)),$C272*INDEX(SPPR!$E:$X,MATCH($A272,SPPR!$A:$A,0),6),""),"")</f>
        <v/>
      </c>
      <c r="J272">
        <f>IFERROR(IF(ISNUMBER(INDEX(SPPR!$E:$X,MATCH($A272,SPPR!$A:$A,0),7)),$C272*INDEX(SPPR!$E:$X,MATCH($A272,SPPR!$A:$A,0),7),""),"")</f>
        <v/>
      </c>
      <c r="K272">
        <f>IFERROR(IF(ISNUMBER(INDEX(SPPR!$E:$X,MATCH($A272,SPPR!$A:$A,0),8)),$C272*INDEX(SPPR!$E:$X,MATCH($A272,SPPR!$A:$A,0),8),""),"")</f>
        <v/>
      </c>
      <c r="L272">
        <f>IFERROR(IF(ISNUMBER(INDEX(SPPR!$E:$X,MATCH($A272,SPPR!$A:$A,0),9)),$C272*INDEX(SPPR!$E:$X,MATCH($A272,SPPR!$A:$A,0),9),""),"")</f>
        <v/>
      </c>
      <c r="M272">
        <f>IFERROR(IF(ISNUMBER(INDEX(SPPR!$E:$X,MATCH($A272,SPPR!$A:$A,0),10)),$C272*INDEX(SPPR!$E:$X,MATCH($A272,SPPR!$A:$A,0),10),""),"")</f>
        <v/>
      </c>
      <c r="N272">
        <f>IFERROR(IF(ISNUMBER(INDEX(SPPR!$E:$X,MATCH($A272,SPPR!$A:$A,0),11)),$C272*INDEX(SPPR!$E:$X,MATCH($A272,SPPR!$A:$A,0),11),""),"")</f>
        <v/>
      </c>
      <c r="O272">
        <f>IFERROR(IF(ISNUMBER(INDEX(SPPR!$E:$X,MATCH($A272,SPPR!$A:$A,0),12)),$C272*INDEX(SPPR!$E:$X,MATCH($A272,SPPR!$A:$A,0),12),""),"")</f>
        <v/>
      </c>
      <c r="P272">
        <f>IFERROR(IF(ISNUMBER(INDEX(SPPR!$E:$X,MATCH($A272,SPPR!$A:$A,0),13)),$C272*INDEX(SPPR!$E:$X,MATCH($A272,SPPR!$A:$A,0),13),""),"")</f>
        <v/>
      </c>
      <c r="Q272">
        <f>IFERROR(IF(ISNUMBER(INDEX(SPPR!$E:$X,MATCH($A272,SPPR!$A:$A,0),14)),$C272*INDEX(SPPR!$E:$X,MATCH($A272,SPPR!$A:$A,0),14),""),"")</f>
        <v/>
      </c>
      <c r="R272">
        <f>IFERROR(IF(ISNUMBER(INDEX(SPPR!$E:$X,MATCH($A272,SPPR!$A:$A,0),15)),$C272*INDEX(SPPR!$E:$X,MATCH($A272,SPPR!$A:$A,0),15),""),"")</f>
        <v/>
      </c>
      <c r="S272">
        <f>IFERROR(IF(ISNUMBER(INDEX(SPPR!$E:$X,MATCH($A272,SPPR!$A:$A,0),16)),$C272*INDEX(SPPR!$E:$X,MATCH($A272,SPPR!$A:$A,0),16),""),"")</f>
        <v/>
      </c>
      <c r="T272">
        <f>IFERROR(IF(ISNUMBER(INDEX(SPPR!$E:$X,MATCH($A272,SPPR!$A:$A,0),17)),$C272*INDEX(SPPR!$E:$X,MATCH($A272,SPPR!$A:$A,0),17),""),"")</f>
        <v/>
      </c>
      <c r="U272">
        <f>IFERROR(IF(ISNUMBER(INDEX(SPPR!$E:$X,MATCH($A272,SPPR!$A:$A,0),18)),$C272*INDEX(SPPR!$E:$X,MATCH($A272,SPPR!$A:$A,0),18),""),"")</f>
        <v/>
      </c>
      <c r="V272">
        <f>IFERROR(IF(ISNUMBER(INDEX(SPPR!$E:$X,MATCH($A272,SPPR!$A:$A,0),19)),$C272*INDEX(SPPR!$E:$X,MATCH($A272,SPPR!$A:$A,0),19),""),"")</f>
        <v/>
      </c>
      <c r="W272">
        <f>IFERROR(IF(ISNUMBER(INDEX(SPPR!$E:$X,MATCH($A272,SPPR!$A:$A,0),20)),$C272*INDEX(SPPR!$E:$X,MATCH($A272,SPPR!$A:$A,0),20),""),"")</f>
        <v/>
      </c>
    </row>
    <row r="273">
      <c r="A273" t="inlineStr">
        <is>
          <t>Amblyraja hyperborea</t>
        </is>
      </c>
      <c r="B273">
        <f>IFERROR(INDEX(SPPR!$D:$D,MATCH($A273,SPPR!$A:$A,0)),"")</f>
        <v/>
      </c>
      <c r="C273">
        <f>IFERROR(INDEX(Catch!$E:$BV,MATCH($A273,Catch!$A:$A,0),MATCH($B$4,Catch!$E$1:$BV$1,0)),0)</f>
        <v/>
      </c>
      <c r="D273">
        <f>IFERROR(IF(ISNUMBER(INDEX(SPPR!$E:$X,MATCH($A273,SPPR!$A:$A,0),1)),$C273*INDEX(SPPR!$E:$X,MATCH($A273,SPPR!$A:$A,0),1),""),"")</f>
        <v/>
      </c>
      <c r="E273">
        <f>IFERROR(IF(ISNUMBER(INDEX(SPPR!$E:$X,MATCH($A273,SPPR!$A:$A,0),2)),$C273*INDEX(SPPR!$E:$X,MATCH($A273,SPPR!$A:$A,0),2),""),"")</f>
        <v/>
      </c>
      <c r="F273">
        <f>IFERROR(IF(ISNUMBER(INDEX(SPPR!$E:$X,MATCH($A273,SPPR!$A:$A,0),3)),$C273*INDEX(SPPR!$E:$X,MATCH($A273,SPPR!$A:$A,0),3),""),"")</f>
        <v/>
      </c>
      <c r="G273">
        <f>IFERROR(IF(ISNUMBER(INDEX(SPPR!$E:$X,MATCH($A273,SPPR!$A:$A,0),4)),$C273*INDEX(SPPR!$E:$X,MATCH($A273,SPPR!$A:$A,0),4),""),"")</f>
        <v/>
      </c>
      <c r="H273">
        <f>IFERROR(IF(ISNUMBER(INDEX(SPPR!$E:$X,MATCH($A273,SPPR!$A:$A,0),5)),$C273*INDEX(SPPR!$E:$X,MATCH($A273,SPPR!$A:$A,0),5),""),"")</f>
        <v/>
      </c>
      <c r="I273">
        <f>IFERROR(IF(ISNUMBER(INDEX(SPPR!$E:$X,MATCH($A273,SPPR!$A:$A,0),6)),$C273*INDEX(SPPR!$E:$X,MATCH($A273,SPPR!$A:$A,0),6),""),"")</f>
        <v/>
      </c>
      <c r="J273">
        <f>IFERROR(IF(ISNUMBER(INDEX(SPPR!$E:$X,MATCH($A273,SPPR!$A:$A,0),7)),$C273*INDEX(SPPR!$E:$X,MATCH($A273,SPPR!$A:$A,0),7),""),"")</f>
        <v/>
      </c>
      <c r="K273">
        <f>IFERROR(IF(ISNUMBER(INDEX(SPPR!$E:$X,MATCH($A273,SPPR!$A:$A,0),8)),$C273*INDEX(SPPR!$E:$X,MATCH($A273,SPPR!$A:$A,0),8),""),"")</f>
        <v/>
      </c>
      <c r="L273">
        <f>IFERROR(IF(ISNUMBER(INDEX(SPPR!$E:$X,MATCH($A273,SPPR!$A:$A,0),9)),$C273*INDEX(SPPR!$E:$X,MATCH($A273,SPPR!$A:$A,0),9),""),"")</f>
        <v/>
      </c>
      <c r="M273">
        <f>IFERROR(IF(ISNUMBER(INDEX(SPPR!$E:$X,MATCH($A273,SPPR!$A:$A,0),10)),$C273*INDEX(SPPR!$E:$X,MATCH($A273,SPPR!$A:$A,0),10),""),"")</f>
        <v/>
      </c>
      <c r="N273">
        <f>IFERROR(IF(ISNUMBER(INDEX(SPPR!$E:$X,MATCH($A273,SPPR!$A:$A,0),11)),$C273*INDEX(SPPR!$E:$X,MATCH($A273,SPPR!$A:$A,0),11),""),"")</f>
        <v/>
      </c>
      <c r="O273">
        <f>IFERROR(IF(ISNUMBER(INDEX(SPPR!$E:$X,MATCH($A273,SPPR!$A:$A,0),12)),$C273*INDEX(SPPR!$E:$X,MATCH($A273,SPPR!$A:$A,0),12),""),"")</f>
        <v/>
      </c>
      <c r="P273">
        <f>IFERROR(IF(ISNUMBER(INDEX(SPPR!$E:$X,MATCH($A273,SPPR!$A:$A,0),13)),$C273*INDEX(SPPR!$E:$X,MATCH($A273,SPPR!$A:$A,0),13),""),"")</f>
        <v/>
      </c>
      <c r="Q273">
        <f>IFERROR(IF(ISNUMBER(INDEX(SPPR!$E:$X,MATCH($A273,SPPR!$A:$A,0),14)),$C273*INDEX(SPPR!$E:$X,MATCH($A273,SPPR!$A:$A,0),14),""),"")</f>
        <v/>
      </c>
      <c r="R273">
        <f>IFERROR(IF(ISNUMBER(INDEX(SPPR!$E:$X,MATCH($A273,SPPR!$A:$A,0),15)),$C273*INDEX(SPPR!$E:$X,MATCH($A273,SPPR!$A:$A,0),15),""),"")</f>
        <v/>
      </c>
      <c r="S273">
        <f>IFERROR(IF(ISNUMBER(INDEX(SPPR!$E:$X,MATCH($A273,SPPR!$A:$A,0),16)),$C273*INDEX(SPPR!$E:$X,MATCH($A273,SPPR!$A:$A,0),16),""),"")</f>
        <v/>
      </c>
      <c r="T273">
        <f>IFERROR(IF(ISNUMBER(INDEX(SPPR!$E:$X,MATCH($A273,SPPR!$A:$A,0),17)),$C273*INDEX(SPPR!$E:$X,MATCH($A273,SPPR!$A:$A,0),17),""),"")</f>
        <v/>
      </c>
      <c r="U273">
        <f>IFERROR(IF(ISNUMBER(INDEX(SPPR!$E:$X,MATCH($A273,SPPR!$A:$A,0),18)),$C273*INDEX(SPPR!$E:$X,MATCH($A273,SPPR!$A:$A,0),18),""),"")</f>
        <v/>
      </c>
      <c r="V273">
        <f>IFERROR(IF(ISNUMBER(INDEX(SPPR!$E:$X,MATCH($A273,SPPR!$A:$A,0),19)),$C273*INDEX(SPPR!$E:$X,MATCH($A273,SPPR!$A:$A,0),19),""),"")</f>
        <v/>
      </c>
      <c r="W273">
        <f>IFERROR(IF(ISNUMBER(INDEX(SPPR!$E:$X,MATCH($A273,SPPR!$A:$A,0),20)),$C273*INDEX(SPPR!$E:$X,MATCH($A273,SPPR!$A:$A,0),20),""),"")</f>
        <v/>
      </c>
    </row>
    <row r="274">
      <c r="A274" t="inlineStr">
        <is>
          <t>Centrophorus squamosus</t>
        </is>
      </c>
      <c r="B274">
        <f>IFERROR(INDEX(SPPR!$D:$D,MATCH($A274,SPPR!$A:$A,0)),"")</f>
        <v/>
      </c>
      <c r="C274">
        <f>IFERROR(INDEX(Catch!$E:$BV,MATCH($A274,Catch!$A:$A,0),MATCH($B$4,Catch!$E$1:$BV$1,0)),0)</f>
        <v/>
      </c>
      <c r="D274">
        <f>IFERROR(IF(ISNUMBER(INDEX(SPPR!$E:$X,MATCH($A274,SPPR!$A:$A,0),1)),$C274*INDEX(SPPR!$E:$X,MATCH($A274,SPPR!$A:$A,0),1),""),"")</f>
        <v/>
      </c>
      <c r="E274">
        <f>IFERROR(IF(ISNUMBER(INDEX(SPPR!$E:$X,MATCH($A274,SPPR!$A:$A,0),2)),$C274*INDEX(SPPR!$E:$X,MATCH($A274,SPPR!$A:$A,0),2),""),"")</f>
        <v/>
      </c>
      <c r="F274">
        <f>IFERROR(IF(ISNUMBER(INDEX(SPPR!$E:$X,MATCH($A274,SPPR!$A:$A,0),3)),$C274*INDEX(SPPR!$E:$X,MATCH($A274,SPPR!$A:$A,0),3),""),"")</f>
        <v/>
      </c>
      <c r="G274">
        <f>IFERROR(IF(ISNUMBER(INDEX(SPPR!$E:$X,MATCH($A274,SPPR!$A:$A,0),4)),$C274*INDEX(SPPR!$E:$X,MATCH($A274,SPPR!$A:$A,0),4),""),"")</f>
        <v/>
      </c>
      <c r="H274">
        <f>IFERROR(IF(ISNUMBER(INDEX(SPPR!$E:$X,MATCH($A274,SPPR!$A:$A,0),5)),$C274*INDEX(SPPR!$E:$X,MATCH($A274,SPPR!$A:$A,0),5),""),"")</f>
        <v/>
      </c>
      <c r="I274">
        <f>IFERROR(IF(ISNUMBER(INDEX(SPPR!$E:$X,MATCH($A274,SPPR!$A:$A,0),6)),$C274*INDEX(SPPR!$E:$X,MATCH($A274,SPPR!$A:$A,0),6),""),"")</f>
        <v/>
      </c>
      <c r="J274">
        <f>IFERROR(IF(ISNUMBER(INDEX(SPPR!$E:$X,MATCH($A274,SPPR!$A:$A,0),7)),$C274*INDEX(SPPR!$E:$X,MATCH($A274,SPPR!$A:$A,0),7),""),"")</f>
        <v/>
      </c>
      <c r="K274">
        <f>IFERROR(IF(ISNUMBER(INDEX(SPPR!$E:$X,MATCH($A274,SPPR!$A:$A,0),8)),$C274*INDEX(SPPR!$E:$X,MATCH($A274,SPPR!$A:$A,0),8),""),"")</f>
        <v/>
      </c>
      <c r="L274">
        <f>IFERROR(IF(ISNUMBER(INDEX(SPPR!$E:$X,MATCH($A274,SPPR!$A:$A,0),9)),$C274*INDEX(SPPR!$E:$X,MATCH($A274,SPPR!$A:$A,0),9),""),"")</f>
        <v/>
      </c>
      <c r="M274">
        <f>IFERROR(IF(ISNUMBER(INDEX(SPPR!$E:$X,MATCH($A274,SPPR!$A:$A,0),10)),$C274*INDEX(SPPR!$E:$X,MATCH($A274,SPPR!$A:$A,0),10),""),"")</f>
        <v/>
      </c>
      <c r="N274">
        <f>IFERROR(IF(ISNUMBER(INDEX(SPPR!$E:$X,MATCH($A274,SPPR!$A:$A,0),11)),$C274*INDEX(SPPR!$E:$X,MATCH($A274,SPPR!$A:$A,0),11),""),"")</f>
        <v/>
      </c>
      <c r="O274">
        <f>IFERROR(IF(ISNUMBER(INDEX(SPPR!$E:$X,MATCH($A274,SPPR!$A:$A,0),12)),$C274*INDEX(SPPR!$E:$X,MATCH($A274,SPPR!$A:$A,0),12),""),"")</f>
        <v/>
      </c>
      <c r="P274">
        <f>IFERROR(IF(ISNUMBER(INDEX(SPPR!$E:$X,MATCH($A274,SPPR!$A:$A,0),13)),$C274*INDEX(SPPR!$E:$X,MATCH($A274,SPPR!$A:$A,0),13),""),"")</f>
        <v/>
      </c>
      <c r="Q274">
        <f>IFERROR(IF(ISNUMBER(INDEX(SPPR!$E:$X,MATCH($A274,SPPR!$A:$A,0),14)),$C274*INDEX(SPPR!$E:$X,MATCH($A274,SPPR!$A:$A,0),14),""),"")</f>
        <v/>
      </c>
      <c r="R274">
        <f>IFERROR(IF(ISNUMBER(INDEX(SPPR!$E:$X,MATCH($A274,SPPR!$A:$A,0),15)),$C274*INDEX(SPPR!$E:$X,MATCH($A274,SPPR!$A:$A,0),15),""),"")</f>
        <v/>
      </c>
      <c r="S274">
        <f>IFERROR(IF(ISNUMBER(INDEX(SPPR!$E:$X,MATCH($A274,SPPR!$A:$A,0),16)),$C274*INDEX(SPPR!$E:$X,MATCH($A274,SPPR!$A:$A,0),16),""),"")</f>
        <v/>
      </c>
      <c r="T274">
        <f>IFERROR(IF(ISNUMBER(INDEX(SPPR!$E:$X,MATCH($A274,SPPR!$A:$A,0),17)),$C274*INDEX(SPPR!$E:$X,MATCH($A274,SPPR!$A:$A,0),17),""),"")</f>
        <v/>
      </c>
      <c r="U274">
        <f>IFERROR(IF(ISNUMBER(INDEX(SPPR!$E:$X,MATCH($A274,SPPR!$A:$A,0),18)),$C274*INDEX(SPPR!$E:$X,MATCH($A274,SPPR!$A:$A,0),18),""),"")</f>
        <v/>
      </c>
      <c r="V274">
        <f>IFERROR(IF(ISNUMBER(INDEX(SPPR!$E:$X,MATCH($A274,SPPR!$A:$A,0),19)),$C274*INDEX(SPPR!$E:$X,MATCH($A274,SPPR!$A:$A,0),19),""),"")</f>
        <v/>
      </c>
      <c r="W274">
        <f>IFERROR(IF(ISNUMBER(INDEX(SPPR!$E:$X,MATCH($A274,SPPR!$A:$A,0),20)),$C274*INDEX(SPPR!$E:$X,MATCH($A274,SPPR!$A:$A,0),20),""),"")</f>
        <v/>
      </c>
    </row>
    <row r="275">
      <c r="A275" t="inlineStr">
        <is>
          <t>Etmopterus spinax</t>
        </is>
      </c>
      <c r="B275">
        <f>IFERROR(INDEX(SPPR!$D:$D,MATCH($A275,SPPR!$A:$A,0)),"")</f>
        <v/>
      </c>
      <c r="C275">
        <f>IFERROR(INDEX(Catch!$E:$BV,MATCH($A275,Catch!$A:$A,0),MATCH($B$4,Catch!$E$1:$BV$1,0)),0)</f>
        <v/>
      </c>
      <c r="D275">
        <f>IFERROR(IF(ISNUMBER(INDEX(SPPR!$E:$X,MATCH($A275,SPPR!$A:$A,0),1)),$C275*INDEX(SPPR!$E:$X,MATCH($A275,SPPR!$A:$A,0),1),""),"")</f>
        <v/>
      </c>
      <c r="E275">
        <f>IFERROR(IF(ISNUMBER(INDEX(SPPR!$E:$X,MATCH($A275,SPPR!$A:$A,0),2)),$C275*INDEX(SPPR!$E:$X,MATCH($A275,SPPR!$A:$A,0),2),""),"")</f>
        <v/>
      </c>
      <c r="F275">
        <f>IFERROR(IF(ISNUMBER(INDEX(SPPR!$E:$X,MATCH($A275,SPPR!$A:$A,0),3)),$C275*INDEX(SPPR!$E:$X,MATCH($A275,SPPR!$A:$A,0),3),""),"")</f>
        <v/>
      </c>
      <c r="G275">
        <f>IFERROR(IF(ISNUMBER(INDEX(SPPR!$E:$X,MATCH($A275,SPPR!$A:$A,0),4)),$C275*INDEX(SPPR!$E:$X,MATCH($A275,SPPR!$A:$A,0),4),""),"")</f>
        <v/>
      </c>
      <c r="H275">
        <f>IFERROR(IF(ISNUMBER(INDEX(SPPR!$E:$X,MATCH($A275,SPPR!$A:$A,0),5)),$C275*INDEX(SPPR!$E:$X,MATCH($A275,SPPR!$A:$A,0),5),""),"")</f>
        <v/>
      </c>
      <c r="I275">
        <f>IFERROR(IF(ISNUMBER(INDEX(SPPR!$E:$X,MATCH($A275,SPPR!$A:$A,0),6)),$C275*INDEX(SPPR!$E:$X,MATCH($A275,SPPR!$A:$A,0),6),""),"")</f>
        <v/>
      </c>
      <c r="J275">
        <f>IFERROR(IF(ISNUMBER(INDEX(SPPR!$E:$X,MATCH($A275,SPPR!$A:$A,0),7)),$C275*INDEX(SPPR!$E:$X,MATCH($A275,SPPR!$A:$A,0),7),""),"")</f>
        <v/>
      </c>
      <c r="K275">
        <f>IFERROR(IF(ISNUMBER(INDEX(SPPR!$E:$X,MATCH($A275,SPPR!$A:$A,0),8)),$C275*INDEX(SPPR!$E:$X,MATCH($A275,SPPR!$A:$A,0),8),""),"")</f>
        <v/>
      </c>
      <c r="L275">
        <f>IFERROR(IF(ISNUMBER(INDEX(SPPR!$E:$X,MATCH($A275,SPPR!$A:$A,0),9)),$C275*INDEX(SPPR!$E:$X,MATCH($A275,SPPR!$A:$A,0),9),""),"")</f>
        <v/>
      </c>
      <c r="M275">
        <f>IFERROR(IF(ISNUMBER(INDEX(SPPR!$E:$X,MATCH($A275,SPPR!$A:$A,0),10)),$C275*INDEX(SPPR!$E:$X,MATCH($A275,SPPR!$A:$A,0),10),""),"")</f>
        <v/>
      </c>
      <c r="N275">
        <f>IFERROR(IF(ISNUMBER(INDEX(SPPR!$E:$X,MATCH($A275,SPPR!$A:$A,0),11)),$C275*INDEX(SPPR!$E:$X,MATCH($A275,SPPR!$A:$A,0),11),""),"")</f>
        <v/>
      </c>
      <c r="O275">
        <f>IFERROR(IF(ISNUMBER(INDEX(SPPR!$E:$X,MATCH($A275,SPPR!$A:$A,0),12)),$C275*INDEX(SPPR!$E:$X,MATCH($A275,SPPR!$A:$A,0),12),""),"")</f>
        <v/>
      </c>
      <c r="P275">
        <f>IFERROR(IF(ISNUMBER(INDEX(SPPR!$E:$X,MATCH($A275,SPPR!$A:$A,0),13)),$C275*INDEX(SPPR!$E:$X,MATCH($A275,SPPR!$A:$A,0),13),""),"")</f>
        <v/>
      </c>
      <c r="Q275">
        <f>IFERROR(IF(ISNUMBER(INDEX(SPPR!$E:$X,MATCH($A275,SPPR!$A:$A,0),14)),$C275*INDEX(SPPR!$E:$X,MATCH($A275,SPPR!$A:$A,0),14),""),"")</f>
        <v/>
      </c>
      <c r="R275">
        <f>IFERROR(IF(ISNUMBER(INDEX(SPPR!$E:$X,MATCH($A275,SPPR!$A:$A,0),15)),$C275*INDEX(SPPR!$E:$X,MATCH($A275,SPPR!$A:$A,0),15),""),"")</f>
        <v/>
      </c>
      <c r="S275">
        <f>IFERROR(IF(ISNUMBER(INDEX(SPPR!$E:$X,MATCH($A275,SPPR!$A:$A,0),16)),$C275*INDEX(SPPR!$E:$X,MATCH($A275,SPPR!$A:$A,0),16),""),"")</f>
        <v/>
      </c>
      <c r="T275">
        <f>IFERROR(IF(ISNUMBER(INDEX(SPPR!$E:$X,MATCH($A275,SPPR!$A:$A,0),17)),$C275*INDEX(SPPR!$E:$X,MATCH($A275,SPPR!$A:$A,0),17),""),"")</f>
        <v/>
      </c>
      <c r="U275">
        <f>IFERROR(IF(ISNUMBER(INDEX(SPPR!$E:$X,MATCH($A275,SPPR!$A:$A,0),18)),$C275*INDEX(SPPR!$E:$X,MATCH($A275,SPPR!$A:$A,0),18),""),"")</f>
        <v/>
      </c>
      <c r="V275">
        <f>IFERROR(IF(ISNUMBER(INDEX(SPPR!$E:$X,MATCH($A275,SPPR!$A:$A,0),19)),$C275*INDEX(SPPR!$E:$X,MATCH($A275,SPPR!$A:$A,0),19),""),"")</f>
        <v/>
      </c>
      <c r="W275">
        <f>IFERROR(IF(ISNUMBER(INDEX(SPPR!$E:$X,MATCH($A275,SPPR!$A:$A,0),20)),$C275*INDEX(SPPR!$E:$X,MATCH($A275,SPPR!$A:$A,0),20),""),"")</f>
        <v/>
      </c>
    </row>
    <row r="276">
      <c r="A276" t="inlineStr">
        <is>
          <t>Lepidopus caudatus</t>
        </is>
      </c>
      <c r="B276">
        <f>IFERROR(INDEX(SPPR!$D:$D,MATCH($A276,SPPR!$A:$A,0)),"")</f>
        <v/>
      </c>
      <c r="C276">
        <f>IFERROR(INDEX(Catch!$E:$BV,MATCH($A276,Catch!$A:$A,0),MATCH($B$4,Catch!$E$1:$BV$1,0)),0)</f>
        <v/>
      </c>
      <c r="D276">
        <f>IFERROR(IF(ISNUMBER(INDEX(SPPR!$E:$X,MATCH($A276,SPPR!$A:$A,0),1)),$C276*INDEX(SPPR!$E:$X,MATCH($A276,SPPR!$A:$A,0),1),""),"")</f>
        <v/>
      </c>
      <c r="E276">
        <f>IFERROR(IF(ISNUMBER(INDEX(SPPR!$E:$X,MATCH($A276,SPPR!$A:$A,0),2)),$C276*INDEX(SPPR!$E:$X,MATCH($A276,SPPR!$A:$A,0),2),""),"")</f>
        <v/>
      </c>
      <c r="F276">
        <f>IFERROR(IF(ISNUMBER(INDEX(SPPR!$E:$X,MATCH($A276,SPPR!$A:$A,0),3)),$C276*INDEX(SPPR!$E:$X,MATCH($A276,SPPR!$A:$A,0),3),""),"")</f>
        <v/>
      </c>
      <c r="G276">
        <f>IFERROR(IF(ISNUMBER(INDEX(SPPR!$E:$X,MATCH($A276,SPPR!$A:$A,0),4)),$C276*INDEX(SPPR!$E:$X,MATCH($A276,SPPR!$A:$A,0),4),""),"")</f>
        <v/>
      </c>
      <c r="H276">
        <f>IFERROR(IF(ISNUMBER(INDEX(SPPR!$E:$X,MATCH($A276,SPPR!$A:$A,0),5)),$C276*INDEX(SPPR!$E:$X,MATCH($A276,SPPR!$A:$A,0),5),""),"")</f>
        <v/>
      </c>
      <c r="I276">
        <f>IFERROR(IF(ISNUMBER(INDEX(SPPR!$E:$X,MATCH($A276,SPPR!$A:$A,0),6)),$C276*INDEX(SPPR!$E:$X,MATCH($A276,SPPR!$A:$A,0),6),""),"")</f>
        <v/>
      </c>
      <c r="J276">
        <f>IFERROR(IF(ISNUMBER(INDEX(SPPR!$E:$X,MATCH($A276,SPPR!$A:$A,0),7)),$C276*INDEX(SPPR!$E:$X,MATCH($A276,SPPR!$A:$A,0),7),""),"")</f>
        <v/>
      </c>
      <c r="K276">
        <f>IFERROR(IF(ISNUMBER(INDEX(SPPR!$E:$X,MATCH($A276,SPPR!$A:$A,0),8)),$C276*INDEX(SPPR!$E:$X,MATCH($A276,SPPR!$A:$A,0),8),""),"")</f>
        <v/>
      </c>
      <c r="L276">
        <f>IFERROR(IF(ISNUMBER(INDEX(SPPR!$E:$X,MATCH($A276,SPPR!$A:$A,0),9)),$C276*INDEX(SPPR!$E:$X,MATCH($A276,SPPR!$A:$A,0),9),""),"")</f>
        <v/>
      </c>
      <c r="M276">
        <f>IFERROR(IF(ISNUMBER(INDEX(SPPR!$E:$X,MATCH($A276,SPPR!$A:$A,0),10)),$C276*INDEX(SPPR!$E:$X,MATCH($A276,SPPR!$A:$A,0),10),""),"")</f>
        <v/>
      </c>
      <c r="N276">
        <f>IFERROR(IF(ISNUMBER(INDEX(SPPR!$E:$X,MATCH($A276,SPPR!$A:$A,0),11)),$C276*INDEX(SPPR!$E:$X,MATCH($A276,SPPR!$A:$A,0),11),""),"")</f>
        <v/>
      </c>
      <c r="O276">
        <f>IFERROR(IF(ISNUMBER(INDEX(SPPR!$E:$X,MATCH($A276,SPPR!$A:$A,0),12)),$C276*INDEX(SPPR!$E:$X,MATCH($A276,SPPR!$A:$A,0),12),""),"")</f>
        <v/>
      </c>
      <c r="P276">
        <f>IFERROR(IF(ISNUMBER(INDEX(SPPR!$E:$X,MATCH($A276,SPPR!$A:$A,0),13)),$C276*INDEX(SPPR!$E:$X,MATCH($A276,SPPR!$A:$A,0),13),""),"")</f>
        <v/>
      </c>
      <c r="Q276">
        <f>IFERROR(IF(ISNUMBER(INDEX(SPPR!$E:$X,MATCH($A276,SPPR!$A:$A,0),14)),$C276*INDEX(SPPR!$E:$X,MATCH($A276,SPPR!$A:$A,0),14),""),"")</f>
        <v/>
      </c>
      <c r="R276">
        <f>IFERROR(IF(ISNUMBER(INDEX(SPPR!$E:$X,MATCH($A276,SPPR!$A:$A,0),15)),$C276*INDEX(SPPR!$E:$X,MATCH($A276,SPPR!$A:$A,0),15),""),"")</f>
        <v/>
      </c>
      <c r="S276">
        <f>IFERROR(IF(ISNUMBER(INDEX(SPPR!$E:$X,MATCH($A276,SPPR!$A:$A,0),16)),$C276*INDEX(SPPR!$E:$X,MATCH($A276,SPPR!$A:$A,0),16),""),"")</f>
        <v/>
      </c>
      <c r="T276">
        <f>IFERROR(IF(ISNUMBER(INDEX(SPPR!$E:$X,MATCH($A276,SPPR!$A:$A,0),17)),$C276*INDEX(SPPR!$E:$X,MATCH($A276,SPPR!$A:$A,0),17),""),"")</f>
        <v/>
      </c>
      <c r="U276">
        <f>IFERROR(IF(ISNUMBER(INDEX(SPPR!$E:$X,MATCH($A276,SPPR!$A:$A,0),18)),$C276*INDEX(SPPR!$E:$X,MATCH($A276,SPPR!$A:$A,0),18),""),"")</f>
        <v/>
      </c>
      <c r="V276">
        <f>IFERROR(IF(ISNUMBER(INDEX(SPPR!$E:$X,MATCH($A276,SPPR!$A:$A,0),19)),$C276*INDEX(SPPR!$E:$X,MATCH($A276,SPPR!$A:$A,0),19),""),"")</f>
        <v/>
      </c>
      <c r="W276">
        <f>IFERROR(IF(ISNUMBER(INDEX(SPPR!$E:$X,MATCH($A276,SPPR!$A:$A,0),20)),$C276*INDEX(SPPR!$E:$X,MATCH($A276,SPPR!$A:$A,0),20),""),"")</f>
        <v/>
      </c>
    </row>
    <row r="277">
      <c r="A277" t="inlineStr">
        <is>
          <t>Decapoda</t>
        </is>
      </c>
      <c r="B277">
        <f>IFERROR(INDEX(SPPR!$D:$D,MATCH($A277,SPPR!$A:$A,0)),"")</f>
        <v/>
      </c>
      <c r="C277">
        <f>IFERROR(INDEX(Catch!$E:$BV,MATCH($A277,Catch!$A:$A,0),MATCH($B$4,Catch!$E$1:$BV$1,0)),0)</f>
        <v/>
      </c>
      <c r="D277">
        <f>IFERROR(IF(ISNUMBER(INDEX(SPPR!$E:$X,MATCH($A277,SPPR!$A:$A,0),1)),$C277*INDEX(SPPR!$E:$X,MATCH($A277,SPPR!$A:$A,0),1),""),"")</f>
        <v/>
      </c>
      <c r="E277">
        <f>IFERROR(IF(ISNUMBER(INDEX(SPPR!$E:$X,MATCH($A277,SPPR!$A:$A,0),2)),$C277*INDEX(SPPR!$E:$X,MATCH($A277,SPPR!$A:$A,0),2),""),"")</f>
        <v/>
      </c>
      <c r="F277">
        <f>IFERROR(IF(ISNUMBER(INDEX(SPPR!$E:$X,MATCH($A277,SPPR!$A:$A,0),3)),$C277*INDEX(SPPR!$E:$X,MATCH($A277,SPPR!$A:$A,0),3),""),"")</f>
        <v/>
      </c>
      <c r="G277">
        <f>IFERROR(IF(ISNUMBER(INDEX(SPPR!$E:$X,MATCH($A277,SPPR!$A:$A,0),4)),$C277*INDEX(SPPR!$E:$X,MATCH($A277,SPPR!$A:$A,0),4),""),"")</f>
        <v/>
      </c>
      <c r="H277">
        <f>IFERROR(IF(ISNUMBER(INDEX(SPPR!$E:$X,MATCH($A277,SPPR!$A:$A,0),5)),$C277*INDEX(SPPR!$E:$X,MATCH($A277,SPPR!$A:$A,0),5),""),"")</f>
        <v/>
      </c>
      <c r="I277">
        <f>IFERROR(IF(ISNUMBER(INDEX(SPPR!$E:$X,MATCH($A277,SPPR!$A:$A,0),6)),$C277*INDEX(SPPR!$E:$X,MATCH($A277,SPPR!$A:$A,0),6),""),"")</f>
        <v/>
      </c>
      <c r="J277">
        <f>IFERROR(IF(ISNUMBER(INDEX(SPPR!$E:$X,MATCH($A277,SPPR!$A:$A,0),7)),$C277*INDEX(SPPR!$E:$X,MATCH($A277,SPPR!$A:$A,0),7),""),"")</f>
        <v/>
      </c>
      <c r="K277">
        <f>IFERROR(IF(ISNUMBER(INDEX(SPPR!$E:$X,MATCH($A277,SPPR!$A:$A,0),8)),$C277*INDEX(SPPR!$E:$X,MATCH($A277,SPPR!$A:$A,0),8),""),"")</f>
        <v/>
      </c>
      <c r="L277">
        <f>IFERROR(IF(ISNUMBER(INDEX(SPPR!$E:$X,MATCH($A277,SPPR!$A:$A,0),9)),$C277*INDEX(SPPR!$E:$X,MATCH($A277,SPPR!$A:$A,0),9),""),"")</f>
        <v/>
      </c>
      <c r="M277">
        <f>IFERROR(IF(ISNUMBER(INDEX(SPPR!$E:$X,MATCH($A277,SPPR!$A:$A,0),10)),$C277*INDEX(SPPR!$E:$X,MATCH($A277,SPPR!$A:$A,0),10),""),"")</f>
        <v/>
      </c>
      <c r="N277">
        <f>IFERROR(IF(ISNUMBER(INDEX(SPPR!$E:$X,MATCH($A277,SPPR!$A:$A,0),11)),$C277*INDEX(SPPR!$E:$X,MATCH($A277,SPPR!$A:$A,0),11),""),"")</f>
        <v/>
      </c>
      <c r="O277">
        <f>IFERROR(IF(ISNUMBER(INDEX(SPPR!$E:$X,MATCH($A277,SPPR!$A:$A,0),12)),$C277*INDEX(SPPR!$E:$X,MATCH($A277,SPPR!$A:$A,0),12),""),"")</f>
        <v/>
      </c>
      <c r="P277">
        <f>IFERROR(IF(ISNUMBER(INDEX(SPPR!$E:$X,MATCH($A277,SPPR!$A:$A,0),13)),$C277*INDEX(SPPR!$E:$X,MATCH($A277,SPPR!$A:$A,0),13),""),"")</f>
        <v/>
      </c>
      <c r="Q277">
        <f>IFERROR(IF(ISNUMBER(INDEX(SPPR!$E:$X,MATCH($A277,SPPR!$A:$A,0),14)),$C277*INDEX(SPPR!$E:$X,MATCH($A277,SPPR!$A:$A,0),14),""),"")</f>
        <v/>
      </c>
      <c r="R277">
        <f>IFERROR(IF(ISNUMBER(INDEX(SPPR!$E:$X,MATCH($A277,SPPR!$A:$A,0),15)),$C277*INDEX(SPPR!$E:$X,MATCH($A277,SPPR!$A:$A,0),15),""),"")</f>
        <v/>
      </c>
      <c r="S277">
        <f>IFERROR(IF(ISNUMBER(INDEX(SPPR!$E:$X,MATCH($A277,SPPR!$A:$A,0),16)),$C277*INDEX(SPPR!$E:$X,MATCH($A277,SPPR!$A:$A,0),16),""),"")</f>
        <v/>
      </c>
      <c r="T277">
        <f>IFERROR(IF(ISNUMBER(INDEX(SPPR!$E:$X,MATCH($A277,SPPR!$A:$A,0),17)),$C277*INDEX(SPPR!$E:$X,MATCH($A277,SPPR!$A:$A,0),17),""),"")</f>
        <v/>
      </c>
      <c r="U277">
        <f>IFERROR(IF(ISNUMBER(INDEX(SPPR!$E:$X,MATCH($A277,SPPR!$A:$A,0),18)),$C277*INDEX(SPPR!$E:$X,MATCH($A277,SPPR!$A:$A,0),18),""),"")</f>
        <v/>
      </c>
      <c r="V277">
        <f>IFERROR(IF(ISNUMBER(INDEX(SPPR!$E:$X,MATCH($A277,SPPR!$A:$A,0),19)),$C277*INDEX(SPPR!$E:$X,MATCH($A277,SPPR!$A:$A,0),19),""),"")</f>
        <v/>
      </c>
      <c r="W277">
        <f>IFERROR(IF(ISNUMBER(INDEX(SPPR!$E:$X,MATCH($A277,SPPR!$A:$A,0),20)),$C277*INDEX(SPPR!$E:$X,MATCH($A277,SPPR!$A:$A,0),20),""),"")</f>
        <v/>
      </c>
    </row>
    <row r="278">
      <c r="A278" t="inlineStr">
        <is>
          <t>Polyprion americanus</t>
        </is>
      </c>
      <c r="B278">
        <f>IFERROR(INDEX(SPPR!$D:$D,MATCH($A278,SPPR!$A:$A,0)),"")</f>
        <v/>
      </c>
      <c r="C278">
        <f>IFERROR(INDEX(Catch!$E:$BV,MATCH($A278,Catch!$A:$A,0),MATCH($B$4,Catch!$E$1:$BV$1,0)),0)</f>
        <v/>
      </c>
      <c r="D278">
        <f>IFERROR(IF(ISNUMBER(INDEX(SPPR!$E:$X,MATCH($A278,SPPR!$A:$A,0),1)),$C278*INDEX(SPPR!$E:$X,MATCH($A278,SPPR!$A:$A,0),1),""),"")</f>
        <v/>
      </c>
      <c r="E278">
        <f>IFERROR(IF(ISNUMBER(INDEX(SPPR!$E:$X,MATCH($A278,SPPR!$A:$A,0),2)),$C278*INDEX(SPPR!$E:$X,MATCH($A278,SPPR!$A:$A,0),2),""),"")</f>
        <v/>
      </c>
      <c r="F278">
        <f>IFERROR(IF(ISNUMBER(INDEX(SPPR!$E:$X,MATCH($A278,SPPR!$A:$A,0),3)),$C278*INDEX(SPPR!$E:$X,MATCH($A278,SPPR!$A:$A,0),3),""),"")</f>
        <v/>
      </c>
      <c r="G278">
        <f>IFERROR(IF(ISNUMBER(INDEX(SPPR!$E:$X,MATCH($A278,SPPR!$A:$A,0),4)),$C278*INDEX(SPPR!$E:$X,MATCH($A278,SPPR!$A:$A,0),4),""),"")</f>
        <v/>
      </c>
      <c r="H278">
        <f>IFERROR(IF(ISNUMBER(INDEX(SPPR!$E:$X,MATCH($A278,SPPR!$A:$A,0),5)),$C278*INDEX(SPPR!$E:$X,MATCH($A278,SPPR!$A:$A,0),5),""),"")</f>
        <v/>
      </c>
      <c r="I278">
        <f>IFERROR(IF(ISNUMBER(INDEX(SPPR!$E:$X,MATCH($A278,SPPR!$A:$A,0),6)),$C278*INDEX(SPPR!$E:$X,MATCH($A278,SPPR!$A:$A,0),6),""),"")</f>
        <v/>
      </c>
      <c r="J278">
        <f>IFERROR(IF(ISNUMBER(INDEX(SPPR!$E:$X,MATCH($A278,SPPR!$A:$A,0),7)),$C278*INDEX(SPPR!$E:$X,MATCH($A278,SPPR!$A:$A,0),7),""),"")</f>
        <v/>
      </c>
      <c r="K278">
        <f>IFERROR(IF(ISNUMBER(INDEX(SPPR!$E:$X,MATCH($A278,SPPR!$A:$A,0),8)),$C278*INDEX(SPPR!$E:$X,MATCH($A278,SPPR!$A:$A,0),8),""),"")</f>
        <v/>
      </c>
      <c r="L278">
        <f>IFERROR(IF(ISNUMBER(INDEX(SPPR!$E:$X,MATCH($A278,SPPR!$A:$A,0),9)),$C278*INDEX(SPPR!$E:$X,MATCH($A278,SPPR!$A:$A,0),9),""),"")</f>
        <v/>
      </c>
      <c r="M278">
        <f>IFERROR(IF(ISNUMBER(INDEX(SPPR!$E:$X,MATCH($A278,SPPR!$A:$A,0),10)),$C278*INDEX(SPPR!$E:$X,MATCH($A278,SPPR!$A:$A,0),10),""),"")</f>
        <v/>
      </c>
      <c r="N278">
        <f>IFERROR(IF(ISNUMBER(INDEX(SPPR!$E:$X,MATCH($A278,SPPR!$A:$A,0),11)),$C278*INDEX(SPPR!$E:$X,MATCH($A278,SPPR!$A:$A,0),11),""),"")</f>
        <v/>
      </c>
      <c r="O278">
        <f>IFERROR(IF(ISNUMBER(INDEX(SPPR!$E:$X,MATCH($A278,SPPR!$A:$A,0),12)),$C278*INDEX(SPPR!$E:$X,MATCH($A278,SPPR!$A:$A,0),12),""),"")</f>
        <v/>
      </c>
      <c r="P278">
        <f>IFERROR(IF(ISNUMBER(INDEX(SPPR!$E:$X,MATCH($A278,SPPR!$A:$A,0),13)),$C278*INDEX(SPPR!$E:$X,MATCH($A278,SPPR!$A:$A,0),13),""),"")</f>
        <v/>
      </c>
      <c r="Q278">
        <f>IFERROR(IF(ISNUMBER(INDEX(SPPR!$E:$X,MATCH($A278,SPPR!$A:$A,0),14)),$C278*INDEX(SPPR!$E:$X,MATCH($A278,SPPR!$A:$A,0),14),""),"")</f>
        <v/>
      </c>
      <c r="R278">
        <f>IFERROR(IF(ISNUMBER(INDEX(SPPR!$E:$X,MATCH($A278,SPPR!$A:$A,0),15)),$C278*INDEX(SPPR!$E:$X,MATCH($A278,SPPR!$A:$A,0),15),""),"")</f>
        <v/>
      </c>
      <c r="S278">
        <f>IFERROR(IF(ISNUMBER(INDEX(SPPR!$E:$X,MATCH($A278,SPPR!$A:$A,0),16)),$C278*INDEX(SPPR!$E:$X,MATCH($A278,SPPR!$A:$A,0),16),""),"")</f>
        <v/>
      </c>
      <c r="T278">
        <f>IFERROR(IF(ISNUMBER(INDEX(SPPR!$E:$X,MATCH($A278,SPPR!$A:$A,0),17)),$C278*INDEX(SPPR!$E:$X,MATCH($A278,SPPR!$A:$A,0),17),""),"")</f>
        <v/>
      </c>
      <c r="U278">
        <f>IFERROR(IF(ISNUMBER(INDEX(SPPR!$E:$X,MATCH($A278,SPPR!$A:$A,0),18)),$C278*INDEX(SPPR!$E:$X,MATCH($A278,SPPR!$A:$A,0),18),""),"")</f>
        <v/>
      </c>
      <c r="V278">
        <f>IFERROR(IF(ISNUMBER(INDEX(SPPR!$E:$X,MATCH($A278,SPPR!$A:$A,0),19)),$C278*INDEX(SPPR!$E:$X,MATCH($A278,SPPR!$A:$A,0),19),""),"")</f>
        <v/>
      </c>
      <c r="W278">
        <f>IFERROR(IF(ISNUMBER(INDEX(SPPR!$E:$X,MATCH($A278,SPPR!$A:$A,0),20)),$C278*INDEX(SPPR!$E:$X,MATCH($A278,SPPR!$A:$A,0),20),""),"")</f>
        <v/>
      </c>
    </row>
    <row r="279">
      <c r="A279" t="inlineStr">
        <is>
          <t>Maurolicus muelleri</t>
        </is>
      </c>
      <c r="B279">
        <f>IFERROR(INDEX(SPPR!$D:$D,MATCH($A279,SPPR!$A:$A,0)),"")</f>
        <v/>
      </c>
      <c r="C279">
        <f>IFERROR(INDEX(Catch!$E:$BV,MATCH($A279,Catch!$A:$A,0),MATCH($B$4,Catch!$E$1:$BV$1,0)),0)</f>
        <v/>
      </c>
      <c r="D279">
        <f>IFERROR(IF(ISNUMBER(INDEX(SPPR!$E:$X,MATCH($A279,SPPR!$A:$A,0),1)),$C279*INDEX(SPPR!$E:$X,MATCH($A279,SPPR!$A:$A,0),1),""),"")</f>
        <v/>
      </c>
      <c r="E279">
        <f>IFERROR(IF(ISNUMBER(INDEX(SPPR!$E:$X,MATCH($A279,SPPR!$A:$A,0),2)),$C279*INDEX(SPPR!$E:$X,MATCH($A279,SPPR!$A:$A,0),2),""),"")</f>
        <v/>
      </c>
      <c r="F279">
        <f>IFERROR(IF(ISNUMBER(INDEX(SPPR!$E:$X,MATCH($A279,SPPR!$A:$A,0),3)),$C279*INDEX(SPPR!$E:$X,MATCH($A279,SPPR!$A:$A,0),3),""),"")</f>
        <v/>
      </c>
      <c r="G279">
        <f>IFERROR(IF(ISNUMBER(INDEX(SPPR!$E:$X,MATCH($A279,SPPR!$A:$A,0),4)),$C279*INDEX(SPPR!$E:$X,MATCH($A279,SPPR!$A:$A,0),4),""),"")</f>
        <v/>
      </c>
      <c r="H279">
        <f>IFERROR(IF(ISNUMBER(INDEX(SPPR!$E:$X,MATCH($A279,SPPR!$A:$A,0),5)),$C279*INDEX(SPPR!$E:$X,MATCH($A279,SPPR!$A:$A,0),5),""),"")</f>
        <v/>
      </c>
      <c r="I279">
        <f>IFERROR(IF(ISNUMBER(INDEX(SPPR!$E:$X,MATCH($A279,SPPR!$A:$A,0),6)),$C279*INDEX(SPPR!$E:$X,MATCH($A279,SPPR!$A:$A,0),6),""),"")</f>
        <v/>
      </c>
      <c r="J279">
        <f>IFERROR(IF(ISNUMBER(INDEX(SPPR!$E:$X,MATCH($A279,SPPR!$A:$A,0),7)),$C279*INDEX(SPPR!$E:$X,MATCH($A279,SPPR!$A:$A,0),7),""),"")</f>
        <v/>
      </c>
      <c r="K279">
        <f>IFERROR(IF(ISNUMBER(INDEX(SPPR!$E:$X,MATCH($A279,SPPR!$A:$A,0),8)),$C279*INDEX(SPPR!$E:$X,MATCH($A279,SPPR!$A:$A,0),8),""),"")</f>
        <v/>
      </c>
      <c r="L279">
        <f>IFERROR(IF(ISNUMBER(INDEX(SPPR!$E:$X,MATCH($A279,SPPR!$A:$A,0),9)),$C279*INDEX(SPPR!$E:$X,MATCH($A279,SPPR!$A:$A,0),9),""),"")</f>
        <v/>
      </c>
      <c r="M279">
        <f>IFERROR(IF(ISNUMBER(INDEX(SPPR!$E:$X,MATCH($A279,SPPR!$A:$A,0),10)),$C279*INDEX(SPPR!$E:$X,MATCH($A279,SPPR!$A:$A,0),10),""),"")</f>
        <v/>
      </c>
      <c r="N279">
        <f>IFERROR(IF(ISNUMBER(INDEX(SPPR!$E:$X,MATCH($A279,SPPR!$A:$A,0),11)),$C279*INDEX(SPPR!$E:$X,MATCH($A279,SPPR!$A:$A,0),11),""),"")</f>
        <v/>
      </c>
      <c r="O279">
        <f>IFERROR(IF(ISNUMBER(INDEX(SPPR!$E:$X,MATCH($A279,SPPR!$A:$A,0),12)),$C279*INDEX(SPPR!$E:$X,MATCH($A279,SPPR!$A:$A,0),12),""),"")</f>
        <v/>
      </c>
      <c r="P279">
        <f>IFERROR(IF(ISNUMBER(INDEX(SPPR!$E:$X,MATCH($A279,SPPR!$A:$A,0),13)),$C279*INDEX(SPPR!$E:$X,MATCH($A279,SPPR!$A:$A,0),13),""),"")</f>
        <v/>
      </c>
      <c r="Q279">
        <f>IFERROR(IF(ISNUMBER(INDEX(SPPR!$E:$X,MATCH($A279,SPPR!$A:$A,0),14)),$C279*INDEX(SPPR!$E:$X,MATCH($A279,SPPR!$A:$A,0),14),""),"")</f>
        <v/>
      </c>
      <c r="R279">
        <f>IFERROR(IF(ISNUMBER(INDEX(SPPR!$E:$X,MATCH($A279,SPPR!$A:$A,0),15)),$C279*INDEX(SPPR!$E:$X,MATCH($A279,SPPR!$A:$A,0),15),""),"")</f>
        <v/>
      </c>
      <c r="S279">
        <f>IFERROR(IF(ISNUMBER(INDEX(SPPR!$E:$X,MATCH($A279,SPPR!$A:$A,0),16)),$C279*INDEX(SPPR!$E:$X,MATCH($A279,SPPR!$A:$A,0),16),""),"")</f>
        <v/>
      </c>
      <c r="T279">
        <f>IFERROR(IF(ISNUMBER(INDEX(SPPR!$E:$X,MATCH($A279,SPPR!$A:$A,0),17)),$C279*INDEX(SPPR!$E:$X,MATCH($A279,SPPR!$A:$A,0),17),""),"")</f>
        <v/>
      </c>
      <c r="U279">
        <f>IFERROR(IF(ISNUMBER(INDEX(SPPR!$E:$X,MATCH($A279,SPPR!$A:$A,0),18)),$C279*INDEX(SPPR!$E:$X,MATCH($A279,SPPR!$A:$A,0),18),""),"")</f>
        <v/>
      </c>
      <c r="V279">
        <f>IFERROR(IF(ISNUMBER(INDEX(SPPR!$E:$X,MATCH($A279,SPPR!$A:$A,0),19)),$C279*INDEX(SPPR!$E:$X,MATCH($A279,SPPR!$A:$A,0),19),""),"")</f>
        <v/>
      </c>
      <c r="W279">
        <f>IFERROR(IF(ISNUMBER(INDEX(SPPR!$E:$X,MATCH($A279,SPPR!$A:$A,0),20)),$C279*INDEX(SPPR!$E:$X,MATCH($A279,SPPR!$A:$A,0),20),""),"")</f>
        <v/>
      </c>
    </row>
    <row r="280">
      <c r="A280" t="inlineStr">
        <is>
          <t>Palinurus</t>
        </is>
      </c>
      <c r="B280">
        <f>IFERROR(INDEX(SPPR!$D:$D,MATCH($A280,SPPR!$A:$A,0)),"")</f>
        <v/>
      </c>
      <c r="C280">
        <f>IFERROR(INDEX(Catch!$E:$BV,MATCH($A280,Catch!$A:$A,0),MATCH($B$4,Catch!$E$1:$BV$1,0)),0)</f>
        <v/>
      </c>
      <c r="D280">
        <f>IFERROR(IF(ISNUMBER(INDEX(SPPR!$E:$X,MATCH($A280,SPPR!$A:$A,0),1)),$C280*INDEX(SPPR!$E:$X,MATCH($A280,SPPR!$A:$A,0),1),""),"")</f>
        <v/>
      </c>
      <c r="E280">
        <f>IFERROR(IF(ISNUMBER(INDEX(SPPR!$E:$X,MATCH($A280,SPPR!$A:$A,0),2)),$C280*INDEX(SPPR!$E:$X,MATCH($A280,SPPR!$A:$A,0),2),""),"")</f>
        <v/>
      </c>
      <c r="F280">
        <f>IFERROR(IF(ISNUMBER(INDEX(SPPR!$E:$X,MATCH($A280,SPPR!$A:$A,0),3)),$C280*INDEX(SPPR!$E:$X,MATCH($A280,SPPR!$A:$A,0),3),""),"")</f>
        <v/>
      </c>
      <c r="G280">
        <f>IFERROR(IF(ISNUMBER(INDEX(SPPR!$E:$X,MATCH($A280,SPPR!$A:$A,0),4)),$C280*INDEX(SPPR!$E:$X,MATCH($A280,SPPR!$A:$A,0),4),""),"")</f>
        <v/>
      </c>
      <c r="H280">
        <f>IFERROR(IF(ISNUMBER(INDEX(SPPR!$E:$X,MATCH($A280,SPPR!$A:$A,0),5)),$C280*INDEX(SPPR!$E:$X,MATCH($A280,SPPR!$A:$A,0),5),""),"")</f>
        <v/>
      </c>
      <c r="I280">
        <f>IFERROR(IF(ISNUMBER(INDEX(SPPR!$E:$X,MATCH($A280,SPPR!$A:$A,0),6)),$C280*INDEX(SPPR!$E:$X,MATCH($A280,SPPR!$A:$A,0),6),""),"")</f>
        <v/>
      </c>
      <c r="J280">
        <f>IFERROR(IF(ISNUMBER(INDEX(SPPR!$E:$X,MATCH($A280,SPPR!$A:$A,0),7)),$C280*INDEX(SPPR!$E:$X,MATCH($A280,SPPR!$A:$A,0),7),""),"")</f>
        <v/>
      </c>
      <c r="K280">
        <f>IFERROR(IF(ISNUMBER(INDEX(SPPR!$E:$X,MATCH($A280,SPPR!$A:$A,0),8)),$C280*INDEX(SPPR!$E:$X,MATCH($A280,SPPR!$A:$A,0),8),""),"")</f>
        <v/>
      </c>
      <c r="L280">
        <f>IFERROR(IF(ISNUMBER(INDEX(SPPR!$E:$X,MATCH($A280,SPPR!$A:$A,0),9)),$C280*INDEX(SPPR!$E:$X,MATCH($A280,SPPR!$A:$A,0),9),""),"")</f>
        <v/>
      </c>
      <c r="M280">
        <f>IFERROR(IF(ISNUMBER(INDEX(SPPR!$E:$X,MATCH($A280,SPPR!$A:$A,0),10)),$C280*INDEX(SPPR!$E:$X,MATCH($A280,SPPR!$A:$A,0),10),""),"")</f>
        <v/>
      </c>
      <c r="N280">
        <f>IFERROR(IF(ISNUMBER(INDEX(SPPR!$E:$X,MATCH($A280,SPPR!$A:$A,0),11)),$C280*INDEX(SPPR!$E:$X,MATCH($A280,SPPR!$A:$A,0),11),""),"")</f>
        <v/>
      </c>
      <c r="O280">
        <f>IFERROR(IF(ISNUMBER(INDEX(SPPR!$E:$X,MATCH($A280,SPPR!$A:$A,0),12)),$C280*INDEX(SPPR!$E:$X,MATCH($A280,SPPR!$A:$A,0),12),""),"")</f>
        <v/>
      </c>
      <c r="P280">
        <f>IFERROR(IF(ISNUMBER(INDEX(SPPR!$E:$X,MATCH($A280,SPPR!$A:$A,0),13)),$C280*INDEX(SPPR!$E:$X,MATCH($A280,SPPR!$A:$A,0),13),""),"")</f>
        <v/>
      </c>
      <c r="Q280">
        <f>IFERROR(IF(ISNUMBER(INDEX(SPPR!$E:$X,MATCH($A280,SPPR!$A:$A,0),14)),$C280*INDEX(SPPR!$E:$X,MATCH($A280,SPPR!$A:$A,0),14),""),"")</f>
        <v/>
      </c>
      <c r="R280">
        <f>IFERROR(IF(ISNUMBER(INDEX(SPPR!$E:$X,MATCH($A280,SPPR!$A:$A,0),15)),$C280*INDEX(SPPR!$E:$X,MATCH($A280,SPPR!$A:$A,0),15),""),"")</f>
        <v/>
      </c>
      <c r="S280">
        <f>IFERROR(IF(ISNUMBER(INDEX(SPPR!$E:$X,MATCH($A280,SPPR!$A:$A,0),16)),$C280*INDEX(SPPR!$E:$X,MATCH($A280,SPPR!$A:$A,0),16),""),"")</f>
        <v/>
      </c>
      <c r="T280">
        <f>IFERROR(IF(ISNUMBER(INDEX(SPPR!$E:$X,MATCH($A280,SPPR!$A:$A,0),17)),$C280*INDEX(SPPR!$E:$X,MATCH($A280,SPPR!$A:$A,0),17),""),"")</f>
        <v/>
      </c>
      <c r="U280">
        <f>IFERROR(IF(ISNUMBER(INDEX(SPPR!$E:$X,MATCH($A280,SPPR!$A:$A,0),18)),$C280*INDEX(SPPR!$E:$X,MATCH($A280,SPPR!$A:$A,0),18),""),"")</f>
        <v/>
      </c>
      <c r="V280">
        <f>IFERROR(IF(ISNUMBER(INDEX(SPPR!$E:$X,MATCH($A280,SPPR!$A:$A,0),19)),$C280*INDEX(SPPR!$E:$X,MATCH($A280,SPPR!$A:$A,0),19),""),"")</f>
        <v/>
      </c>
      <c r="W280">
        <f>IFERROR(IF(ISNUMBER(INDEX(SPPR!$E:$X,MATCH($A280,SPPR!$A:$A,0),20)),$C280*INDEX(SPPR!$E:$X,MATCH($A280,SPPR!$A:$A,0),20),""),"")</f>
        <v/>
      </c>
    </row>
    <row r="281">
      <c r="A281" t="inlineStr">
        <is>
          <t>Mytilus</t>
        </is>
      </c>
      <c r="B281">
        <f>IFERROR(INDEX(SPPR!$D:$D,MATCH($A281,SPPR!$A:$A,0)),"")</f>
        <v/>
      </c>
      <c r="C281">
        <f>IFERROR(INDEX(Catch!$E:$BV,MATCH($A281,Catch!$A:$A,0),MATCH($B$4,Catch!$E$1:$BV$1,0)),0)</f>
        <v/>
      </c>
      <c r="D281">
        <f>IFERROR(IF(ISNUMBER(INDEX(SPPR!$E:$X,MATCH($A281,SPPR!$A:$A,0),1)),$C281*INDEX(SPPR!$E:$X,MATCH($A281,SPPR!$A:$A,0),1),""),"")</f>
        <v/>
      </c>
      <c r="E281">
        <f>IFERROR(IF(ISNUMBER(INDEX(SPPR!$E:$X,MATCH($A281,SPPR!$A:$A,0),2)),$C281*INDEX(SPPR!$E:$X,MATCH($A281,SPPR!$A:$A,0),2),""),"")</f>
        <v/>
      </c>
      <c r="F281">
        <f>IFERROR(IF(ISNUMBER(INDEX(SPPR!$E:$X,MATCH($A281,SPPR!$A:$A,0),3)),$C281*INDEX(SPPR!$E:$X,MATCH($A281,SPPR!$A:$A,0),3),""),"")</f>
        <v/>
      </c>
      <c r="G281">
        <f>IFERROR(IF(ISNUMBER(INDEX(SPPR!$E:$X,MATCH($A281,SPPR!$A:$A,0),4)),$C281*INDEX(SPPR!$E:$X,MATCH($A281,SPPR!$A:$A,0),4),""),"")</f>
        <v/>
      </c>
      <c r="H281">
        <f>IFERROR(IF(ISNUMBER(INDEX(SPPR!$E:$X,MATCH($A281,SPPR!$A:$A,0),5)),$C281*INDEX(SPPR!$E:$X,MATCH($A281,SPPR!$A:$A,0),5),""),"")</f>
        <v/>
      </c>
      <c r="I281">
        <f>IFERROR(IF(ISNUMBER(INDEX(SPPR!$E:$X,MATCH($A281,SPPR!$A:$A,0),6)),$C281*INDEX(SPPR!$E:$X,MATCH($A281,SPPR!$A:$A,0),6),""),"")</f>
        <v/>
      </c>
      <c r="J281">
        <f>IFERROR(IF(ISNUMBER(INDEX(SPPR!$E:$X,MATCH($A281,SPPR!$A:$A,0),7)),$C281*INDEX(SPPR!$E:$X,MATCH($A281,SPPR!$A:$A,0),7),""),"")</f>
        <v/>
      </c>
      <c r="K281">
        <f>IFERROR(IF(ISNUMBER(INDEX(SPPR!$E:$X,MATCH($A281,SPPR!$A:$A,0),8)),$C281*INDEX(SPPR!$E:$X,MATCH($A281,SPPR!$A:$A,0),8),""),"")</f>
        <v/>
      </c>
      <c r="L281">
        <f>IFERROR(IF(ISNUMBER(INDEX(SPPR!$E:$X,MATCH($A281,SPPR!$A:$A,0),9)),$C281*INDEX(SPPR!$E:$X,MATCH($A281,SPPR!$A:$A,0),9),""),"")</f>
        <v/>
      </c>
      <c r="M281">
        <f>IFERROR(IF(ISNUMBER(INDEX(SPPR!$E:$X,MATCH($A281,SPPR!$A:$A,0),10)),$C281*INDEX(SPPR!$E:$X,MATCH($A281,SPPR!$A:$A,0),10),""),"")</f>
        <v/>
      </c>
      <c r="N281">
        <f>IFERROR(IF(ISNUMBER(INDEX(SPPR!$E:$X,MATCH($A281,SPPR!$A:$A,0),11)),$C281*INDEX(SPPR!$E:$X,MATCH($A281,SPPR!$A:$A,0),11),""),"")</f>
        <v/>
      </c>
      <c r="O281">
        <f>IFERROR(IF(ISNUMBER(INDEX(SPPR!$E:$X,MATCH($A281,SPPR!$A:$A,0),12)),$C281*INDEX(SPPR!$E:$X,MATCH($A281,SPPR!$A:$A,0),12),""),"")</f>
        <v/>
      </c>
      <c r="P281">
        <f>IFERROR(IF(ISNUMBER(INDEX(SPPR!$E:$X,MATCH($A281,SPPR!$A:$A,0),13)),$C281*INDEX(SPPR!$E:$X,MATCH($A281,SPPR!$A:$A,0),13),""),"")</f>
        <v/>
      </c>
      <c r="Q281">
        <f>IFERROR(IF(ISNUMBER(INDEX(SPPR!$E:$X,MATCH($A281,SPPR!$A:$A,0),14)),$C281*INDEX(SPPR!$E:$X,MATCH($A281,SPPR!$A:$A,0),14),""),"")</f>
        <v/>
      </c>
      <c r="R281">
        <f>IFERROR(IF(ISNUMBER(INDEX(SPPR!$E:$X,MATCH($A281,SPPR!$A:$A,0),15)),$C281*INDEX(SPPR!$E:$X,MATCH($A281,SPPR!$A:$A,0),15),""),"")</f>
        <v/>
      </c>
      <c r="S281">
        <f>IFERROR(IF(ISNUMBER(INDEX(SPPR!$E:$X,MATCH($A281,SPPR!$A:$A,0),16)),$C281*INDEX(SPPR!$E:$X,MATCH($A281,SPPR!$A:$A,0),16),""),"")</f>
        <v/>
      </c>
      <c r="T281">
        <f>IFERROR(IF(ISNUMBER(INDEX(SPPR!$E:$X,MATCH($A281,SPPR!$A:$A,0),17)),$C281*INDEX(SPPR!$E:$X,MATCH($A281,SPPR!$A:$A,0),17),""),"")</f>
        <v/>
      </c>
      <c r="U281">
        <f>IFERROR(IF(ISNUMBER(INDEX(SPPR!$E:$X,MATCH($A281,SPPR!$A:$A,0),18)),$C281*INDEX(SPPR!$E:$X,MATCH($A281,SPPR!$A:$A,0),18),""),"")</f>
        <v/>
      </c>
      <c r="V281">
        <f>IFERROR(IF(ISNUMBER(INDEX(SPPR!$E:$X,MATCH($A281,SPPR!$A:$A,0),19)),$C281*INDEX(SPPR!$E:$X,MATCH($A281,SPPR!$A:$A,0),19),""),"")</f>
        <v/>
      </c>
      <c r="W281">
        <f>IFERROR(IF(ISNUMBER(INDEX(SPPR!$E:$X,MATCH($A281,SPPR!$A:$A,0),20)),$C281*INDEX(SPPR!$E:$X,MATCH($A281,SPPR!$A:$A,0),20),""),"")</f>
        <v/>
      </c>
    </row>
    <row r="282">
      <c r="A282" t="inlineStr">
        <is>
          <t>Atherina presbyter</t>
        </is>
      </c>
      <c r="B282">
        <f>IFERROR(INDEX(SPPR!$D:$D,MATCH($A282,SPPR!$A:$A,0)),"")</f>
        <v/>
      </c>
      <c r="C282">
        <f>IFERROR(INDEX(Catch!$E:$BV,MATCH($A282,Catch!$A:$A,0),MATCH($B$4,Catch!$E$1:$BV$1,0)),0)</f>
        <v/>
      </c>
      <c r="D282">
        <f>IFERROR(IF(ISNUMBER(INDEX(SPPR!$E:$X,MATCH($A282,SPPR!$A:$A,0),1)),$C282*INDEX(SPPR!$E:$X,MATCH($A282,SPPR!$A:$A,0),1),""),"")</f>
        <v/>
      </c>
      <c r="E282">
        <f>IFERROR(IF(ISNUMBER(INDEX(SPPR!$E:$X,MATCH($A282,SPPR!$A:$A,0),2)),$C282*INDEX(SPPR!$E:$X,MATCH($A282,SPPR!$A:$A,0),2),""),"")</f>
        <v/>
      </c>
      <c r="F282">
        <f>IFERROR(IF(ISNUMBER(INDEX(SPPR!$E:$X,MATCH($A282,SPPR!$A:$A,0),3)),$C282*INDEX(SPPR!$E:$X,MATCH($A282,SPPR!$A:$A,0),3),""),"")</f>
        <v/>
      </c>
      <c r="G282">
        <f>IFERROR(IF(ISNUMBER(INDEX(SPPR!$E:$X,MATCH($A282,SPPR!$A:$A,0),4)),$C282*INDEX(SPPR!$E:$X,MATCH($A282,SPPR!$A:$A,0),4),""),"")</f>
        <v/>
      </c>
      <c r="H282">
        <f>IFERROR(IF(ISNUMBER(INDEX(SPPR!$E:$X,MATCH($A282,SPPR!$A:$A,0),5)),$C282*INDEX(SPPR!$E:$X,MATCH($A282,SPPR!$A:$A,0),5),""),"")</f>
        <v/>
      </c>
      <c r="I282">
        <f>IFERROR(IF(ISNUMBER(INDEX(SPPR!$E:$X,MATCH($A282,SPPR!$A:$A,0),6)),$C282*INDEX(SPPR!$E:$X,MATCH($A282,SPPR!$A:$A,0),6),""),"")</f>
        <v/>
      </c>
      <c r="J282">
        <f>IFERROR(IF(ISNUMBER(INDEX(SPPR!$E:$X,MATCH($A282,SPPR!$A:$A,0),7)),$C282*INDEX(SPPR!$E:$X,MATCH($A282,SPPR!$A:$A,0),7),""),"")</f>
        <v/>
      </c>
      <c r="K282">
        <f>IFERROR(IF(ISNUMBER(INDEX(SPPR!$E:$X,MATCH($A282,SPPR!$A:$A,0),8)),$C282*INDEX(SPPR!$E:$X,MATCH($A282,SPPR!$A:$A,0),8),""),"")</f>
        <v/>
      </c>
      <c r="L282">
        <f>IFERROR(IF(ISNUMBER(INDEX(SPPR!$E:$X,MATCH($A282,SPPR!$A:$A,0),9)),$C282*INDEX(SPPR!$E:$X,MATCH($A282,SPPR!$A:$A,0),9),""),"")</f>
        <v/>
      </c>
      <c r="M282">
        <f>IFERROR(IF(ISNUMBER(INDEX(SPPR!$E:$X,MATCH($A282,SPPR!$A:$A,0),10)),$C282*INDEX(SPPR!$E:$X,MATCH($A282,SPPR!$A:$A,0),10),""),"")</f>
        <v/>
      </c>
      <c r="N282">
        <f>IFERROR(IF(ISNUMBER(INDEX(SPPR!$E:$X,MATCH($A282,SPPR!$A:$A,0),11)),$C282*INDEX(SPPR!$E:$X,MATCH($A282,SPPR!$A:$A,0),11),""),"")</f>
        <v/>
      </c>
      <c r="O282">
        <f>IFERROR(IF(ISNUMBER(INDEX(SPPR!$E:$X,MATCH($A282,SPPR!$A:$A,0),12)),$C282*INDEX(SPPR!$E:$X,MATCH($A282,SPPR!$A:$A,0),12),""),"")</f>
        <v/>
      </c>
      <c r="P282">
        <f>IFERROR(IF(ISNUMBER(INDEX(SPPR!$E:$X,MATCH($A282,SPPR!$A:$A,0),13)),$C282*INDEX(SPPR!$E:$X,MATCH($A282,SPPR!$A:$A,0),13),""),"")</f>
        <v/>
      </c>
      <c r="Q282">
        <f>IFERROR(IF(ISNUMBER(INDEX(SPPR!$E:$X,MATCH($A282,SPPR!$A:$A,0),14)),$C282*INDEX(SPPR!$E:$X,MATCH($A282,SPPR!$A:$A,0),14),""),"")</f>
        <v/>
      </c>
      <c r="R282">
        <f>IFERROR(IF(ISNUMBER(INDEX(SPPR!$E:$X,MATCH($A282,SPPR!$A:$A,0),15)),$C282*INDEX(SPPR!$E:$X,MATCH($A282,SPPR!$A:$A,0),15),""),"")</f>
        <v/>
      </c>
      <c r="S282">
        <f>IFERROR(IF(ISNUMBER(INDEX(SPPR!$E:$X,MATCH($A282,SPPR!$A:$A,0),16)),$C282*INDEX(SPPR!$E:$X,MATCH($A282,SPPR!$A:$A,0),16),""),"")</f>
        <v/>
      </c>
      <c r="T282">
        <f>IFERROR(IF(ISNUMBER(INDEX(SPPR!$E:$X,MATCH($A282,SPPR!$A:$A,0),17)),$C282*INDEX(SPPR!$E:$X,MATCH($A282,SPPR!$A:$A,0),17),""),"")</f>
        <v/>
      </c>
      <c r="U282">
        <f>IFERROR(IF(ISNUMBER(INDEX(SPPR!$E:$X,MATCH($A282,SPPR!$A:$A,0),18)),$C282*INDEX(SPPR!$E:$X,MATCH($A282,SPPR!$A:$A,0),18),""),"")</f>
        <v/>
      </c>
      <c r="V282">
        <f>IFERROR(IF(ISNUMBER(INDEX(SPPR!$E:$X,MATCH($A282,SPPR!$A:$A,0),19)),$C282*INDEX(SPPR!$E:$X,MATCH($A282,SPPR!$A:$A,0),19),""),"")</f>
        <v/>
      </c>
      <c r="W282">
        <f>IFERROR(IF(ISNUMBER(INDEX(SPPR!$E:$X,MATCH($A282,SPPR!$A:$A,0),20)),$C282*INDEX(SPPR!$E:$X,MATCH($A282,SPPR!$A:$A,0),20),""),"")</f>
        <v/>
      </c>
    </row>
    <row r="283">
      <c r="A283" t="inlineStr">
        <is>
          <t>Rajella lintea</t>
        </is>
      </c>
      <c r="B283">
        <f>IFERROR(INDEX(SPPR!$D:$D,MATCH($A283,SPPR!$A:$A,0)),"")</f>
        <v/>
      </c>
      <c r="C283">
        <f>IFERROR(INDEX(Catch!$E:$BV,MATCH($A283,Catch!$A:$A,0),MATCH($B$4,Catch!$E$1:$BV$1,0)),0)</f>
        <v/>
      </c>
      <c r="D283">
        <f>IFERROR(IF(ISNUMBER(INDEX(SPPR!$E:$X,MATCH($A283,SPPR!$A:$A,0),1)),$C283*INDEX(SPPR!$E:$X,MATCH($A283,SPPR!$A:$A,0),1),""),"")</f>
        <v/>
      </c>
      <c r="E283">
        <f>IFERROR(IF(ISNUMBER(INDEX(SPPR!$E:$X,MATCH($A283,SPPR!$A:$A,0),2)),$C283*INDEX(SPPR!$E:$X,MATCH($A283,SPPR!$A:$A,0),2),""),"")</f>
        <v/>
      </c>
      <c r="F283">
        <f>IFERROR(IF(ISNUMBER(INDEX(SPPR!$E:$X,MATCH($A283,SPPR!$A:$A,0),3)),$C283*INDEX(SPPR!$E:$X,MATCH($A283,SPPR!$A:$A,0),3),""),"")</f>
        <v/>
      </c>
      <c r="G283">
        <f>IFERROR(IF(ISNUMBER(INDEX(SPPR!$E:$X,MATCH($A283,SPPR!$A:$A,0),4)),$C283*INDEX(SPPR!$E:$X,MATCH($A283,SPPR!$A:$A,0),4),""),"")</f>
        <v/>
      </c>
      <c r="H283">
        <f>IFERROR(IF(ISNUMBER(INDEX(SPPR!$E:$X,MATCH($A283,SPPR!$A:$A,0),5)),$C283*INDEX(SPPR!$E:$X,MATCH($A283,SPPR!$A:$A,0),5),""),"")</f>
        <v/>
      </c>
      <c r="I283">
        <f>IFERROR(IF(ISNUMBER(INDEX(SPPR!$E:$X,MATCH($A283,SPPR!$A:$A,0),6)),$C283*INDEX(SPPR!$E:$X,MATCH($A283,SPPR!$A:$A,0),6),""),"")</f>
        <v/>
      </c>
      <c r="J283">
        <f>IFERROR(IF(ISNUMBER(INDEX(SPPR!$E:$X,MATCH($A283,SPPR!$A:$A,0),7)),$C283*INDEX(SPPR!$E:$X,MATCH($A283,SPPR!$A:$A,0),7),""),"")</f>
        <v/>
      </c>
      <c r="K283">
        <f>IFERROR(IF(ISNUMBER(INDEX(SPPR!$E:$X,MATCH($A283,SPPR!$A:$A,0),8)),$C283*INDEX(SPPR!$E:$X,MATCH($A283,SPPR!$A:$A,0),8),""),"")</f>
        <v/>
      </c>
      <c r="L283">
        <f>IFERROR(IF(ISNUMBER(INDEX(SPPR!$E:$X,MATCH($A283,SPPR!$A:$A,0),9)),$C283*INDEX(SPPR!$E:$X,MATCH($A283,SPPR!$A:$A,0),9),""),"")</f>
        <v/>
      </c>
      <c r="M283">
        <f>IFERROR(IF(ISNUMBER(INDEX(SPPR!$E:$X,MATCH($A283,SPPR!$A:$A,0),10)),$C283*INDEX(SPPR!$E:$X,MATCH($A283,SPPR!$A:$A,0),10),""),"")</f>
        <v/>
      </c>
      <c r="N283">
        <f>IFERROR(IF(ISNUMBER(INDEX(SPPR!$E:$X,MATCH($A283,SPPR!$A:$A,0),11)),$C283*INDEX(SPPR!$E:$X,MATCH($A283,SPPR!$A:$A,0),11),""),"")</f>
        <v/>
      </c>
      <c r="O283">
        <f>IFERROR(IF(ISNUMBER(INDEX(SPPR!$E:$X,MATCH($A283,SPPR!$A:$A,0),12)),$C283*INDEX(SPPR!$E:$X,MATCH($A283,SPPR!$A:$A,0),12),""),"")</f>
        <v/>
      </c>
      <c r="P283">
        <f>IFERROR(IF(ISNUMBER(INDEX(SPPR!$E:$X,MATCH($A283,SPPR!$A:$A,0),13)),$C283*INDEX(SPPR!$E:$X,MATCH($A283,SPPR!$A:$A,0),13),""),"")</f>
        <v/>
      </c>
      <c r="Q283">
        <f>IFERROR(IF(ISNUMBER(INDEX(SPPR!$E:$X,MATCH($A283,SPPR!$A:$A,0),14)),$C283*INDEX(SPPR!$E:$X,MATCH($A283,SPPR!$A:$A,0),14),""),"")</f>
        <v/>
      </c>
      <c r="R283">
        <f>IFERROR(IF(ISNUMBER(INDEX(SPPR!$E:$X,MATCH($A283,SPPR!$A:$A,0),15)),$C283*INDEX(SPPR!$E:$X,MATCH($A283,SPPR!$A:$A,0),15),""),"")</f>
        <v/>
      </c>
      <c r="S283">
        <f>IFERROR(IF(ISNUMBER(INDEX(SPPR!$E:$X,MATCH($A283,SPPR!$A:$A,0),16)),$C283*INDEX(SPPR!$E:$X,MATCH($A283,SPPR!$A:$A,0),16),""),"")</f>
        <v/>
      </c>
      <c r="T283">
        <f>IFERROR(IF(ISNUMBER(INDEX(SPPR!$E:$X,MATCH($A283,SPPR!$A:$A,0),17)),$C283*INDEX(SPPR!$E:$X,MATCH($A283,SPPR!$A:$A,0),17),""),"")</f>
        <v/>
      </c>
      <c r="U283">
        <f>IFERROR(IF(ISNUMBER(INDEX(SPPR!$E:$X,MATCH($A283,SPPR!$A:$A,0),18)),$C283*INDEX(SPPR!$E:$X,MATCH($A283,SPPR!$A:$A,0),18),""),"")</f>
        <v/>
      </c>
      <c r="V283">
        <f>IFERROR(IF(ISNUMBER(INDEX(SPPR!$E:$X,MATCH($A283,SPPR!$A:$A,0),19)),$C283*INDEX(SPPR!$E:$X,MATCH($A283,SPPR!$A:$A,0),19),""),"")</f>
        <v/>
      </c>
      <c r="W283">
        <f>IFERROR(IF(ISNUMBER(INDEX(SPPR!$E:$X,MATCH($A283,SPPR!$A:$A,0),20)),$C283*INDEX(SPPR!$E:$X,MATCH($A283,SPPR!$A:$A,0),20),""),"")</f>
        <v/>
      </c>
    </row>
    <row r="284">
      <c r="A284" t="inlineStr">
        <is>
          <t>Tinca tinca</t>
        </is>
      </c>
      <c r="B284">
        <f>IFERROR(INDEX(SPPR!$D:$D,MATCH($A284,SPPR!$A:$A,0)),"")</f>
        <v/>
      </c>
      <c r="C284">
        <f>IFERROR(INDEX(Catch!$E:$BV,MATCH($A284,Catch!$A:$A,0),MATCH($B$4,Catch!$E$1:$BV$1,0)),0)</f>
        <v/>
      </c>
      <c r="D284">
        <f>IFERROR(IF(ISNUMBER(INDEX(SPPR!$E:$X,MATCH($A284,SPPR!$A:$A,0),1)),$C284*INDEX(SPPR!$E:$X,MATCH($A284,SPPR!$A:$A,0),1),""),"")</f>
        <v/>
      </c>
      <c r="E284">
        <f>IFERROR(IF(ISNUMBER(INDEX(SPPR!$E:$X,MATCH($A284,SPPR!$A:$A,0),2)),$C284*INDEX(SPPR!$E:$X,MATCH($A284,SPPR!$A:$A,0),2),""),"")</f>
        <v/>
      </c>
      <c r="F284">
        <f>IFERROR(IF(ISNUMBER(INDEX(SPPR!$E:$X,MATCH($A284,SPPR!$A:$A,0),3)),$C284*INDEX(SPPR!$E:$X,MATCH($A284,SPPR!$A:$A,0),3),""),"")</f>
        <v/>
      </c>
      <c r="G284">
        <f>IFERROR(IF(ISNUMBER(INDEX(SPPR!$E:$X,MATCH($A284,SPPR!$A:$A,0),4)),$C284*INDEX(SPPR!$E:$X,MATCH($A284,SPPR!$A:$A,0),4),""),"")</f>
        <v/>
      </c>
      <c r="H284">
        <f>IFERROR(IF(ISNUMBER(INDEX(SPPR!$E:$X,MATCH($A284,SPPR!$A:$A,0),5)),$C284*INDEX(SPPR!$E:$X,MATCH($A284,SPPR!$A:$A,0),5),""),"")</f>
        <v/>
      </c>
      <c r="I284">
        <f>IFERROR(IF(ISNUMBER(INDEX(SPPR!$E:$X,MATCH($A284,SPPR!$A:$A,0),6)),$C284*INDEX(SPPR!$E:$X,MATCH($A284,SPPR!$A:$A,0),6),""),"")</f>
        <v/>
      </c>
      <c r="J284">
        <f>IFERROR(IF(ISNUMBER(INDEX(SPPR!$E:$X,MATCH($A284,SPPR!$A:$A,0),7)),$C284*INDEX(SPPR!$E:$X,MATCH($A284,SPPR!$A:$A,0),7),""),"")</f>
        <v/>
      </c>
      <c r="K284">
        <f>IFERROR(IF(ISNUMBER(INDEX(SPPR!$E:$X,MATCH($A284,SPPR!$A:$A,0),8)),$C284*INDEX(SPPR!$E:$X,MATCH($A284,SPPR!$A:$A,0),8),""),"")</f>
        <v/>
      </c>
      <c r="L284">
        <f>IFERROR(IF(ISNUMBER(INDEX(SPPR!$E:$X,MATCH($A284,SPPR!$A:$A,0),9)),$C284*INDEX(SPPR!$E:$X,MATCH($A284,SPPR!$A:$A,0),9),""),"")</f>
        <v/>
      </c>
      <c r="M284">
        <f>IFERROR(IF(ISNUMBER(INDEX(SPPR!$E:$X,MATCH($A284,SPPR!$A:$A,0),10)),$C284*INDEX(SPPR!$E:$X,MATCH($A284,SPPR!$A:$A,0),10),""),"")</f>
        <v/>
      </c>
      <c r="N284">
        <f>IFERROR(IF(ISNUMBER(INDEX(SPPR!$E:$X,MATCH($A284,SPPR!$A:$A,0),11)),$C284*INDEX(SPPR!$E:$X,MATCH($A284,SPPR!$A:$A,0),11),""),"")</f>
        <v/>
      </c>
      <c r="O284">
        <f>IFERROR(IF(ISNUMBER(INDEX(SPPR!$E:$X,MATCH($A284,SPPR!$A:$A,0),12)),$C284*INDEX(SPPR!$E:$X,MATCH($A284,SPPR!$A:$A,0),12),""),"")</f>
        <v/>
      </c>
      <c r="P284">
        <f>IFERROR(IF(ISNUMBER(INDEX(SPPR!$E:$X,MATCH($A284,SPPR!$A:$A,0),13)),$C284*INDEX(SPPR!$E:$X,MATCH($A284,SPPR!$A:$A,0),13),""),"")</f>
        <v/>
      </c>
      <c r="Q284">
        <f>IFERROR(IF(ISNUMBER(INDEX(SPPR!$E:$X,MATCH($A284,SPPR!$A:$A,0),14)),$C284*INDEX(SPPR!$E:$X,MATCH($A284,SPPR!$A:$A,0),14),""),"")</f>
        <v/>
      </c>
      <c r="R284">
        <f>IFERROR(IF(ISNUMBER(INDEX(SPPR!$E:$X,MATCH($A284,SPPR!$A:$A,0),15)),$C284*INDEX(SPPR!$E:$X,MATCH($A284,SPPR!$A:$A,0),15),""),"")</f>
        <v/>
      </c>
      <c r="S284">
        <f>IFERROR(IF(ISNUMBER(INDEX(SPPR!$E:$X,MATCH($A284,SPPR!$A:$A,0),16)),$C284*INDEX(SPPR!$E:$X,MATCH($A284,SPPR!$A:$A,0),16),""),"")</f>
        <v/>
      </c>
      <c r="T284">
        <f>IFERROR(IF(ISNUMBER(INDEX(SPPR!$E:$X,MATCH($A284,SPPR!$A:$A,0),17)),$C284*INDEX(SPPR!$E:$X,MATCH($A284,SPPR!$A:$A,0),17),""),"")</f>
        <v/>
      </c>
      <c r="U284">
        <f>IFERROR(IF(ISNUMBER(INDEX(SPPR!$E:$X,MATCH($A284,SPPR!$A:$A,0),18)),$C284*INDEX(SPPR!$E:$X,MATCH($A284,SPPR!$A:$A,0),18),""),"")</f>
        <v/>
      </c>
      <c r="V284">
        <f>IFERROR(IF(ISNUMBER(INDEX(SPPR!$E:$X,MATCH($A284,SPPR!$A:$A,0),19)),$C284*INDEX(SPPR!$E:$X,MATCH($A284,SPPR!$A:$A,0),19),""),"")</f>
        <v/>
      </c>
      <c r="W284">
        <f>IFERROR(IF(ISNUMBER(INDEX(SPPR!$E:$X,MATCH($A284,SPPR!$A:$A,0),20)),$C284*INDEX(SPPR!$E:$X,MATCH($A284,SPPR!$A:$A,0),20),""),"")</f>
        <v/>
      </c>
    </row>
    <row r="285">
      <c r="A285" t="inlineStr">
        <is>
          <t>Moridae</t>
        </is>
      </c>
      <c r="B285">
        <f>IFERROR(INDEX(SPPR!$D:$D,MATCH($A285,SPPR!$A:$A,0)),"")</f>
        <v/>
      </c>
      <c r="C285">
        <f>IFERROR(INDEX(Catch!$E:$BV,MATCH($A285,Catch!$A:$A,0),MATCH($B$4,Catch!$E$1:$BV$1,0)),0)</f>
        <v/>
      </c>
      <c r="D285">
        <f>IFERROR(IF(ISNUMBER(INDEX(SPPR!$E:$X,MATCH($A285,SPPR!$A:$A,0),1)),$C285*INDEX(SPPR!$E:$X,MATCH($A285,SPPR!$A:$A,0),1),""),"")</f>
        <v/>
      </c>
      <c r="E285">
        <f>IFERROR(IF(ISNUMBER(INDEX(SPPR!$E:$X,MATCH($A285,SPPR!$A:$A,0),2)),$C285*INDEX(SPPR!$E:$X,MATCH($A285,SPPR!$A:$A,0),2),""),"")</f>
        <v/>
      </c>
      <c r="F285">
        <f>IFERROR(IF(ISNUMBER(INDEX(SPPR!$E:$X,MATCH($A285,SPPR!$A:$A,0),3)),$C285*INDEX(SPPR!$E:$X,MATCH($A285,SPPR!$A:$A,0),3),""),"")</f>
        <v/>
      </c>
      <c r="G285">
        <f>IFERROR(IF(ISNUMBER(INDEX(SPPR!$E:$X,MATCH($A285,SPPR!$A:$A,0),4)),$C285*INDEX(SPPR!$E:$X,MATCH($A285,SPPR!$A:$A,0),4),""),"")</f>
        <v/>
      </c>
      <c r="H285">
        <f>IFERROR(IF(ISNUMBER(INDEX(SPPR!$E:$X,MATCH($A285,SPPR!$A:$A,0),5)),$C285*INDEX(SPPR!$E:$X,MATCH($A285,SPPR!$A:$A,0),5),""),"")</f>
        <v/>
      </c>
      <c r="I285">
        <f>IFERROR(IF(ISNUMBER(INDEX(SPPR!$E:$X,MATCH($A285,SPPR!$A:$A,0),6)),$C285*INDEX(SPPR!$E:$X,MATCH($A285,SPPR!$A:$A,0),6),""),"")</f>
        <v/>
      </c>
      <c r="J285">
        <f>IFERROR(IF(ISNUMBER(INDEX(SPPR!$E:$X,MATCH($A285,SPPR!$A:$A,0),7)),$C285*INDEX(SPPR!$E:$X,MATCH($A285,SPPR!$A:$A,0),7),""),"")</f>
        <v/>
      </c>
      <c r="K285">
        <f>IFERROR(IF(ISNUMBER(INDEX(SPPR!$E:$X,MATCH($A285,SPPR!$A:$A,0),8)),$C285*INDEX(SPPR!$E:$X,MATCH($A285,SPPR!$A:$A,0),8),""),"")</f>
        <v/>
      </c>
      <c r="L285">
        <f>IFERROR(IF(ISNUMBER(INDEX(SPPR!$E:$X,MATCH($A285,SPPR!$A:$A,0),9)),$C285*INDEX(SPPR!$E:$X,MATCH($A285,SPPR!$A:$A,0),9),""),"")</f>
        <v/>
      </c>
      <c r="M285">
        <f>IFERROR(IF(ISNUMBER(INDEX(SPPR!$E:$X,MATCH($A285,SPPR!$A:$A,0),10)),$C285*INDEX(SPPR!$E:$X,MATCH($A285,SPPR!$A:$A,0),10),""),"")</f>
        <v/>
      </c>
      <c r="N285">
        <f>IFERROR(IF(ISNUMBER(INDEX(SPPR!$E:$X,MATCH($A285,SPPR!$A:$A,0),11)),$C285*INDEX(SPPR!$E:$X,MATCH($A285,SPPR!$A:$A,0),11),""),"")</f>
        <v/>
      </c>
      <c r="O285">
        <f>IFERROR(IF(ISNUMBER(INDEX(SPPR!$E:$X,MATCH($A285,SPPR!$A:$A,0),12)),$C285*INDEX(SPPR!$E:$X,MATCH($A285,SPPR!$A:$A,0),12),""),"")</f>
        <v/>
      </c>
      <c r="P285">
        <f>IFERROR(IF(ISNUMBER(INDEX(SPPR!$E:$X,MATCH($A285,SPPR!$A:$A,0),13)),$C285*INDEX(SPPR!$E:$X,MATCH($A285,SPPR!$A:$A,0),13),""),"")</f>
        <v/>
      </c>
      <c r="Q285">
        <f>IFERROR(IF(ISNUMBER(INDEX(SPPR!$E:$X,MATCH($A285,SPPR!$A:$A,0),14)),$C285*INDEX(SPPR!$E:$X,MATCH($A285,SPPR!$A:$A,0),14),""),"")</f>
        <v/>
      </c>
      <c r="R285">
        <f>IFERROR(IF(ISNUMBER(INDEX(SPPR!$E:$X,MATCH($A285,SPPR!$A:$A,0),15)),$C285*INDEX(SPPR!$E:$X,MATCH($A285,SPPR!$A:$A,0),15),""),"")</f>
        <v/>
      </c>
      <c r="S285">
        <f>IFERROR(IF(ISNUMBER(INDEX(SPPR!$E:$X,MATCH($A285,SPPR!$A:$A,0),16)),$C285*INDEX(SPPR!$E:$X,MATCH($A285,SPPR!$A:$A,0),16),""),"")</f>
        <v/>
      </c>
      <c r="T285">
        <f>IFERROR(IF(ISNUMBER(INDEX(SPPR!$E:$X,MATCH($A285,SPPR!$A:$A,0),17)),$C285*INDEX(SPPR!$E:$X,MATCH($A285,SPPR!$A:$A,0),17),""),"")</f>
        <v/>
      </c>
      <c r="U285">
        <f>IFERROR(IF(ISNUMBER(INDEX(SPPR!$E:$X,MATCH($A285,SPPR!$A:$A,0),18)),$C285*INDEX(SPPR!$E:$X,MATCH($A285,SPPR!$A:$A,0),18),""),"")</f>
        <v/>
      </c>
      <c r="V285">
        <f>IFERROR(IF(ISNUMBER(INDEX(SPPR!$E:$X,MATCH($A285,SPPR!$A:$A,0),19)),$C285*INDEX(SPPR!$E:$X,MATCH($A285,SPPR!$A:$A,0),19),""),"")</f>
        <v/>
      </c>
      <c r="W285">
        <f>IFERROR(IF(ISNUMBER(INDEX(SPPR!$E:$X,MATCH($A285,SPPR!$A:$A,0),20)),$C285*INDEX(SPPR!$E:$X,MATCH($A285,SPPR!$A:$A,0),20),""),"")</f>
        <v/>
      </c>
    </row>
    <row r="286">
      <c r="A286" t="inlineStr">
        <is>
          <t>Mytilidae</t>
        </is>
      </c>
      <c r="B286">
        <f>IFERROR(INDEX(SPPR!$D:$D,MATCH($A286,SPPR!$A:$A,0)),"")</f>
        <v/>
      </c>
      <c r="C286">
        <f>IFERROR(INDEX(Catch!$E:$BV,MATCH($A286,Catch!$A:$A,0),MATCH($B$4,Catch!$E$1:$BV$1,0)),0)</f>
        <v/>
      </c>
      <c r="D286">
        <f>IFERROR(IF(ISNUMBER(INDEX(SPPR!$E:$X,MATCH($A286,SPPR!$A:$A,0),1)),$C286*INDEX(SPPR!$E:$X,MATCH($A286,SPPR!$A:$A,0),1),""),"")</f>
        <v/>
      </c>
      <c r="E286">
        <f>IFERROR(IF(ISNUMBER(INDEX(SPPR!$E:$X,MATCH($A286,SPPR!$A:$A,0),2)),$C286*INDEX(SPPR!$E:$X,MATCH($A286,SPPR!$A:$A,0),2),""),"")</f>
        <v/>
      </c>
      <c r="F286">
        <f>IFERROR(IF(ISNUMBER(INDEX(SPPR!$E:$X,MATCH($A286,SPPR!$A:$A,0),3)),$C286*INDEX(SPPR!$E:$X,MATCH($A286,SPPR!$A:$A,0),3),""),"")</f>
        <v/>
      </c>
      <c r="G286">
        <f>IFERROR(IF(ISNUMBER(INDEX(SPPR!$E:$X,MATCH($A286,SPPR!$A:$A,0),4)),$C286*INDEX(SPPR!$E:$X,MATCH($A286,SPPR!$A:$A,0),4),""),"")</f>
        <v/>
      </c>
      <c r="H286">
        <f>IFERROR(IF(ISNUMBER(INDEX(SPPR!$E:$X,MATCH($A286,SPPR!$A:$A,0),5)),$C286*INDEX(SPPR!$E:$X,MATCH($A286,SPPR!$A:$A,0),5),""),"")</f>
        <v/>
      </c>
      <c r="I286">
        <f>IFERROR(IF(ISNUMBER(INDEX(SPPR!$E:$X,MATCH($A286,SPPR!$A:$A,0),6)),$C286*INDEX(SPPR!$E:$X,MATCH($A286,SPPR!$A:$A,0),6),""),"")</f>
        <v/>
      </c>
      <c r="J286">
        <f>IFERROR(IF(ISNUMBER(INDEX(SPPR!$E:$X,MATCH($A286,SPPR!$A:$A,0),7)),$C286*INDEX(SPPR!$E:$X,MATCH($A286,SPPR!$A:$A,0),7),""),"")</f>
        <v/>
      </c>
      <c r="K286">
        <f>IFERROR(IF(ISNUMBER(INDEX(SPPR!$E:$X,MATCH($A286,SPPR!$A:$A,0),8)),$C286*INDEX(SPPR!$E:$X,MATCH($A286,SPPR!$A:$A,0),8),""),"")</f>
        <v/>
      </c>
      <c r="L286">
        <f>IFERROR(IF(ISNUMBER(INDEX(SPPR!$E:$X,MATCH($A286,SPPR!$A:$A,0),9)),$C286*INDEX(SPPR!$E:$X,MATCH($A286,SPPR!$A:$A,0),9),""),"")</f>
        <v/>
      </c>
      <c r="M286">
        <f>IFERROR(IF(ISNUMBER(INDEX(SPPR!$E:$X,MATCH($A286,SPPR!$A:$A,0),10)),$C286*INDEX(SPPR!$E:$X,MATCH($A286,SPPR!$A:$A,0),10),""),"")</f>
        <v/>
      </c>
      <c r="N286">
        <f>IFERROR(IF(ISNUMBER(INDEX(SPPR!$E:$X,MATCH($A286,SPPR!$A:$A,0),11)),$C286*INDEX(SPPR!$E:$X,MATCH($A286,SPPR!$A:$A,0),11),""),"")</f>
        <v/>
      </c>
      <c r="O286">
        <f>IFERROR(IF(ISNUMBER(INDEX(SPPR!$E:$X,MATCH($A286,SPPR!$A:$A,0),12)),$C286*INDEX(SPPR!$E:$X,MATCH($A286,SPPR!$A:$A,0),12),""),"")</f>
        <v/>
      </c>
      <c r="P286">
        <f>IFERROR(IF(ISNUMBER(INDEX(SPPR!$E:$X,MATCH($A286,SPPR!$A:$A,0),13)),$C286*INDEX(SPPR!$E:$X,MATCH($A286,SPPR!$A:$A,0),13),""),"")</f>
        <v/>
      </c>
      <c r="Q286">
        <f>IFERROR(IF(ISNUMBER(INDEX(SPPR!$E:$X,MATCH($A286,SPPR!$A:$A,0),14)),$C286*INDEX(SPPR!$E:$X,MATCH($A286,SPPR!$A:$A,0),14),""),"")</f>
        <v/>
      </c>
      <c r="R286">
        <f>IFERROR(IF(ISNUMBER(INDEX(SPPR!$E:$X,MATCH($A286,SPPR!$A:$A,0),15)),$C286*INDEX(SPPR!$E:$X,MATCH($A286,SPPR!$A:$A,0),15),""),"")</f>
        <v/>
      </c>
      <c r="S286">
        <f>IFERROR(IF(ISNUMBER(INDEX(SPPR!$E:$X,MATCH($A286,SPPR!$A:$A,0),16)),$C286*INDEX(SPPR!$E:$X,MATCH($A286,SPPR!$A:$A,0),16),""),"")</f>
        <v/>
      </c>
      <c r="T286">
        <f>IFERROR(IF(ISNUMBER(INDEX(SPPR!$E:$X,MATCH($A286,SPPR!$A:$A,0),17)),$C286*INDEX(SPPR!$E:$X,MATCH($A286,SPPR!$A:$A,0),17),""),"")</f>
        <v/>
      </c>
      <c r="U286">
        <f>IFERROR(IF(ISNUMBER(INDEX(SPPR!$E:$X,MATCH($A286,SPPR!$A:$A,0),18)),$C286*INDEX(SPPR!$E:$X,MATCH($A286,SPPR!$A:$A,0),18),""),"")</f>
        <v/>
      </c>
      <c r="V286">
        <f>IFERROR(IF(ISNUMBER(INDEX(SPPR!$E:$X,MATCH($A286,SPPR!$A:$A,0),19)),$C286*INDEX(SPPR!$E:$X,MATCH($A286,SPPR!$A:$A,0),19),""),"")</f>
        <v/>
      </c>
      <c r="W286">
        <f>IFERROR(IF(ISNUMBER(INDEX(SPPR!$E:$X,MATCH($A286,SPPR!$A:$A,0),20)),$C286*INDEX(SPPR!$E:$X,MATCH($A286,SPPR!$A:$A,0),20),""),"")</f>
        <v/>
      </c>
    </row>
    <row r="287">
      <c r="A287" t="inlineStr">
        <is>
          <t>Palaemonidae</t>
        </is>
      </c>
      <c r="B287">
        <f>IFERROR(INDEX(SPPR!$D:$D,MATCH($A287,SPPR!$A:$A,0)),"")</f>
        <v/>
      </c>
      <c r="C287">
        <f>IFERROR(INDEX(Catch!$E:$BV,MATCH($A287,Catch!$A:$A,0),MATCH($B$4,Catch!$E$1:$BV$1,0)),0)</f>
        <v/>
      </c>
      <c r="D287">
        <f>IFERROR(IF(ISNUMBER(INDEX(SPPR!$E:$X,MATCH($A287,SPPR!$A:$A,0),1)),$C287*INDEX(SPPR!$E:$X,MATCH($A287,SPPR!$A:$A,0),1),""),"")</f>
        <v/>
      </c>
      <c r="E287">
        <f>IFERROR(IF(ISNUMBER(INDEX(SPPR!$E:$X,MATCH($A287,SPPR!$A:$A,0),2)),$C287*INDEX(SPPR!$E:$X,MATCH($A287,SPPR!$A:$A,0),2),""),"")</f>
        <v/>
      </c>
      <c r="F287">
        <f>IFERROR(IF(ISNUMBER(INDEX(SPPR!$E:$X,MATCH($A287,SPPR!$A:$A,0),3)),$C287*INDEX(SPPR!$E:$X,MATCH($A287,SPPR!$A:$A,0),3),""),"")</f>
        <v/>
      </c>
      <c r="G287">
        <f>IFERROR(IF(ISNUMBER(INDEX(SPPR!$E:$X,MATCH($A287,SPPR!$A:$A,0),4)),$C287*INDEX(SPPR!$E:$X,MATCH($A287,SPPR!$A:$A,0),4),""),"")</f>
        <v/>
      </c>
      <c r="H287">
        <f>IFERROR(IF(ISNUMBER(INDEX(SPPR!$E:$X,MATCH($A287,SPPR!$A:$A,0),5)),$C287*INDEX(SPPR!$E:$X,MATCH($A287,SPPR!$A:$A,0),5),""),"")</f>
        <v/>
      </c>
      <c r="I287">
        <f>IFERROR(IF(ISNUMBER(INDEX(SPPR!$E:$X,MATCH($A287,SPPR!$A:$A,0),6)),$C287*INDEX(SPPR!$E:$X,MATCH($A287,SPPR!$A:$A,0),6),""),"")</f>
        <v/>
      </c>
      <c r="J287">
        <f>IFERROR(IF(ISNUMBER(INDEX(SPPR!$E:$X,MATCH($A287,SPPR!$A:$A,0),7)),$C287*INDEX(SPPR!$E:$X,MATCH($A287,SPPR!$A:$A,0),7),""),"")</f>
        <v/>
      </c>
      <c r="K287">
        <f>IFERROR(IF(ISNUMBER(INDEX(SPPR!$E:$X,MATCH($A287,SPPR!$A:$A,0),8)),$C287*INDEX(SPPR!$E:$X,MATCH($A287,SPPR!$A:$A,0),8),""),"")</f>
        <v/>
      </c>
      <c r="L287">
        <f>IFERROR(IF(ISNUMBER(INDEX(SPPR!$E:$X,MATCH($A287,SPPR!$A:$A,0),9)),$C287*INDEX(SPPR!$E:$X,MATCH($A287,SPPR!$A:$A,0),9),""),"")</f>
        <v/>
      </c>
      <c r="M287">
        <f>IFERROR(IF(ISNUMBER(INDEX(SPPR!$E:$X,MATCH($A287,SPPR!$A:$A,0),10)),$C287*INDEX(SPPR!$E:$X,MATCH($A287,SPPR!$A:$A,0),10),""),"")</f>
        <v/>
      </c>
      <c r="N287">
        <f>IFERROR(IF(ISNUMBER(INDEX(SPPR!$E:$X,MATCH($A287,SPPR!$A:$A,0),11)),$C287*INDEX(SPPR!$E:$X,MATCH($A287,SPPR!$A:$A,0),11),""),"")</f>
        <v/>
      </c>
      <c r="O287">
        <f>IFERROR(IF(ISNUMBER(INDEX(SPPR!$E:$X,MATCH($A287,SPPR!$A:$A,0),12)),$C287*INDEX(SPPR!$E:$X,MATCH($A287,SPPR!$A:$A,0),12),""),"")</f>
        <v/>
      </c>
      <c r="P287">
        <f>IFERROR(IF(ISNUMBER(INDEX(SPPR!$E:$X,MATCH($A287,SPPR!$A:$A,0),13)),$C287*INDEX(SPPR!$E:$X,MATCH($A287,SPPR!$A:$A,0),13),""),"")</f>
        <v/>
      </c>
      <c r="Q287">
        <f>IFERROR(IF(ISNUMBER(INDEX(SPPR!$E:$X,MATCH($A287,SPPR!$A:$A,0),14)),$C287*INDEX(SPPR!$E:$X,MATCH($A287,SPPR!$A:$A,0),14),""),"")</f>
        <v/>
      </c>
      <c r="R287">
        <f>IFERROR(IF(ISNUMBER(INDEX(SPPR!$E:$X,MATCH($A287,SPPR!$A:$A,0),15)),$C287*INDEX(SPPR!$E:$X,MATCH($A287,SPPR!$A:$A,0),15),""),"")</f>
        <v/>
      </c>
      <c r="S287">
        <f>IFERROR(IF(ISNUMBER(INDEX(SPPR!$E:$X,MATCH($A287,SPPR!$A:$A,0),16)),$C287*INDEX(SPPR!$E:$X,MATCH($A287,SPPR!$A:$A,0),16),""),"")</f>
        <v/>
      </c>
      <c r="T287">
        <f>IFERROR(IF(ISNUMBER(INDEX(SPPR!$E:$X,MATCH($A287,SPPR!$A:$A,0),17)),$C287*INDEX(SPPR!$E:$X,MATCH($A287,SPPR!$A:$A,0),17),""),"")</f>
        <v/>
      </c>
      <c r="U287">
        <f>IFERROR(IF(ISNUMBER(INDEX(SPPR!$E:$X,MATCH($A287,SPPR!$A:$A,0),18)),$C287*INDEX(SPPR!$E:$X,MATCH($A287,SPPR!$A:$A,0),18),""),"")</f>
        <v/>
      </c>
      <c r="V287">
        <f>IFERROR(IF(ISNUMBER(INDEX(SPPR!$E:$X,MATCH($A287,SPPR!$A:$A,0),19)),$C287*INDEX(SPPR!$E:$X,MATCH($A287,SPPR!$A:$A,0),19),""),"")</f>
        <v/>
      </c>
      <c r="W287">
        <f>IFERROR(IF(ISNUMBER(INDEX(SPPR!$E:$X,MATCH($A287,SPPR!$A:$A,0),20)),$C287*INDEX(SPPR!$E:$X,MATCH($A287,SPPR!$A:$A,0),20),""),"")</f>
        <v/>
      </c>
    </row>
    <row r="288">
      <c r="A288" t="inlineStr">
        <is>
          <t>Echinoidea</t>
        </is>
      </c>
      <c r="B288">
        <f>IFERROR(INDEX(SPPR!$D:$D,MATCH($A288,SPPR!$A:$A,0)),"")</f>
        <v/>
      </c>
      <c r="C288">
        <f>IFERROR(INDEX(Catch!$E:$BV,MATCH($A288,Catch!$A:$A,0),MATCH($B$4,Catch!$E$1:$BV$1,0)),0)</f>
        <v/>
      </c>
      <c r="D288">
        <f>IFERROR(IF(ISNUMBER(INDEX(SPPR!$E:$X,MATCH($A288,SPPR!$A:$A,0),1)),$C288*INDEX(SPPR!$E:$X,MATCH($A288,SPPR!$A:$A,0),1),""),"")</f>
        <v/>
      </c>
      <c r="E288">
        <f>IFERROR(IF(ISNUMBER(INDEX(SPPR!$E:$X,MATCH($A288,SPPR!$A:$A,0),2)),$C288*INDEX(SPPR!$E:$X,MATCH($A288,SPPR!$A:$A,0),2),""),"")</f>
        <v/>
      </c>
      <c r="F288">
        <f>IFERROR(IF(ISNUMBER(INDEX(SPPR!$E:$X,MATCH($A288,SPPR!$A:$A,0),3)),$C288*INDEX(SPPR!$E:$X,MATCH($A288,SPPR!$A:$A,0),3),""),"")</f>
        <v/>
      </c>
      <c r="G288">
        <f>IFERROR(IF(ISNUMBER(INDEX(SPPR!$E:$X,MATCH($A288,SPPR!$A:$A,0),4)),$C288*INDEX(SPPR!$E:$X,MATCH($A288,SPPR!$A:$A,0),4),""),"")</f>
        <v/>
      </c>
      <c r="H288">
        <f>IFERROR(IF(ISNUMBER(INDEX(SPPR!$E:$X,MATCH($A288,SPPR!$A:$A,0),5)),$C288*INDEX(SPPR!$E:$X,MATCH($A288,SPPR!$A:$A,0),5),""),"")</f>
        <v/>
      </c>
      <c r="I288">
        <f>IFERROR(IF(ISNUMBER(INDEX(SPPR!$E:$X,MATCH($A288,SPPR!$A:$A,0),6)),$C288*INDEX(SPPR!$E:$X,MATCH($A288,SPPR!$A:$A,0),6),""),"")</f>
        <v/>
      </c>
      <c r="J288">
        <f>IFERROR(IF(ISNUMBER(INDEX(SPPR!$E:$X,MATCH($A288,SPPR!$A:$A,0),7)),$C288*INDEX(SPPR!$E:$X,MATCH($A288,SPPR!$A:$A,0),7),""),"")</f>
        <v/>
      </c>
      <c r="K288">
        <f>IFERROR(IF(ISNUMBER(INDEX(SPPR!$E:$X,MATCH($A288,SPPR!$A:$A,0),8)),$C288*INDEX(SPPR!$E:$X,MATCH($A288,SPPR!$A:$A,0),8),""),"")</f>
        <v/>
      </c>
      <c r="L288">
        <f>IFERROR(IF(ISNUMBER(INDEX(SPPR!$E:$X,MATCH($A288,SPPR!$A:$A,0),9)),$C288*INDEX(SPPR!$E:$X,MATCH($A288,SPPR!$A:$A,0),9),""),"")</f>
        <v/>
      </c>
      <c r="M288">
        <f>IFERROR(IF(ISNUMBER(INDEX(SPPR!$E:$X,MATCH($A288,SPPR!$A:$A,0),10)),$C288*INDEX(SPPR!$E:$X,MATCH($A288,SPPR!$A:$A,0),10),""),"")</f>
        <v/>
      </c>
      <c r="N288">
        <f>IFERROR(IF(ISNUMBER(INDEX(SPPR!$E:$X,MATCH($A288,SPPR!$A:$A,0),11)),$C288*INDEX(SPPR!$E:$X,MATCH($A288,SPPR!$A:$A,0),11),""),"")</f>
        <v/>
      </c>
      <c r="O288">
        <f>IFERROR(IF(ISNUMBER(INDEX(SPPR!$E:$X,MATCH($A288,SPPR!$A:$A,0),12)),$C288*INDEX(SPPR!$E:$X,MATCH($A288,SPPR!$A:$A,0),12),""),"")</f>
        <v/>
      </c>
      <c r="P288">
        <f>IFERROR(IF(ISNUMBER(INDEX(SPPR!$E:$X,MATCH($A288,SPPR!$A:$A,0),13)),$C288*INDEX(SPPR!$E:$X,MATCH($A288,SPPR!$A:$A,0),13),""),"")</f>
        <v/>
      </c>
      <c r="Q288">
        <f>IFERROR(IF(ISNUMBER(INDEX(SPPR!$E:$X,MATCH($A288,SPPR!$A:$A,0),14)),$C288*INDEX(SPPR!$E:$X,MATCH($A288,SPPR!$A:$A,0),14),""),"")</f>
        <v/>
      </c>
      <c r="R288">
        <f>IFERROR(IF(ISNUMBER(INDEX(SPPR!$E:$X,MATCH($A288,SPPR!$A:$A,0),15)),$C288*INDEX(SPPR!$E:$X,MATCH($A288,SPPR!$A:$A,0),15),""),"")</f>
        <v/>
      </c>
      <c r="S288">
        <f>IFERROR(IF(ISNUMBER(INDEX(SPPR!$E:$X,MATCH($A288,SPPR!$A:$A,0),16)),$C288*INDEX(SPPR!$E:$X,MATCH($A288,SPPR!$A:$A,0),16),""),"")</f>
        <v/>
      </c>
      <c r="T288">
        <f>IFERROR(IF(ISNUMBER(INDEX(SPPR!$E:$X,MATCH($A288,SPPR!$A:$A,0),17)),$C288*INDEX(SPPR!$E:$X,MATCH($A288,SPPR!$A:$A,0),17),""),"")</f>
        <v/>
      </c>
      <c r="U288">
        <f>IFERROR(IF(ISNUMBER(INDEX(SPPR!$E:$X,MATCH($A288,SPPR!$A:$A,0),18)),$C288*INDEX(SPPR!$E:$X,MATCH($A288,SPPR!$A:$A,0),18),""),"")</f>
        <v/>
      </c>
      <c r="V288">
        <f>IFERROR(IF(ISNUMBER(INDEX(SPPR!$E:$X,MATCH($A288,SPPR!$A:$A,0),19)),$C288*INDEX(SPPR!$E:$X,MATCH($A288,SPPR!$A:$A,0),19),""),"")</f>
        <v/>
      </c>
      <c r="W288">
        <f>IFERROR(IF(ISNUMBER(INDEX(SPPR!$E:$X,MATCH($A288,SPPR!$A:$A,0),20)),$C288*INDEX(SPPR!$E:$X,MATCH($A288,SPPR!$A:$A,0),20),""),"")</f>
        <v/>
      </c>
    </row>
    <row r="289">
      <c r="A289" t="inlineStr">
        <is>
          <t>Lota lota</t>
        </is>
      </c>
      <c r="B289">
        <f>IFERROR(INDEX(SPPR!$D:$D,MATCH($A289,SPPR!$A:$A,0)),"")</f>
        <v/>
      </c>
      <c r="C289">
        <f>IFERROR(INDEX(Catch!$E:$BV,MATCH($A289,Catch!$A:$A,0),MATCH($B$4,Catch!$E$1:$BV$1,0)),0)</f>
        <v/>
      </c>
      <c r="D289">
        <f>IFERROR(IF(ISNUMBER(INDEX(SPPR!$E:$X,MATCH($A289,SPPR!$A:$A,0),1)),$C289*INDEX(SPPR!$E:$X,MATCH($A289,SPPR!$A:$A,0),1),""),"")</f>
        <v/>
      </c>
      <c r="E289">
        <f>IFERROR(IF(ISNUMBER(INDEX(SPPR!$E:$X,MATCH($A289,SPPR!$A:$A,0),2)),$C289*INDEX(SPPR!$E:$X,MATCH($A289,SPPR!$A:$A,0),2),""),"")</f>
        <v/>
      </c>
      <c r="F289">
        <f>IFERROR(IF(ISNUMBER(INDEX(SPPR!$E:$X,MATCH($A289,SPPR!$A:$A,0),3)),$C289*INDEX(SPPR!$E:$X,MATCH($A289,SPPR!$A:$A,0),3),""),"")</f>
        <v/>
      </c>
      <c r="G289">
        <f>IFERROR(IF(ISNUMBER(INDEX(SPPR!$E:$X,MATCH($A289,SPPR!$A:$A,0),4)),$C289*INDEX(SPPR!$E:$X,MATCH($A289,SPPR!$A:$A,0),4),""),"")</f>
        <v/>
      </c>
      <c r="H289">
        <f>IFERROR(IF(ISNUMBER(INDEX(SPPR!$E:$X,MATCH($A289,SPPR!$A:$A,0),5)),$C289*INDEX(SPPR!$E:$X,MATCH($A289,SPPR!$A:$A,0),5),""),"")</f>
        <v/>
      </c>
      <c r="I289">
        <f>IFERROR(IF(ISNUMBER(INDEX(SPPR!$E:$X,MATCH($A289,SPPR!$A:$A,0),6)),$C289*INDEX(SPPR!$E:$X,MATCH($A289,SPPR!$A:$A,0),6),""),"")</f>
        <v/>
      </c>
      <c r="J289">
        <f>IFERROR(IF(ISNUMBER(INDEX(SPPR!$E:$X,MATCH($A289,SPPR!$A:$A,0),7)),$C289*INDEX(SPPR!$E:$X,MATCH($A289,SPPR!$A:$A,0),7),""),"")</f>
        <v/>
      </c>
      <c r="K289">
        <f>IFERROR(IF(ISNUMBER(INDEX(SPPR!$E:$X,MATCH($A289,SPPR!$A:$A,0),8)),$C289*INDEX(SPPR!$E:$X,MATCH($A289,SPPR!$A:$A,0),8),""),"")</f>
        <v/>
      </c>
      <c r="L289">
        <f>IFERROR(IF(ISNUMBER(INDEX(SPPR!$E:$X,MATCH($A289,SPPR!$A:$A,0),9)),$C289*INDEX(SPPR!$E:$X,MATCH($A289,SPPR!$A:$A,0),9),""),"")</f>
        <v/>
      </c>
      <c r="M289">
        <f>IFERROR(IF(ISNUMBER(INDEX(SPPR!$E:$X,MATCH($A289,SPPR!$A:$A,0),10)),$C289*INDEX(SPPR!$E:$X,MATCH($A289,SPPR!$A:$A,0),10),""),"")</f>
        <v/>
      </c>
      <c r="N289">
        <f>IFERROR(IF(ISNUMBER(INDEX(SPPR!$E:$X,MATCH($A289,SPPR!$A:$A,0),11)),$C289*INDEX(SPPR!$E:$X,MATCH($A289,SPPR!$A:$A,0),11),""),"")</f>
        <v/>
      </c>
      <c r="O289">
        <f>IFERROR(IF(ISNUMBER(INDEX(SPPR!$E:$X,MATCH($A289,SPPR!$A:$A,0),12)),$C289*INDEX(SPPR!$E:$X,MATCH($A289,SPPR!$A:$A,0),12),""),"")</f>
        <v/>
      </c>
      <c r="P289">
        <f>IFERROR(IF(ISNUMBER(INDEX(SPPR!$E:$X,MATCH($A289,SPPR!$A:$A,0),13)),$C289*INDEX(SPPR!$E:$X,MATCH($A289,SPPR!$A:$A,0),13),""),"")</f>
        <v/>
      </c>
      <c r="Q289">
        <f>IFERROR(IF(ISNUMBER(INDEX(SPPR!$E:$X,MATCH($A289,SPPR!$A:$A,0),14)),$C289*INDEX(SPPR!$E:$X,MATCH($A289,SPPR!$A:$A,0),14),""),"")</f>
        <v/>
      </c>
      <c r="R289">
        <f>IFERROR(IF(ISNUMBER(INDEX(SPPR!$E:$X,MATCH($A289,SPPR!$A:$A,0),15)),$C289*INDEX(SPPR!$E:$X,MATCH($A289,SPPR!$A:$A,0),15),""),"")</f>
        <v/>
      </c>
      <c r="S289">
        <f>IFERROR(IF(ISNUMBER(INDEX(SPPR!$E:$X,MATCH($A289,SPPR!$A:$A,0),16)),$C289*INDEX(SPPR!$E:$X,MATCH($A289,SPPR!$A:$A,0),16),""),"")</f>
        <v/>
      </c>
      <c r="T289">
        <f>IFERROR(IF(ISNUMBER(INDEX(SPPR!$E:$X,MATCH($A289,SPPR!$A:$A,0),17)),$C289*INDEX(SPPR!$E:$X,MATCH($A289,SPPR!$A:$A,0),17),""),"")</f>
        <v/>
      </c>
      <c r="U289">
        <f>IFERROR(IF(ISNUMBER(INDEX(SPPR!$E:$X,MATCH($A289,SPPR!$A:$A,0),18)),$C289*INDEX(SPPR!$E:$X,MATCH($A289,SPPR!$A:$A,0),18),""),"")</f>
        <v/>
      </c>
      <c r="V289">
        <f>IFERROR(IF(ISNUMBER(INDEX(SPPR!$E:$X,MATCH($A289,SPPR!$A:$A,0),19)),$C289*INDEX(SPPR!$E:$X,MATCH($A289,SPPR!$A:$A,0),19),""),"")</f>
        <v/>
      </c>
      <c r="W289">
        <f>IFERROR(IF(ISNUMBER(INDEX(SPPR!$E:$X,MATCH($A289,SPPR!$A:$A,0),20)),$C289*INDEX(SPPR!$E:$X,MATCH($A289,SPPR!$A:$A,0),20),""),"")</f>
        <v/>
      </c>
    </row>
    <row r="290">
      <c r="A290" t="inlineStr">
        <is>
          <t>Diplodus</t>
        </is>
      </c>
      <c r="B290">
        <f>IFERROR(INDEX(SPPR!$D:$D,MATCH($A290,SPPR!$A:$A,0)),"")</f>
        <v/>
      </c>
      <c r="C290">
        <f>IFERROR(INDEX(Catch!$E:$BV,MATCH($A290,Catch!$A:$A,0),MATCH($B$4,Catch!$E$1:$BV$1,0)),0)</f>
        <v/>
      </c>
      <c r="D290">
        <f>IFERROR(IF(ISNUMBER(INDEX(SPPR!$E:$X,MATCH($A290,SPPR!$A:$A,0),1)),$C290*INDEX(SPPR!$E:$X,MATCH($A290,SPPR!$A:$A,0),1),""),"")</f>
        <v/>
      </c>
      <c r="E290">
        <f>IFERROR(IF(ISNUMBER(INDEX(SPPR!$E:$X,MATCH($A290,SPPR!$A:$A,0),2)),$C290*INDEX(SPPR!$E:$X,MATCH($A290,SPPR!$A:$A,0),2),""),"")</f>
        <v/>
      </c>
      <c r="F290">
        <f>IFERROR(IF(ISNUMBER(INDEX(SPPR!$E:$X,MATCH($A290,SPPR!$A:$A,0),3)),$C290*INDEX(SPPR!$E:$X,MATCH($A290,SPPR!$A:$A,0),3),""),"")</f>
        <v/>
      </c>
      <c r="G290">
        <f>IFERROR(IF(ISNUMBER(INDEX(SPPR!$E:$X,MATCH($A290,SPPR!$A:$A,0),4)),$C290*INDEX(SPPR!$E:$X,MATCH($A290,SPPR!$A:$A,0),4),""),"")</f>
        <v/>
      </c>
      <c r="H290">
        <f>IFERROR(IF(ISNUMBER(INDEX(SPPR!$E:$X,MATCH($A290,SPPR!$A:$A,0),5)),$C290*INDEX(SPPR!$E:$X,MATCH($A290,SPPR!$A:$A,0),5),""),"")</f>
        <v/>
      </c>
      <c r="I290">
        <f>IFERROR(IF(ISNUMBER(INDEX(SPPR!$E:$X,MATCH($A290,SPPR!$A:$A,0),6)),$C290*INDEX(SPPR!$E:$X,MATCH($A290,SPPR!$A:$A,0),6),""),"")</f>
        <v/>
      </c>
      <c r="J290">
        <f>IFERROR(IF(ISNUMBER(INDEX(SPPR!$E:$X,MATCH($A290,SPPR!$A:$A,0),7)),$C290*INDEX(SPPR!$E:$X,MATCH($A290,SPPR!$A:$A,0),7),""),"")</f>
        <v/>
      </c>
      <c r="K290">
        <f>IFERROR(IF(ISNUMBER(INDEX(SPPR!$E:$X,MATCH($A290,SPPR!$A:$A,0),8)),$C290*INDEX(SPPR!$E:$X,MATCH($A290,SPPR!$A:$A,0),8),""),"")</f>
        <v/>
      </c>
      <c r="L290">
        <f>IFERROR(IF(ISNUMBER(INDEX(SPPR!$E:$X,MATCH($A290,SPPR!$A:$A,0),9)),$C290*INDEX(SPPR!$E:$X,MATCH($A290,SPPR!$A:$A,0),9),""),"")</f>
        <v/>
      </c>
      <c r="M290">
        <f>IFERROR(IF(ISNUMBER(INDEX(SPPR!$E:$X,MATCH($A290,SPPR!$A:$A,0),10)),$C290*INDEX(SPPR!$E:$X,MATCH($A290,SPPR!$A:$A,0),10),""),"")</f>
        <v/>
      </c>
      <c r="N290">
        <f>IFERROR(IF(ISNUMBER(INDEX(SPPR!$E:$X,MATCH($A290,SPPR!$A:$A,0),11)),$C290*INDEX(SPPR!$E:$X,MATCH($A290,SPPR!$A:$A,0),11),""),"")</f>
        <v/>
      </c>
      <c r="O290">
        <f>IFERROR(IF(ISNUMBER(INDEX(SPPR!$E:$X,MATCH($A290,SPPR!$A:$A,0),12)),$C290*INDEX(SPPR!$E:$X,MATCH($A290,SPPR!$A:$A,0),12),""),"")</f>
        <v/>
      </c>
      <c r="P290">
        <f>IFERROR(IF(ISNUMBER(INDEX(SPPR!$E:$X,MATCH($A290,SPPR!$A:$A,0),13)),$C290*INDEX(SPPR!$E:$X,MATCH($A290,SPPR!$A:$A,0),13),""),"")</f>
        <v/>
      </c>
      <c r="Q290">
        <f>IFERROR(IF(ISNUMBER(INDEX(SPPR!$E:$X,MATCH($A290,SPPR!$A:$A,0),14)),$C290*INDEX(SPPR!$E:$X,MATCH($A290,SPPR!$A:$A,0),14),""),"")</f>
        <v/>
      </c>
      <c r="R290">
        <f>IFERROR(IF(ISNUMBER(INDEX(SPPR!$E:$X,MATCH($A290,SPPR!$A:$A,0),15)),$C290*INDEX(SPPR!$E:$X,MATCH($A290,SPPR!$A:$A,0),15),""),"")</f>
        <v/>
      </c>
      <c r="S290">
        <f>IFERROR(IF(ISNUMBER(INDEX(SPPR!$E:$X,MATCH($A290,SPPR!$A:$A,0),16)),$C290*INDEX(SPPR!$E:$X,MATCH($A290,SPPR!$A:$A,0),16),""),"")</f>
        <v/>
      </c>
      <c r="T290">
        <f>IFERROR(IF(ISNUMBER(INDEX(SPPR!$E:$X,MATCH($A290,SPPR!$A:$A,0),17)),$C290*INDEX(SPPR!$E:$X,MATCH($A290,SPPR!$A:$A,0),17),""),"")</f>
        <v/>
      </c>
      <c r="U290">
        <f>IFERROR(IF(ISNUMBER(INDEX(SPPR!$E:$X,MATCH($A290,SPPR!$A:$A,0),18)),$C290*INDEX(SPPR!$E:$X,MATCH($A290,SPPR!$A:$A,0),18),""),"")</f>
        <v/>
      </c>
      <c r="V290">
        <f>IFERROR(IF(ISNUMBER(INDEX(SPPR!$E:$X,MATCH($A290,SPPR!$A:$A,0),19)),$C290*INDEX(SPPR!$E:$X,MATCH($A290,SPPR!$A:$A,0),19),""),"")</f>
        <v/>
      </c>
      <c r="W290">
        <f>IFERROR(IF(ISNUMBER(INDEX(SPPR!$E:$X,MATCH($A290,SPPR!$A:$A,0),20)),$C290*INDEX(SPPR!$E:$X,MATCH($A290,SPPR!$A:$A,0),20),""),"")</f>
        <v/>
      </c>
    </row>
    <row r="291">
      <c r="A291" t="inlineStr">
        <is>
          <t>Trigla lyra</t>
        </is>
      </c>
      <c r="B291">
        <f>IFERROR(INDEX(SPPR!$D:$D,MATCH($A291,SPPR!$A:$A,0)),"")</f>
        <v/>
      </c>
      <c r="C291">
        <f>IFERROR(INDEX(Catch!$E:$BV,MATCH($A291,Catch!$A:$A,0),MATCH($B$4,Catch!$E$1:$BV$1,0)),0)</f>
        <v/>
      </c>
      <c r="D291">
        <f>IFERROR(IF(ISNUMBER(INDEX(SPPR!$E:$X,MATCH($A291,SPPR!$A:$A,0),1)),$C291*INDEX(SPPR!$E:$X,MATCH($A291,SPPR!$A:$A,0),1),""),"")</f>
        <v/>
      </c>
      <c r="E291">
        <f>IFERROR(IF(ISNUMBER(INDEX(SPPR!$E:$X,MATCH($A291,SPPR!$A:$A,0),2)),$C291*INDEX(SPPR!$E:$X,MATCH($A291,SPPR!$A:$A,0),2),""),"")</f>
        <v/>
      </c>
      <c r="F291">
        <f>IFERROR(IF(ISNUMBER(INDEX(SPPR!$E:$X,MATCH($A291,SPPR!$A:$A,0),3)),$C291*INDEX(SPPR!$E:$X,MATCH($A291,SPPR!$A:$A,0),3),""),"")</f>
        <v/>
      </c>
      <c r="G291">
        <f>IFERROR(IF(ISNUMBER(INDEX(SPPR!$E:$X,MATCH($A291,SPPR!$A:$A,0),4)),$C291*INDEX(SPPR!$E:$X,MATCH($A291,SPPR!$A:$A,0),4),""),"")</f>
        <v/>
      </c>
      <c r="H291">
        <f>IFERROR(IF(ISNUMBER(INDEX(SPPR!$E:$X,MATCH($A291,SPPR!$A:$A,0),5)),$C291*INDEX(SPPR!$E:$X,MATCH($A291,SPPR!$A:$A,0),5),""),"")</f>
        <v/>
      </c>
      <c r="I291">
        <f>IFERROR(IF(ISNUMBER(INDEX(SPPR!$E:$X,MATCH($A291,SPPR!$A:$A,0),6)),$C291*INDEX(SPPR!$E:$X,MATCH($A291,SPPR!$A:$A,0),6),""),"")</f>
        <v/>
      </c>
      <c r="J291">
        <f>IFERROR(IF(ISNUMBER(INDEX(SPPR!$E:$X,MATCH($A291,SPPR!$A:$A,0),7)),$C291*INDEX(SPPR!$E:$X,MATCH($A291,SPPR!$A:$A,0),7),""),"")</f>
        <v/>
      </c>
      <c r="K291">
        <f>IFERROR(IF(ISNUMBER(INDEX(SPPR!$E:$X,MATCH($A291,SPPR!$A:$A,0),8)),$C291*INDEX(SPPR!$E:$X,MATCH($A291,SPPR!$A:$A,0),8),""),"")</f>
        <v/>
      </c>
      <c r="L291">
        <f>IFERROR(IF(ISNUMBER(INDEX(SPPR!$E:$X,MATCH($A291,SPPR!$A:$A,0),9)),$C291*INDEX(SPPR!$E:$X,MATCH($A291,SPPR!$A:$A,0),9),""),"")</f>
        <v/>
      </c>
      <c r="M291">
        <f>IFERROR(IF(ISNUMBER(INDEX(SPPR!$E:$X,MATCH($A291,SPPR!$A:$A,0),10)),$C291*INDEX(SPPR!$E:$X,MATCH($A291,SPPR!$A:$A,0),10),""),"")</f>
        <v/>
      </c>
      <c r="N291">
        <f>IFERROR(IF(ISNUMBER(INDEX(SPPR!$E:$X,MATCH($A291,SPPR!$A:$A,0),11)),$C291*INDEX(SPPR!$E:$X,MATCH($A291,SPPR!$A:$A,0),11),""),"")</f>
        <v/>
      </c>
      <c r="O291">
        <f>IFERROR(IF(ISNUMBER(INDEX(SPPR!$E:$X,MATCH($A291,SPPR!$A:$A,0),12)),$C291*INDEX(SPPR!$E:$X,MATCH($A291,SPPR!$A:$A,0),12),""),"")</f>
        <v/>
      </c>
      <c r="P291">
        <f>IFERROR(IF(ISNUMBER(INDEX(SPPR!$E:$X,MATCH($A291,SPPR!$A:$A,0),13)),$C291*INDEX(SPPR!$E:$X,MATCH($A291,SPPR!$A:$A,0),13),""),"")</f>
        <v/>
      </c>
      <c r="Q291">
        <f>IFERROR(IF(ISNUMBER(INDEX(SPPR!$E:$X,MATCH($A291,SPPR!$A:$A,0),14)),$C291*INDEX(SPPR!$E:$X,MATCH($A291,SPPR!$A:$A,0),14),""),"")</f>
        <v/>
      </c>
      <c r="R291">
        <f>IFERROR(IF(ISNUMBER(INDEX(SPPR!$E:$X,MATCH($A291,SPPR!$A:$A,0),15)),$C291*INDEX(SPPR!$E:$X,MATCH($A291,SPPR!$A:$A,0),15),""),"")</f>
        <v/>
      </c>
      <c r="S291">
        <f>IFERROR(IF(ISNUMBER(INDEX(SPPR!$E:$X,MATCH($A291,SPPR!$A:$A,0),16)),$C291*INDEX(SPPR!$E:$X,MATCH($A291,SPPR!$A:$A,0),16),""),"")</f>
        <v/>
      </c>
      <c r="T291">
        <f>IFERROR(IF(ISNUMBER(INDEX(SPPR!$E:$X,MATCH($A291,SPPR!$A:$A,0),17)),$C291*INDEX(SPPR!$E:$X,MATCH($A291,SPPR!$A:$A,0),17),""),"")</f>
        <v/>
      </c>
      <c r="U291">
        <f>IFERROR(IF(ISNUMBER(INDEX(SPPR!$E:$X,MATCH($A291,SPPR!$A:$A,0),18)),$C291*INDEX(SPPR!$E:$X,MATCH($A291,SPPR!$A:$A,0),18),""),"")</f>
        <v/>
      </c>
      <c r="V291">
        <f>IFERROR(IF(ISNUMBER(INDEX(SPPR!$E:$X,MATCH($A291,SPPR!$A:$A,0),19)),$C291*INDEX(SPPR!$E:$X,MATCH($A291,SPPR!$A:$A,0),19),""),"")</f>
        <v/>
      </c>
      <c r="W291">
        <f>IFERROR(IF(ISNUMBER(INDEX(SPPR!$E:$X,MATCH($A291,SPPR!$A:$A,0),20)),$C291*INDEX(SPPR!$E:$X,MATCH($A291,SPPR!$A:$A,0),20),""),"")</f>
        <v/>
      </c>
    </row>
    <row r="292">
      <c r="A292" t="inlineStr">
        <is>
          <t>Xiphias gladius</t>
        </is>
      </c>
      <c r="B292">
        <f>IFERROR(INDEX(SPPR!$D:$D,MATCH($A292,SPPR!$A:$A,0)),"")</f>
        <v/>
      </c>
      <c r="C292">
        <f>IFERROR(INDEX(Catch!$E:$BV,MATCH($A292,Catch!$A:$A,0),MATCH($B$4,Catch!$E$1:$BV$1,0)),0)</f>
        <v/>
      </c>
      <c r="D292">
        <f>IFERROR(IF(ISNUMBER(INDEX(SPPR!$E:$X,MATCH($A292,SPPR!$A:$A,0),1)),$C292*INDEX(SPPR!$E:$X,MATCH($A292,SPPR!$A:$A,0),1),""),"")</f>
        <v/>
      </c>
      <c r="E292">
        <f>IFERROR(IF(ISNUMBER(INDEX(SPPR!$E:$X,MATCH($A292,SPPR!$A:$A,0),2)),$C292*INDEX(SPPR!$E:$X,MATCH($A292,SPPR!$A:$A,0),2),""),"")</f>
        <v/>
      </c>
      <c r="F292">
        <f>IFERROR(IF(ISNUMBER(INDEX(SPPR!$E:$X,MATCH($A292,SPPR!$A:$A,0),3)),$C292*INDEX(SPPR!$E:$X,MATCH($A292,SPPR!$A:$A,0),3),""),"")</f>
        <v/>
      </c>
      <c r="G292">
        <f>IFERROR(IF(ISNUMBER(INDEX(SPPR!$E:$X,MATCH($A292,SPPR!$A:$A,0),4)),$C292*INDEX(SPPR!$E:$X,MATCH($A292,SPPR!$A:$A,0),4),""),"")</f>
        <v/>
      </c>
      <c r="H292">
        <f>IFERROR(IF(ISNUMBER(INDEX(SPPR!$E:$X,MATCH($A292,SPPR!$A:$A,0),5)),$C292*INDEX(SPPR!$E:$X,MATCH($A292,SPPR!$A:$A,0),5),""),"")</f>
        <v/>
      </c>
      <c r="I292">
        <f>IFERROR(IF(ISNUMBER(INDEX(SPPR!$E:$X,MATCH($A292,SPPR!$A:$A,0),6)),$C292*INDEX(SPPR!$E:$X,MATCH($A292,SPPR!$A:$A,0),6),""),"")</f>
        <v/>
      </c>
      <c r="J292">
        <f>IFERROR(IF(ISNUMBER(INDEX(SPPR!$E:$X,MATCH($A292,SPPR!$A:$A,0),7)),$C292*INDEX(SPPR!$E:$X,MATCH($A292,SPPR!$A:$A,0),7),""),"")</f>
        <v/>
      </c>
      <c r="K292">
        <f>IFERROR(IF(ISNUMBER(INDEX(SPPR!$E:$X,MATCH($A292,SPPR!$A:$A,0),8)),$C292*INDEX(SPPR!$E:$X,MATCH($A292,SPPR!$A:$A,0),8),""),"")</f>
        <v/>
      </c>
      <c r="L292">
        <f>IFERROR(IF(ISNUMBER(INDEX(SPPR!$E:$X,MATCH($A292,SPPR!$A:$A,0),9)),$C292*INDEX(SPPR!$E:$X,MATCH($A292,SPPR!$A:$A,0),9),""),"")</f>
        <v/>
      </c>
      <c r="M292">
        <f>IFERROR(IF(ISNUMBER(INDEX(SPPR!$E:$X,MATCH($A292,SPPR!$A:$A,0),10)),$C292*INDEX(SPPR!$E:$X,MATCH($A292,SPPR!$A:$A,0),10),""),"")</f>
        <v/>
      </c>
      <c r="N292">
        <f>IFERROR(IF(ISNUMBER(INDEX(SPPR!$E:$X,MATCH($A292,SPPR!$A:$A,0),11)),$C292*INDEX(SPPR!$E:$X,MATCH($A292,SPPR!$A:$A,0),11),""),"")</f>
        <v/>
      </c>
      <c r="O292">
        <f>IFERROR(IF(ISNUMBER(INDEX(SPPR!$E:$X,MATCH($A292,SPPR!$A:$A,0),12)),$C292*INDEX(SPPR!$E:$X,MATCH($A292,SPPR!$A:$A,0),12),""),"")</f>
        <v/>
      </c>
      <c r="P292">
        <f>IFERROR(IF(ISNUMBER(INDEX(SPPR!$E:$X,MATCH($A292,SPPR!$A:$A,0),13)),$C292*INDEX(SPPR!$E:$X,MATCH($A292,SPPR!$A:$A,0),13),""),"")</f>
        <v/>
      </c>
      <c r="Q292">
        <f>IFERROR(IF(ISNUMBER(INDEX(SPPR!$E:$X,MATCH($A292,SPPR!$A:$A,0),14)),$C292*INDEX(SPPR!$E:$X,MATCH($A292,SPPR!$A:$A,0),14),""),"")</f>
        <v/>
      </c>
      <c r="R292">
        <f>IFERROR(IF(ISNUMBER(INDEX(SPPR!$E:$X,MATCH($A292,SPPR!$A:$A,0),15)),$C292*INDEX(SPPR!$E:$X,MATCH($A292,SPPR!$A:$A,0),15),""),"")</f>
        <v/>
      </c>
      <c r="S292">
        <f>IFERROR(IF(ISNUMBER(INDEX(SPPR!$E:$X,MATCH($A292,SPPR!$A:$A,0),16)),$C292*INDEX(SPPR!$E:$X,MATCH($A292,SPPR!$A:$A,0),16),""),"")</f>
        <v/>
      </c>
      <c r="T292">
        <f>IFERROR(IF(ISNUMBER(INDEX(SPPR!$E:$X,MATCH($A292,SPPR!$A:$A,0),17)),$C292*INDEX(SPPR!$E:$X,MATCH($A292,SPPR!$A:$A,0),17),""),"")</f>
        <v/>
      </c>
      <c r="U292">
        <f>IFERROR(IF(ISNUMBER(INDEX(SPPR!$E:$X,MATCH($A292,SPPR!$A:$A,0),18)),$C292*INDEX(SPPR!$E:$X,MATCH($A292,SPPR!$A:$A,0),18),""),"")</f>
        <v/>
      </c>
      <c r="V292">
        <f>IFERROR(IF(ISNUMBER(INDEX(SPPR!$E:$X,MATCH($A292,SPPR!$A:$A,0),19)),$C292*INDEX(SPPR!$E:$X,MATCH($A292,SPPR!$A:$A,0),19),""),"")</f>
        <v/>
      </c>
      <c r="W292">
        <f>IFERROR(IF(ISNUMBER(INDEX(SPPR!$E:$X,MATCH($A292,SPPR!$A:$A,0),20)),$C292*INDEX(SPPR!$E:$X,MATCH($A292,SPPR!$A:$A,0),20),""),"")</f>
        <v/>
      </c>
    </row>
    <row r="293">
      <c r="A293" t="inlineStr">
        <is>
          <t>Scardinius erythrophthalmus</t>
        </is>
      </c>
      <c r="B293">
        <f>IFERROR(INDEX(SPPR!$D:$D,MATCH($A293,SPPR!$A:$A,0)),"")</f>
        <v/>
      </c>
      <c r="C293">
        <f>IFERROR(INDEX(Catch!$E:$BV,MATCH($A293,Catch!$A:$A,0),MATCH($B$4,Catch!$E$1:$BV$1,0)),0)</f>
        <v/>
      </c>
      <c r="D293">
        <f>IFERROR(IF(ISNUMBER(INDEX(SPPR!$E:$X,MATCH($A293,SPPR!$A:$A,0),1)),$C293*INDEX(SPPR!$E:$X,MATCH($A293,SPPR!$A:$A,0),1),""),"")</f>
        <v/>
      </c>
      <c r="E293">
        <f>IFERROR(IF(ISNUMBER(INDEX(SPPR!$E:$X,MATCH($A293,SPPR!$A:$A,0),2)),$C293*INDEX(SPPR!$E:$X,MATCH($A293,SPPR!$A:$A,0),2),""),"")</f>
        <v/>
      </c>
      <c r="F293">
        <f>IFERROR(IF(ISNUMBER(INDEX(SPPR!$E:$X,MATCH($A293,SPPR!$A:$A,0),3)),$C293*INDEX(SPPR!$E:$X,MATCH($A293,SPPR!$A:$A,0),3),""),"")</f>
        <v/>
      </c>
      <c r="G293">
        <f>IFERROR(IF(ISNUMBER(INDEX(SPPR!$E:$X,MATCH($A293,SPPR!$A:$A,0),4)),$C293*INDEX(SPPR!$E:$X,MATCH($A293,SPPR!$A:$A,0),4),""),"")</f>
        <v/>
      </c>
      <c r="H293">
        <f>IFERROR(IF(ISNUMBER(INDEX(SPPR!$E:$X,MATCH($A293,SPPR!$A:$A,0),5)),$C293*INDEX(SPPR!$E:$X,MATCH($A293,SPPR!$A:$A,0),5),""),"")</f>
        <v/>
      </c>
      <c r="I293">
        <f>IFERROR(IF(ISNUMBER(INDEX(SPPR!$E:$X,MATCH($A293,SPPR!$A:$A,0),6)),$C293*INDEX(SPPR!$E:$X,MATCH($A293,SPPR!$A:$A,0),6),""),"")</f>
        <v/>
      </c>
      <c r="J293">
        <f>IFERROR(IF(ISNUMBER(INDEX(SPPR!$E:$X,MATCH($A293,SPPR!$A:$A,0),7)),$C293*INDEX(SPPR!$E:$X,MATCH($A293,SPPR!$A:$A,0),7),""),"")</f>
        <v/>
      </c>
      <c r="K293">
        <f>IFERROR(IF(ISNUMBER(INDEX(SPPR!$E:$X,MATCH($A293,SPPR!$A:$A,0),8)),$C293*INDEX(SPPR!$E:$X,MATCH($A293,SPPR!$A:$A,0),8),""),"")</f>
        <v/>
      </c>
      <c r="L293">
        <f>IFERROR(IF(ISNUMBER(INDEX(SPPR!$E:$X,MATCH($A293,SPPR!$A:$A,0),9)),$C293*INDEX(SPPR!$E:$X,MATCH($A293,SPPR!$A:$A,0),9),""),"")</f>
        <v/>
      </c>
      <c r="M293">
        <f>IFERROR(IF(ISNUMBER(INDEX(SPPR!$E:$X,MATCH($A293,SPPR!$A:$A,0),10)),$C293*INDEX(SPPR!$E:$X,MATCH($A293,SPPR!$A:$A,0),10),""),"")</f>
        <v/>
      </c>
      <c r="N293">
        <f>IFERROR(IF(ISNUMBER(INDEX(SPPR!$E:$X,MATCH($A293,SPPR!$A:$A,0),11)),$C293*INDEX(SPPR!$E:$X,MATCH($A293,SPPR!$A:$A,0),11),""),"")</f>
        <v/>
      </c>
      <c r="O293">
        <f>IFERROR(IF(ISNUMBER(INDEX(SPPR!$E:$X,MATCH($A293,SPPR!$A:$A,0),12)),$C293*INDEX(SPPR!$E:$X,MATCH($A293,SPPR!$A:$A,0),12),""),"")</f>
        <v/>
      </c>
      <c r="P293">
        <f>IFERROR(IF(ISNUMBER(INDEX(SPPR!$E:$X,MATCH($A293,SPPR!$A:$A,0),13)),$C293*INDEX(SPPR!$E:$X,MATCH($A293,SPPR!$A:$A,0),13),""),"")</f>
        <v/>
      </c>
      <c r="Q293">
        <f>IFERROR(IF(ISNUMBER(INDEX(SPPR!$E:$X,MATCH($A293,SPPR!$A:$A,0),14)),$C293*INDEX(SPPR!$E:$X,MATCH($A293,SPPR!$A:$A,0),14),""),"")</f>
        <v/>
      </c>
      <c r="R293">
        <f>IFERROR(IF(ISNUMBER(INDEX(SPPR!$E:$X,MATCH($A293,SPPR!$A:$A,0),15)),$C293*INDEX(SPPR!$E:$X,MATCH($A293,SPPR!$A:$A,0),15),""),"")</f>
        <v/>
      </c>
      <c r="S293">
        <f>IFERROR(IF(ISNUMBER(INDEX(SPPR!$E:$X,MATCH($A293,SPPR!$A:$A,0),16)),$C293*INDEX(SPPR!$E:$X,MATCH($A293,SPPR!$A:$A,0),16),""),"")</f>
        <v/>
      </c>
      <c r="T293">
        <f>IFERROR(IF(ISNUMBER(INDEX(SPPR!$E:$X,MATCH($A293,SPPR!$A:$A,0),17)),$C293*INDEX(SPPR!$E:$X,MATCH($A293,SPPR!$A:$A,0),17),""),"")</f>
        <v/>
      </c>
      <c r="U293">
        <f>IFERROR(IF(ISNUMBER(INDEX(SPPR!$E:$X,MATCH($A293,SPPR!$A:$A,0),18)),$C293*INDEX(SPPR!$E:$X,MATCH($A293,SPPR!$A:$A,0),18),""),"")</f>
        <v/>
      </c>
      <c r="V293">
        <f>IFERROR(IF(ISNUMBER(INDEX(SPPR!$E:$X,MATCH($A293,SPPR!$A:$A,0),19)),$C293*INDEX(SPPR!$E:$X,MATCH($A293,SPPR!$A:$A,0),19),""),"")</f>
        <v/>
      </c>
      <c r="W293">
        <f>IFERROR(IF(ISNUMBER(INDEX(SPPR!$E:$X,MATCH($A293,SPPR!$A:$A,0),20)),$C293*INDEX(SPPR!$E:$X,MATCH($A293,SPPR!$A:$A,0),20),""),"")</f>
        <v/>
      </c>
    </row>
    <row r="294">
      <c r="A294" t="inlineStr">
        <is>
          <t>Loligo forbesii</t>
        </is>
      </c>
      <c r="B294">
        <f>IFERROR(INDEX(SPPR!$D:$D,MATCH($A294,SPPR!$A:$A,0)),"")</f>
        <v/>
      </c>
      <c r="C294">
        <f>IFERROR(INDEX(Catch!$E:$BV,MATCH($A294,Catch!$A:$A,0),MATCH($B$4,Catch!$E$1:$BV$1,0)),0)</f>
        <v/>
      </c>
      <c r="D294">
        <f>IFERROR(IF(ISNUMBER(INDEX(SPPR!$E:$X,MATCH($A294,SPPR!$A:$A,0),1)),$C294*INDEX(SPPR!$E:$X,MATCH($A294,SPPR!$A:$A,0),1),""),"")</f>
        <v/>
      </c>
      <c r="E294">
        <f>IFERROR(IF(ISNUMBER(INDEX(SPPR!$E:$X,MATCH($A294,SPPR!$A:$A,0),2)),$C294*INDEX(SPPR!$E:$X,MATCH($A294,SPPR!$A:$A,0),2),""),"")</f>
        <v/>
      </c>
      <c r="F294">
        <f>IFERROR(IF(ISNUMBER(INDEX(SPPR!$E:$X,MATCH($A294,SPPR!$A:$A,0),3)),$C294*INDEX(SPPR!$E:$X,MATCH($A294,SPPR!$A:$A,0),3),""),"")</f>
        <v/>
      </c>
      <c r="G294">
        <f>IFERROR(IF(ISNUMBER(INDEX(SPPR!$E:$X,MATCH($A294,SPPR!$A:$A,0),4)),$C294*INDEX(SPPR!$E:$X,MATCH($A294,SPPR!$A:$A,0),4),""),"")</f>
        <v/>
      </c>
      <c r="H294">
        <f>IFERROR(IF(ISNUMBER(INDEX(SPPR!$E:$X,MATCH($A294,SPPR!$A:$A,0),5)),$C294*INDEX(SPPR!$E:$X,MATCH($A294,SPPR!$A:$A,0),5),""),"")</f>
        <v/>
      </c>
      <c r="I294">
        <f>IFERROR(IF(ISNUMBER(INDEX(SPPR!$E:$X,MATCH($A294,SPPR!$A:$A,0),6)),$C294*INDEX(SPPR!$E:$X,MATCH($A294,SPPR!$A:$A,0),6),""),"")</f>
        <v/>
      </c>
      <c r="J294">
        <f>IFERROR(IF(ISNUMBER(INDEX(SPPR!$E:$X,MATCH($A294,SPPR!$A:$A,0),7)),$C294*INDEX(SPPR!$E:$X,MATCH($A294,SPPR!$A:$A,0),7),""),"")</f>
        <v/>
      </c>
      <c r="K294">
        <f>IFERROR(IF(ISNUMBER(INDEX(SPPR!$E:$X,MATCH($A294,SPPR!$A:$A,0),8)),$C294*INDEX(SPPR!$E:$X,MATCH($A294,SPPR!$A:$A,0),8),""),"")</f>
        <v/>
      </c>
      <c r="L294">
        <f>IFERROR(IF(ISNUMBER(INDEX(SPPR!$E:$X,MATCH($A294,SPPR!$A:$A,0),9)),$C294*INDEX(SPPR!$E:$X,MATCH($A294,SPPR!$A:$A,0),9),""),"")</f>
        <v/>
      </c>
      <c r="M294">
        <f>IFERROR(IF(ISNUMBER(INDEX(SPPR!$E:$X,MATCH($A294,SPPR!$A:$A,0),10)),$C294*INDEX(SPPR!$E:$X,MATCH($A294,SPPR!$A:$A,0),10),""),"")</f>
        <v/>
      </c>
      <c r="N294">
        <f>IFERROR(IF(ISNUMBER(INDEX(SPPR!$E:$X,MATCH($A294,SPPR!$A:$A,0),11)),$C294*INDEX(SPPR!$E:$X,MATCH($A294,SPPR!$A:$A,0),11),""),"")</f>
        <v/>
      </c>
      <c r="O294">
        <f>IFERROR(IF(ISNUMBER(INDEX(SPPR!$E:$X,MATCH($A294,SPPR!$A:$A,0),12)),$C294*INDEX(SPPR!$E:$X,MATCH($A294,SPPR!$A:$A,0),12),""),"")</f>
        <v/>
      </c>
      <c r="P294">
        <f>IFERROR(IF(ISNUMBER(INDEX(SPPR!$E:$X,MATCH($A294,SPPR!$A:$A,0),13)),$C294*INDEX(SPPR!$E:$X,MATCH($A294,SPPR!$A:$A,0),13),""),"")</f>
        <v/>
      </c>
      <c r="Q294">
        <f>IFERROR(IF(ISNUMBER(INDEX(SPPR!$E:$X,MATCH($A294,SPPR!$A:$A,0),14)),$C294*INDEX(SPPR!$E:$X,MATCH($A294,SPPR!$A:$A,0),14),""),"")</f>
        <v/>
      </c>
      <c r="R294">
        <f>IFERROR(IF(ISNUMBER(INDEX(SPPR!$E:$X,MATCH($A294,SPPR!$A:$A,0),15)),$C294*INDEX(SPPR!$E:$X,MATCH($A294,SPPR!$A:$A,0),15),""),"")</f>
        <v/>
      </c>
      <c r="S294">
        <f>IFERROR(IF(ISNUMBER(INDEX(SPPR!$E:$X,MATCH($A294,SPPR!$A:$A,0),16)),$C294*INDEX(SPPR!$E:$X,MATCH($A294,SPPR!$A:$A,0),16),""),"")</f>
        <v/>
      </c>
      <c r="T294">
        <f>IFERROR(IF(ISNUMBER(INDEX(SPPR!$E:$X,MATCH($A294,SPPR!$A:$A,0),17)),$C294*INDEX(SPPR!$E:$X,MATCH($A294,SPPR!$A:$A,0),17),""),"")</f>
        <v/>
      </c>
      <c r="U294">
        <f>IFERROR(IF(ISNUMBER(INDEX(SPPR!$E:$X,MATCH($A294,SPPR!$A:$A,0),18)),$C294*INDEX(SPPR!$E:$X,MATCH($A294,SPPR!$A:$A,0),18),""),"")</f>
        <v/>
      </c>
      <c r="V294">
        <f>IFERROR(IF(ISNUMBER(INDEX(SPPR!$E:$X,MATCH($A294,SPPR!$A:$A,0),19)),$C294*INDEX(SPPR!$E:$X,MATCH($A294,SPPR!$A:$A,0),19),""),"")</f>
        <v/>
      </c>
      <c r="W294">
        <f>IFERROR(IF(ISNUMBER(INDEX(SPPR!$E:$X,MATCH($A294,SPPR!$A:$A,0),20)),$C294*INDEX(SPPR!$E:$X,MATCH($A294,SPPR!$A:$A,0),20),""),"")</f>
        <v/>
      </c>
    </row>
    <row r="295">
      <c r="A295" t="inlineStr">
        <is>
          <t>Trachinidae</t>
        </is>
      </c>
      <c r="B295">
        <f>IFERROR(INDEX(SPPR!$D:$D,MATCH($A295,SPPR!$A:$A,0)),"")</f>
        <v/>
      </c>
      <c r="C295">
        <f>IFERROR(INDEX(Catch!$E:$BV,MATCH($A295,Catch!$A:$A,0),MATCH($B$4,Catch!$E$1:$BV$1,0)),0)</f>
        <v/>
      </c>
      <c r="D295">
        <f>IFERROR(IF(ISNUMBER(INDEX(SPPR!$E:$X,MATCH($A295,SPPR!$A:$A,0),1)),$C295*INDEX(SPPR!$E:$X,MATCH($A295,SPPR!$A:$A,0),1),""),"")</f>
        <v/>
      </c>
      <c r="E295">
        <f>IFERROR(IF(ISNUMBER(INDEX(SPPR!$E:$X,MATCH($A295,SPPR!$A:$A,0),2)),$C295*INDEX(SPPR!$E:$X,MATCH($A295,SPPR!$A:$A,0),2),""),"")</f>
        <v/>
      </c>
      <c r="F295">
        <f>IFERROR(IF(ISNUMBER(INDEX(SPPR!$E:$X,MATCH($A295,SPPR!$A:$A,0),3)),$C295*INDEX(SPPR!$E:$X,MATCH($A295,SPPR!$A:$A,0),3),""),"")</f>
        <v/>
      </c>
      <c r="G295">
        <f>IFERROR(IF(ISNUMBER(INDEX(SPPR!$E:$X,MATCH($A295,SPPR!$A:$A,0),4)),$C295*INDEX(SPPR!$E:$X,MATCH($A295,SPPR!$A:$A,0),4),""),"")</f>
        <v/>
      </c>
      <c r="H295">
        <f>IFERROR(IF(ISNUMBER(INDEX(SPPR!$E:$X,MATCH($A295,SPPR!$A:$A,0),5)),$C295*INDEX(SPPR!$E:$X,MATCH($A295,SPPR!$A:$A,0),5),""),"")</f>
        <v/>
      </c>
      <c r="I295">
        <f>IFERROR(IF(ISNUMBER(INDEX(SPPR!$E:$X,MATCH($A295,SPPR!$A:$A,0),6)),$C295*INDEX(SPPR!$E:$X,MATCH($A295,SPPR!$A:$A,0),6),""),"")</f>
        <v/>
      </c>
      <c r="J295">
        <f>IFERROR(IF(ISNUMBER(INDEX(SPPR!$E:$X,MATCH($A295,SPPR!$A:$A,0),7)),$C295*INDEX(SPPR!$E:$X,MATCH($A295,SPPR!$A:$A,0),7),""),"")</f>
        <v/>
      </c>
      <c r="K295">
        <f>IFERROR(IF(ISNUMBER(INDEX(SPPR!$E:$X,MATCH($A295,SPPR!$A:$A,0),8)),$C295*INDEX(SPPR!$E:$X,MATCH($A295,SPPR!$A:$A,0),8),""),"")</f>
        <v/>
      </c>
      <c r="L295">
        <f>IFERROR(IF(ISNUMBER(INDEX(SPPR!$E:$X,MATCH($A295,SPPR!$A:$A,0),9)),$C295*INDEX(SPPR!$E:$X,MATCH($A295,SPPR!$A:$A,0),9),""),"")</f>
        <v/>
      </c>
      <c r="M295">
        <f>IFERROR(IF(ISNUMBER(INDEX(SPPR!$E:$X,MATCH($A295,SPPR!$A:$A,0),10)),$C295*INDEX(SPPR!$E:$X,MATCH($A295,SPPR!$A:$A,0),10),""),"")</f>
        <v/>
      </c>
      <c r="N295">
        <f>IFERROR(IF(ISNUMBER(INDEX(SPPR!$E:$X,MATCH($A295,SPPR!$A:$A,0),11)),$C295*INDEX(SPPR!$E:$X,MATCH($A295,SPPR!$A:$A,0),11),""),"")</f>
        <v/>
      </c>
      <c r="O295">
        <f>IFERROR(IF(ISNUMBER(INDEX(SPPR!$E:$X,MATCH($A295,SPPR!$A:$A,0),12)),$C295*INDEX(SPPR!$E:$X,MATCH($A295,SPPR!$A:$A,0),12),""),"")</f>
        <v/>
      </c>
      <c r="P295">
        <f>IFERROR(IF(ISNUMBER(INDEX(SPPR!$E:$X,MATCH($A295,SPPR!$A:$A,0),13)),$C295*INDEX(SPPR!$E:$X,MATCH($A295,SPPR!$A:$A,0),13),""),"")</f>
        <v/>
      </c>
      <c r="Q295">
        <f>IFERROR(IF(ISNUMBER(INDEX(SPPR!$E:$X,MATCH($A295,SPPR!$A:$A,0),14)),$C295*INDEX(SPPR!$E:$X,MATCH($A295,SPPR!$A:$A,0),14),""),"")</f>
        <v/>
      </c>
      <c r="R295">
        <f>IFERROR(IF(ISNUMBER(INDEX(SPPR!$E:$X,MATCH($A295,SPPR!$A:$A,0),15)),$C295*INDEX(SPPR!$E:$X,MATCH($A295,SPPR!$A:$A,0),15),""),"")</f>
        <v/>
      </c>
      <c r="S295">
        <f>IFERROR(IF(ISNUMBER(INDEX(SPPR!$E:$X,MATCH($A295,SPPR!$A:$A,0),16)),$C295*INDEX(SPPR!$E:$X,MATCH($A295,SPPR!$A:$A,0),16),""),"")</f>
        <v/>
      </c>
      <c r="T295">
        <f>IFERROR(IF(ISNUMBER(INDEX(SPPR!$E:$X,MATCH($A295,SPPR!$A:$A,0),17)),$C295*INDEX(SPPR!$E:$X,MATCH($A295,SPPR!$A:$A,0),17),""),"")</f>
        <v/>
      </c>
      <c r="U295">
        <f>IFERROR(IF(ISNUMBER(INDEX(SPPR!$E:$X,MATCH($A295,SPPR!$A:$A,0),18)),$C295*INDEX(SPPR!$E:$X,MATCH($A295,SPPR!$A:$A,0),18),""),"")</f>
        <v/>
      </c>
      <c r="V295">
        <f>IFERROR(IF(ISNUMBER(INDEX(SPPR!$E:$X,MATCH($A295,SPPR!$A:$A,0),19)),$C295*INDEX(SPPR!$E:$X,MATCH($A295,SPPR!$A:$A,0),19),""),"")</f>
        <v/>
      </c>
      <c r="W295">
        <f>IFERROR(IF(ISNUMBER(INDEX(SPPR!$E:$X,MATCH($A295,SPPR!$A:$A,0),20)),$C295*INDEX(SPPR!$E:$X,MATCH($A295,SPPR!$A:$A,0),20),""),"")</f>
        <v/>
      </c>
    </row>
    <row r="296">
      <c r="A296" t="inlineStr">
        <is>
          <t>Ruditapes decussatus</t>
        </is>
      </c>
      <c r="B296">
        <f>IFERROR(INDEX(SPPR!$D:$D,MATCH($A296,SPPR!$A:$A,0)),"")</f>
        <v/>
      </c>
      <c r="C296">
        <f>IFERROR(INDEX(Catch!$E:$BV,MATCH($A296,Catch!$A:$A,0),MATCH($B$4,Catch!$E$1:$BV$1,0)),0)</f>
        <v/>
      </c>
      <c r="D296">
        <f>IFERROR(IF(ISNUMBER(INDEX(SPPR!$E:$X,MATCH($A296,SPPR!$A:$A,0),1)),$C296*INDEX(SPPR!$E:$X,MATCH($A296,SPPR!$A:$A,0),1),""),"")</f>
        <v/>
      </c>
      <c r="E296">
        <f>IFERROR(IF(ISNUMBER(INDEX(SPPR!$E:$X,MATCH($A296,SPPR!$A:$A,0),2)),$C296*INDEX(SPPR!$E:$X,MATCH($A296,SPPR!$A:$A,0),2),""),"")</f>
        <v/>
      </c>
      <c r="F296">
        <f>IFERROR(IF(ISNUMBER(INDEX(SPPR!$E:$X,MATCH($A296,SPPR!$A:$A,0),3)),$C296*INDEX(SPPR!$E:$X,MATCH($A296,SPPR!$A:$A,0),3),""),"")</f>
        <v/>
      </c>
      <c r="G296">
        <f>IFERROR(IF(ISNUMBER(INDEX(SPPR!$E:$X,MATCH($A296,SPPR!$A:$A,0),4)),$C296*INDEX(SPPR!$E:$X,MATCH($A296,SPPR!$A:$A,0),4),""),"")</f>
        <v/>
      </c>
      <c r="H296">
        <f>IFERROR(IF(ISNUMBER(INDEX(SPPR!$E:$X,MATCH($A296,SPPR!$A:$A,0),5)),$C296*INDEX(SPPR!$E:$X,MATCH($A296,SPPR!$A:$A,0),5),""),"")</f>
        <v/>
      </c>
      <c r="I296">
        <f>IFERROR(IF(ISNUMBER(INDEX(SPPR!$E:$X,MATCH($A296,SPPR!$A:$A,0),6)),$C296*INDEX(SPPR!$E:$X,MATCH($A296,SPPR!$A:$A,0),6),""),"")</f>
        <v/>
      </c>
      <c r="J296">
        <f>IFERROR(IF(ISNUMBER(INDEX(SPPR!$E:$X,MATCH($A296,SPPR!$A:$A,0),7)),$C296*INDEX(SPPR!$E:$X,MATCH($A296,SPPR!$A:$A,0),7),""),"")</f>
        <v/>
      </c>
      <c r="K296">
        <f>IFERROR(IF(ISNUMBER(INDEX(SPPR!$E:$X,MATCH($A296,SPPR!$A:$A,0),8)),$C296*INDEX(SPPR!$E:$X,MATCH($A296,SPPR!$A:$A,0),8),""),"")</f>
        <v/>
      </c>
      <c r="L296">
        <f>IFERROR(IF(ISNUMBER(INDEX(SPPR!$E:$X,MATCH($A296,SPPR!$A:$A,0),9)),$C296*INDEX(SPPR!$E:$X,MATCH($A296,SPPR!$A:$A,0),9),""),"")</f>
        <v/>
      </c>
      <c r="M296">
        <f>IFERROR(IF(ISNUMBER(INDEX(SPPR!$E:$X,MATCH($A296,SPPR!$A:$A,0),10)),$C296*INDEX(SPPR!$E:$X,MATCH($A296,SPPR!$A:$A,0),10),""),"")</f>
        <v/>
      </c>
      <c r="N296">
        <f>IFERROR(IF(ISNUMBER(INDEX(SPPR!$E:$X,MATCH($A296,SPPR!$A:$A,0),11)),$C296*INDEX(SPPR!$E:$X,MATCH($A296,SPPR!$A:$A,0),11),""),"")</f>
        <v/>
      </c>
      <c r="O296">
        <f>IFERROR(IF(ISNUMBER(INDEX(SPPR!$E:$X,MATCH($A296,SPPR!$A:$A,0),12)),$C296*INDEX(SPPR!$E:$X,MATCH($A296,SPPR!$A:$A,0),12),""),"")</f>
        <v/>
      </c>
      <c r="P296">
        <f>IFERROR(IF(ISNUMBER(INDEX(SPPR!$E:$X,MATCH($A296,SPPR!$A:$A,0),13)),$C296*INDEX(SPPR!$E:$X,MATCH($A296,SPPR!$A:$A,0),13),""),"")</f>
        <v/>
      </c>
      <c r="Q296">
        <f>IFERROR(IF(ISNUMBER(INDEX(SPPR!$E:$X,MATCH($A296,SPPR!$A:$A,0),14)),$C296*INDEX(SPPR!$E:$X,MATCH($A296,SPPR!$A:$A,0),14),""),"")</f>
        <v/>
      </c>
      <c r="R296">
        <f>IFERROR(IF(ISNUMBER(INDEX(SPPR!$E:$X,MATCH($A296,SPPR!$A:$A,0),15)),$C296*INDEX(SPPR!$E:$X,MATCH($A296,SPPR!$A:$A,0),15),""),"")</f>
        <v/>
      </c>
      <c r="S296">
        <f>IFERROR(IF(ISNUMBER(INDEX(SPPR!$E:$X,MATCH($A296,SPPR!$A:$A,0),16)),$C296*INDEX(SPPR!$E:$X,MATCH($A296,SPPR!$A:$A,0),16),""),"")</f>
        <v/>
      </c>
      <c r="T296">
        <f>IFERROR(IF(ISNUMBER(INDEX(SPPR!$E:$X,MATCH($A296,SPPR!$A:$A,0),17)),$C296*INDEX(SPPR!$E:$X,MATCH($A296,SPPR!$A:$A,0),17),""),"")</f>
        <v/>
      </c>
      <c r="U296">
        <f>IFERROR(IF(ISNUMBER(INDEX(SPPR!$E:$X,MATCH($A296,SPPR!$A:$A,0),18)),$C296*INDEX(SPPR!$E:$X,MATCH($A296,SPPR!$A:$A,0),18),""),"")</f>
        <v/>
      </c>
      <c r="V296">
        <f>IFERROR(IF(ISNUMBER(INDEX(SPPR!$E:$X,MATCH($A296,SPPR!$A:$A,0),19)),$C296*INDEX(SPPR!$E:$X,MATCH($A296,SPPR!$A:$A,0),19),""),"")</f>
        <v/>
      </c>
      <c r="W296">
        <f>IFERROR(IF(ISNUMBER(INDEX(SPPR!$E:$X,MATCH($A296,SPPR!$A:$A,0),20)),$C296*INDEX(SPPR!$E:$X,MATCH($A296,SPPR!$A:$A,0),20),""),"")</f>
        <v/>
      </c>
    </row>
    <row r="297">
      <c r="A297" t="inlineStr">
        <is>
          <t>Alosa alosa</t>
        </is>
      </c>
      <c r="B297">
        <f>IFERROR(INDEX(SPPR!$D:$D,MATCH($A297,SPPR!$A:$A,0)),"")</f>
        <v/>
      </c>
      <c r="C297">
        <f>IFERROR(INDEX(Catch!$E:$BV,MATCH($A297,Catch!$A:$A,0),MATCH($B$4,Catch!$E$1:$BV$1,0)),0)</f>
        <v/>
      </c>
      <c r="D297">
        <f>IFERROR(IF(ISNUMBER(INDEX(SPPR!$E:$X,MATCH($A297,SPPR!$A:$A,0),1)),$C297*INDEX(SPPR!$E:$X,MATCH($A297,SPPR!$A:$A,0),1),""),"")</f>
        <v/>
      </c>
      <c r="E297">
        <f>IFERROR(IF(ISNUMBER(INDEX(SPPR!$E:$X,MATCH($A297,SPPR!$A:$A,0),2)),$C297*INDEX(SPPR!$E:$X,MATCH($A297,SPPR!$A:$A,0),2),""),"")</f>
        <v/>
      </c>
      <c r="F297">
        <f>IFERROR(IF(ISNUMBER(INDEX(SPPR!$E:$X,MATCH($A297,SPPR!$A:$A,0),3)),$C297*INDEX(SPPR!$E:$X,MATCH($A297,SPPR!$A:$A,0),3),""),"")</f>
        <v/>
      </c>
      <c r="G297">
        <f>IFERROR(IF(ISNUMBER(INDEX(SPPR!$E:$X,MATCH($A297,SPPR!$A:$A,0),4)),$C297*INDEX(SPPR!$E:$X,MATCH($A297,SPPR!$A:$A,0),4),""),"")</f>
        <v/>
      </c>
      <c r="H297">
        <f>IFERROR(IF(ISNUMBER(INDEX(SPPR!$E:$X,MATCH($A297,SPPR!$A:$A,0),5)),$C297*INDEX(SPPR!$E:$X,MATCH($A297,SPPR!$A:$A,0),5),""),"")</f>
        <v/>
      </c>
      <c r="I297">
        <f>IFERROR(IF(ISNUMBER(INDEX(SPPR!$E:$X,MATCH($A297,SPPR!$A:$A,0),6)),$C297*INDEX(SPPR!$E:$X,MATCH($A297,SPPR!$A:$A,0),6),""),"")</f>
        <v/>
      </c>
      <c r="J297">
        <f>IFERROR(IF(ISNUMBER(INDEX(SPPR!$E:$X,MATCH($A297,SPPR!$A:$A,0),7)),$C297*INDEX(SPPR!$E:$X,MATCH($A297,SPPR!$A:$A,0),7),""),"")</f>
        <v/>
      </c>
      <c r="K297">
        <f>IFERROR(IF(ISNUMBER(INDEX(SPPR!$E:$X,MATCH($A297,SPPR!$A:$A,0),8)),$C297*INDEX(SPPR!$E:$X,MATCH($A297,SPPR!$A:$A,0),8),""),"")</f>
        <v/>
      </c>
      <c r="L297">
        <f>IFERROR(IF(ISNUMBER(INDEX(SPPR!$E:$X,MATCH($A297,SPPR!$A:$A,0),9)),$C297*INDEX(SPPR!$E:$X,MATCH($A297,SPPR!$A:$A,0),9),""),"")</f>
        <v/>
      </c>
      <c r="M297">
        <f>IFERROR(IF(ISNUMBER(INDEX(SPPR!$E:$X,MATCH($A297,SPPR!$A:$A,0),10)),$C297*INDEX(SPPR!$E:$X,MATCH($A297,SPPR!$A:$A,0),10),""),"")</f>
        <v/>
      </c>
      <c r="N297">
        <f>IFERROR(IF(ISNUMBER(INDEX(SPPR!$E:$X,MATCH($A297,SPPR!$A:$A,0),11)),$C297*INDEX(SPPR!$E:$X,MATCH($A297,SPPR!$A:$A,0),11),""),"")</f>
        <v/>
      </c>
      <c r="O297">
        <f>IFERROR(IF(ISNUMBER(INDEX(SPPR!$E:$X,MATCH($A297,SPPR!$A:$A,0),12)),$C297*INDEX(SPPR!$E:$X,MATCH($A297,SPPR!$A:$A,0),12),""),"")</f>
        <v/>
      </c>
      <c r="P297">
        <f>IFERROR(IF(ISNUMBER(INDEX(SPPR!$E:$X,MATCH($A297,SPPR!$A:$A,0),13)),$C297*INDEX(SPPR!$E:$X,MATCH($A297,SPPR!$A:$A,0),13),""),"")</f>
        <v/>
      </c>
      <c r="Q297">
        <f>IFERROR(IF(ISNUMBER(INDEX(SPPR!$E:$X,MATCH($A297,SPPR!$A:$A,0),14)),$C297*INDEX(SPPR!$E:$X,MATCH($A297,SPPR!$A:$A,0),14),""),"")</f>
        <v/>
      </c>
      <c r="R297">
        <f>IFERROR(IF(ISNUMBER(INDEX(SPPR!$E:$X,MATCH($A297,SPPR!$A:$A,0),15)),$C297*INDEX(SPPR!$E:$X,MATCH($A297,SPPR!$A:$A,0),15),""),"")</f>
        <v/>
      </c>
      <c r="S297">
        <f>IFERROR(IF(ISNUMBER(INDEX(SPPR!$E:$X,MATCH($A297,SPPR!$A:$A,0),16)),$C297*INDEX(SPPR!$E:$X,MATCH($A297,SPPR!$A:$A,0),16),""),"")</f>
        <v/>
      </c>
      <c r="T297">
        <f>IFERROR(IF(ISNUMBER(INDEX(SPPR!$E:$X,MATCH($A297,SPPR!$A:$A,0),17)),$C297*INDEX(SPPR!$E:$X,MATCH($A297,SPPR!$A:$A,0),17),""),"")</f>
        <v/>
      </c>
      <c r="U297">
        <f>IFERROR(IF(ISNUMBER(INDEX(SPPR!$E:$X,MATCH($A297,SPPR!$A:$A,0),18)),$C297*INDEX(SPPR!$E:$X,MATCH($A297,SPPR!$A:$A,0),18),""),"")</f>
        <v/>
      </c>
      <c r="V297">
        <f>IFERROR(IF(ISNUMBER(INDEX(SPPR!$E:$X,MATCH($A297,SPPR!$A:$A,0),19)),$C297*INDEX(SPPR!$E:$X,MATCH($A297,SPPR!$A:$A,0),19),""),"")</f>
        <v/>
      </c>
      <c r="W297">
        <f>IFERROR(IF(ISNUMBER(INDEX(SPPR!$E:$X,MATCH($A297,SPPR!$A:$A,0),20)),$C297*INDEX(SPPR!$E:$X,MATCH($A297,SPPR!$A:$A,0),20),""),"")</f>
        <v/>
      </c>
    </row>
    <row r="298">
      <c r="A298" t="inlineStr">
        <is>
          <t>Ruditapes</t>
        </is>
      </c>
      <c r="B298">
        <f>IFERROR(INDEX(SPPR!$D:$D,MATCH($A298,SPPR!$A:$A,0)),"")</f>
        <v/>
      </c>
      <c r="C298">
        <f>IFERROR(INDEX(Catch!$E:$BV,MATCH($A298,Catch!$A:$A,0),MATCH($B$4,Catch!$E$1:$BV$1,0)),0)</f>
        <v/>
      </c>
      <c r="D298">
        <f>IFERROR(IF(ISNUMBER(INDEX(SPPR!$E:$X,MATCH($A298,SPPR!$A:$A,0),1)),$C298*INDEX(SPPR!$E:$X,MATCH($A298,SPPR!$A:$A,0),1),""),"")</f>
        <v/>
      </c>
      <c r="E298">
        <f>IFERROR(IF(ISNUMBER(INDEX(SPPR!$E:$X,MATCH($A298,SPPR!$A:$A,0),2)),$C298*INDEX(SPPR!$E:$X,MATCH($A298,SPPR!$A:$A,0),2),""),"")</f>
        <v/>
      </c>
      <c r="F298">
        <f>IFERROR(IF(ISNUMBER(INDEX(SPPR!$E:$X,MATCH($A298,SPPR!$A:$A,0),3)),$C298*INDEX(SPPR!$E:$X,MATCH($A298,SPPR!$A:$A,0),3),""),"")</f>
        <v/>
      </c>
      <c r="G298">
        <f>IFERROR(IF(ISNUMBER(INDEX(SPPR!$E:$X,MATCH($A298,SPPR!$A:$A,0),4)),$C298*INDEX(SPPR!$E:$X,MATCH($A298,SPPR!$A:$A,0),4),""),"")</f>
        <v/>
      </c>
      <c r="H298">
        <f>IFERROR(IF(ISNUMBER(INDEX(SPPR!$E:$X,MATCH($A298,SPPR!$A:$A,0),5)),$C298*INDEX(SPPR!$E:$X,MATCH($A298,SPPR!$A:$A,0),5),""),"")</f>
        <v/>
      </c>
      <c r="I298">
        <f>IFERROR(IF(ISNUMBER(INDEX(SPPR!$E:$X,MATCH($A298,SPPR!$A:$A,0),6)),$C298*INDEX(SPPR!$E:$X,MATCH($A298,SPPR!$A:$A,0),6),""),"")</f>
        <v/>
      </c>
      <c r="J298">
        <f>IFERROR(IF(ISNUMBER(INDEX(SPPR!$E:$X,MATCH($A298,SPPR!$A:$A,0),7)),$C298*INDEX(SPPR!$E:$X,MATCH($A298,SPPR!$A:$A,0),7),""),"")</f>
        <v/>
      </c>
      <c r="K298">
        <f>IFERROR(IF(ISNUMBER(INDEX(SPPR!$E:$X,MATCH($A298,SPPR!$A:$A,0),8)),$C298*INDEX(SPPR!$E:$X,MATCH($A298,SPPR!$A:$A,0),8),""),"")</f>
        <v/>
      </c>
      <c r="L298">
        <f>IFERROR(IF(ISNUMBER(INDEX(SPPR!$E:$X,MATCH($A298,SPPR!$A:$A,0),9)),$C298*INDEX(SPPR!$E:$X,MATCH($A298,SPPR!$A:$A,0),9),""),"")</f>
        <v/>
      </c>
      <c r="M298">
        <f>IFERROR(IF(ISNUMBER(INDEX(SPPR!$E:$X,MATCH($A298,SPPR!$A:$A,0),10)),$C298*INDEX(SPPR!$E:$X,MATCH($A298,SPPR!$A:$A,0),10),""),"")</f>
        <v/>
      </c>
      <c r="N298">
        <f>IFERROR(IF(ISNUMBER(INDEX(SPPR!$E:$X,MATCH($A298,SPPR!$A:$A,0),11)),$C298*INDEX(SPPR!$E:$X,MATCH($A298,SPPR!$A:$A,0),11),""),"")</f>
        <v/>
      </c>
      <c r="O298">
        <f>IFERROR(IF(ISNUMBER(INDEX(SPPR!$E:$X,MATCH($A298,SPPR!$A:$A,0),12)),$C298*INDEX(SPPR!$E:$X,MATCH($A298,SPPR!$A:$A,0),12),""),"")</f>
        <v/>
      </c>
      <c r="P298">
        <f>IFERROR(IF(ISNUMBER(INDEX(SPPR!$E:$X,MATCH($A298,SPPR!$A:$A,0),13)),$C298*INDEX(SPPR!$E:$X,MATCH($A298,SPPR!$A:$A,0),13),""),"")</f>
        <v/>
      </c>
      <c r="Q298">
        <f>IFERROR(IF(ISNUMBER(INDEX(SPPR!$E:$X,MATCH($A298,SPPR!$A:$A,0),14)),$C298*INDEX(SPPR!$E:$X,MATCH($A298,SPPR!$A:$A,0),14),""),"")</f>
        <v/>
      </c>
      <c r="R298">
        <f>IFERROR(IF(ISNUMBER(INDEX(SPPR!$E:$X,MATCH($A298,SPPR!$A:$A,0),15)),$C298*INDEX(SPPR!$E:$X,MATCH($A298,SPPR!$A:$A,0),15),""),"")</f>
        <v/>
      </c>
      <c r="S298">
        <f>IFERROR(IF(ISNUMBER(INDEX(SPPR!$E:$X,MATCH($A298,SPPR!$A:$A,0),16)),$C298*INDEX(SPPR!$E:$X,MATCH($A298,SPPR!$A:$A,0),16),""),"")</f>
        <v/>
      </c>
      <c r="T298">
        <f>IFERROR(IF(ISNUMBER(INDEX(SPPR!$E:$X,MATCH($A298,SPPR!$A:$A,0),17)),$C298*INDEX(SPPR!$E:$X,MATCH($A298,SPPR!$A:$A,0),17),""),"")</f>
        <v/>
      </c>
      <c r="U298">
        <f>IFERROR(IF(ISNUMBER(INDEX(SPPR!$E:$X,MATCH($A298,SPPR!$A:$A,0),18)),$C298*INDEX(SPPR!$E:$X,MATCH($A298,SPPR!$A:$A,0),18),""),"")</f>
        <v/>
      </c>
      <c r="V298">
        <f>IFERROR(IF(ISNUMBER(INDEX(SPPR!$E:$X,MATCH($A298,SPPR!$A:$A,0),19)),$C298*INDEX(SPPR!$E:$X,MATCH($A298,SPPR!$A:$A,0),19),""),"")</f>
        <v/>
      </c>
      <c r="W298">
        <f>IFERROR(IF(ISNUMBER(INDEX(SPPR!$E:$X,MATCH($A298,SPPR!$A:$A,0),20)),$C298*INDEX(SPPR!$E:$X,MATCH($A298,SPPR!$A:$A,0),20),""),"")</f>
        <v/>
      </c>
    </row>
    <row r="299">
      <c r="A299" t="inlineStr">
        <is>
          <t>Sparus aurata</t>
        </is>
      </c>
      <c r="B299">
        <f>IFERROR(INDEX(SPPR!$D:$D,MATCH($A299,SPPR!$A:$A,0)),"")</f>
        <v/>
      </c>
      <c r="C299">
        <f>IFERROR(INDEX(Catch!$E:$BV,MATCH($A299,Catch!$A:$A,0),MATCH($B$4,Catch!$E$1:$BV$1,0)),0)</f>
        <v/>
      </c>
      <c r="D299">
        <f>IFERROR(IF(ISNUMBER(INDEX(SPPR!$E:$X,MATCH($A299,SPPR!$A:$A,0),1)),$C299*INDEX(SPPR!$E:$X,MATCH($A299,SPPR!$A:$A,0),1),""),"")</f>
        <v/>
      </c>
      <c r="E299">
        <f>IFERROR(IF(ISNUMBER(INDEX(SPPR!$E:$X,MATCH($A299,SPPR!$A:$A,0),2)),$C299*INDEX(SPPR!$E:$X,MATCH($A299,SPPR!$A:$A,0),2),""),"")</f>
        <v/>
      </c>
      <c r="F299">
        <f>IFERROR(IF(ISNUMBER(INDEX(SPPR!$E:$X,MATCH($A299,SPPR!$A:$A,0),3)),$C299*INDEX(SPPR!$E:$X,MATCH($A299,SPPR!$A:$A,0),3),""),"")</f>
        <v/>
      </c>
      <c r="G299">
        <f>IFERROR(IF(ISNUMBER(INDEX(SPPR!$E:$X,MATCH($A299,SPPR!$A:$A,0),4)),$C299*INDEX(SPPR!$E:$X,MATCH($A299,SPPR!$A:$A,0),4),""),"")</f>
        <v/>
      </c>
      <c r="H299">
        <f>IFERROR(IF(ISNUMBER(INDEX(SPPR!$E:$X,MATCH($A299,SPPR!$A:$A,0),5)),$C299*INDEX(SPPR!$E:$X,MATCH($A299,SPPR!$A:$A,0),5),""),"")</f>
        <v/>
      </c>
      <c r="I299">
        <f>IFERROR(IF(ISNUMBER(INDEX(SPPR!$E:$X,MATCH($A299,SPPR!$A:$A,0),6)),$C299*INDEX(SPPR!$E:$X,MATCH($A299,SPPR!$A:$A,0),6),""),"")</f>
        <v/>
      </c>
      <c r="J299">
        <f>IFERROR(IF(ISNUMBER(INDEX(SPPR!$E:$X,MATCH($A299,SPPR!$A:$A,0),7)),$C299*INDEX(SPPR!$E:$X,MATCH($A299,SPPR!$A:$A,0),7),""),"")</f>
        <v/>
      </c>
      <c r="K299">
        <f>IFERROR(IF(ISNUMBER(INDEX(SPPR!$E:$X,MATCH($A299,SPPR!$A:$A,0),8)),$C299*INDEX(SPPR!$E:$X,MATCH($A299,SPPR!$A:$A,0),8),""),"")</f>
        <v/>
      </c>
      <c r="L299">
        <f>IFERROR(IF(ISNUMBER(INDEX(SPPR!$E:$X,MATCH($A299,SPPR!$A:$A,0),9)),$C299*INDEX(SPPR!$E:$X,MATCH($A299,SPPR!$A:$A,0),9),""),"")</f>
        <v/>
      </c>
      <c r="M299">
        <f>IFERROR(IF(ISNUMBER(INDEX(SPPR!$E:$X,MATCH($A299,SPPR!$A:$A,0),10)),$C299*INDEX(SPPR!$E:$X,MATCH($A299,SPPR!$A:$A,0),10),""),"")</f>
        <v/>
      </c>
      <c r="N299">
        <f>IFERROR(IF(ISNUMBER(INDEX(SPPR!$E:$X,MATCH($A299,SPPR!$A:$A,0),11)),$C299*INDEX(SPPR!$E:$X,MATCH($A299,SPPR!$A:$A,0),11),""),"")</f>
        <v/>
      </c>
      <c r="O299">
        <f>IFERROR(IF(ISNUMBER(INDEX(SPPR!$E:$X,MATCH($A299,SPPR!$A:$A,0),12)),$C299*INDEX(SPPR!$E:$X,MATCH($A299,SPPR!$A:$A,0),12),""),"")</f>
        <v/>
      </c>
      <c r="P299">
        <f>IFERROR(IF(ISNUMBER(INDEX(SPPR!$E:$X,MATCH($A299,SPPR!$A:$A,0),13)),$C299*INDEX(SPPR!$E:$X,MATCH($A299,SPPR!$A:$A,0),13),""),"")</f>
        <v/>
      </c>
      <c r="Q299">
        <f>IFERROR(IF(ISNUMBER(INDEX(SPPR!$E:$X,MATCH($A299,SPPR!$A:$A,0),14)),$C299*INDEX(SPPR!$E:$X,MATCH($A299,SPPR!$A:$A,0),14),""),"")</f>
        <v/>
      </c>
      <c r="R299">
        <f>IFERROR(IF(ISNUMBER(INDEX(SPPR!$E:$X,MATCH($A299,SPPR!$A:$A,0),15)),$C299*INDEX(SPPR!$E:$X,MATCH($A299,SPPR!$A:$A,0),15),""),"")</f>
        <v/>
      </c>
      <c r="S299">
        <f>IFERROR(IF(ISNUMBER(INDEX(SPPR!$E:$X,MATCH($A299,SPPR!$A:$A,0),16)),$C299*INDEX(SPPR!$E:$X,MATCH($A299,SPPR!$A:$A,0),16),""),"")</f>
        <v/>
      </c>
      <c r="T299">
        <f>IFERROR(IF(ISNUMBER(INDEX(SPPR!$E:$X,MATCH($A299,SPPR!$A:$A,0),17)),$C299*INDEX(SPPR!$E:$X,MATCH($A299,SPPR!$A:$A,0),17),""),"")</f>
        <v/>
      </c>
      <c r="U299">
        <f>IFERROR(IF(ISNUMBER(INDEX(SPPR!$E:$X,MATCH($A299,SPPR!$A:$A,0),18)),$C299*INDEX(SPPR!$E:$X,MATCH($A299,SPPR!$A:$A,0),18),""),"")</f>
        <v/>
      </c>
      <c r="V299">
        <f>IFERROR(IF(ISNUMBER(INDEX(SPPR!$E:$X,MATCH($A299,SPPR!$A:$A,0),19)),$C299*INDEX(SPPR!$E:$X,MATCH($A299,SPPR!$A:$A,0),19),""),"")</f>
        <v/>
      </c>
      <c r="W299">
        <f>IFERROR(IF(ISNUMBER(INDEX(SPPR!$E:$X,MATCH($A299,SPPR!$A:$A,0),20)),$C299*INDEX(SPPR!$E:$X,MATCH($A299,SPPR!$A:$A,0),20),""),"")</f>
        <v/>
      </c>
    </row>
    <row r="300">
      <c r="A300" t="inlineStr">
        <is>
          <t>Carassius carassius</t>
        </is>
      </c>
      <c r="B300">
        <f>IFERROR(INDEX(SPPR!$D:$D,MATCH($A300,SPPR!$A:$A,0)),"")</f>
        <v/>
      </c>
      <c r="C300">
        <f>IFERROR(INDEX(Catch!$E:$BV,MATCH($A300,Catch!$A:$A,0),MATCH($B$4,Catch!$E$1:$BV$1,0)),0)</f>
        <v/>
      </c>
      <c r="D300">
        <f>IFERROR(IF(ISNUMBER(INDEX(SPPR!$E:$X,MATCH($A300,SPPR!$A:$A,0),1)),$C300*INDEX(SPPR!$E:$X,MATCH($A300,SPPR!$A:$A,0),1),""),"")</f>
        <v/>
      </c>
      <c r="E300">
        <f>IFERROR(IF(ISNUMBER(INDEX(SPPR!$E:$X,MATCH($A300,SPPR!$A:$A,0),2)),$C300*INDEX(SPPR!$E:$X,MATCH($A300,SPPR!$A:$A,0),2),""),"")</f>
        <v/>
      </c>
      <c r="F300">
        <f>IFERROR(IF(ISNUMBER(INDEX(SPPR!$E:$X,MATCH($A300,SPPR!$A:$A,0),3)),$C300*INDEX(SPPR!$E:$X,MATCH($A300,SPPR!$A:$A,0),3),""),"")</f>
        <v/>
      </c>
      <c r="G300">
        <f>IFERROR(IF(ISNUMBER(INDEX(SPPR!$E:$X,MATCH($A300,SPPR!$A:$A,0),4)),$C300*INDEX(SPPR!$E:$X,MATCH($A300,SPPR!$A:$A,0),4),""),"")</f>
        <v/>
      </c>
      <c r="H300">
        <f>IFERROR(IF(ISNUMBER(INDEX(SPPR!$E:$X,MATCH($A300,SPPR!$A:$A,0),5)),$C300*INDEX(SPPR!$E:$X,MATCH($A300,SPPR!$A:$A,0),5),""),"")</f>
        <v/>
      </c>
      <c r="I300">
        <f>IFERROR(IF(ISNUMBER(INDEX(SPPR!$E:$X,MATCH($A300,SPPR!$A:$A,0),6)),$C300*INDEX(SPPR!$E:$X,MATCH($A300,SPPR!$A:$A,0),6),""),"")</f>
        <v/>
      </c>
      <c r="J300">
        <f>IFERROR(IF(ISNUMBER(INDEX(SPPR!$E:$X,MATCH($A300,SPPR!$A:$A,0),7)),$C300*INDEX(SPPR!$E:$X,MATCH($A300,SPPR!$A:$A,0),7),""),"")</f>
        <v/>
      </c>
      <c r="K300">
        <f>IFERROR(IF(ISNUMBER(INDEX(SPPR!$E:$X,MATCH($A300,SPPR!$A:$A,0),8)),$C300*INDEX(SPPR!$E:$X,MATCH($A300,SPPR!$A:$A,0),8),""),"")</f>
        <v/>
      </c>
      <c r="L300">
        <f>IFERROR(IF(ISNUMBER(INDEX(SPPR!$E:$X,MATCH($A300,SPPR!$A:$A,0),9)),$C300*INDEX(SPPR!$E:$X,MATCH($A300,SPPR!$A:$A,0),9),""),"")</f>
        <v/>
      </c>
      <c r="M300">
        <f>IFERROR(IF(ISNUMBER(INDEX(SPPR!$E:$X,MATCH($A300,SPPR!$A:$A,0),10)),$C300*INDEX(SPPR!$E:$X,MATCH($A300,SPPR!$A:$A,0),10),""),"")</f>
        <v/>
      </c>
      <c r="N300">
        <f>IFERROR(IF(ISNUMBER(INDEX(SPPR!$E:$X,MATCH($A300,SPPR!$A:$A,0),11)),$C300*INDEX(SPPR!$E:$X,MATCH($A300,SPPR!$A:$A,0),11),""),"")</f>
        <v/>
      </c>
      <c r="O300">
        <f>IFERROR(IF(ISNUMBER(INDEX(SPPR!$E:$X,MATCH($A300,SPPR!$A:$A,0),12)),$C300*INDEX(SPPR!$E:$X,MATCH($A300,SPPR!$A:$A,0),12),""),"")</f>
        <v/>
      </c>
      <c r="P300">
        <f>IFERROR(IF(ISNUMBER(INDEX(SPPR!$E:$X,MATCH($A300,SPPR!$A:$A,0),13)),$C300*INDEX(SPPR!$E:$X,MATCH($A300,SPPR!$A:$A,0),13),""),"")</f>
        <v/>
      </c>
      <c r="Q300">
        <f>IFERROR(IF(ISNUMBER(INDEX(SPPR!$E:$X,MATCH($A300,SPPR!$A:$A,0),14)),$C300*INDEX(SPPR!$E:$X,MATCH($A300,SPPR!$A:$A,0),14),""),"")</f>
        <v/>
      </c>
      <c r="R300">
        <f>IFERROR(IF(ISNUMBER(INDEX(SPPR!$E:$X,MATCH($A300,SPPR!$A:$A,0),15)),$C300*INDEX(SPPR!$E:$X,MATCH($A300,SPPR!$A:$A,0),15),""),"")</f>
        <v/>
      </c>
      <c r="S300">
        <f>IFERROR(IF(ISNUMBER(INDEX(SPPR!$E:$X,MATCH($A300,SPPR!$A:$A,0),16)),$C300*INDEX(SPPR!$E:$X,MATCH($A300,SPPR!$A:$A,0),16),""),"")</f>
        <v/>
      </c>
      <c r="T300">
        <f>IFERROR(IF(ISNUMBER(INDEX(SPPR!$E:$X,MATCH($A300,SPPR!$A:$A,0),17)),$C300*INDEX(SPPR!$E:$X,MATCH($A300,SPPR!$A:$A,0),17),""),"")</f>
        <v/>
      </c>
      <c r="U300">
        <f>IFERROR(IF(ISNUMBER(INDEX(SPPR!$E:$X,MATCH($A300,SPPR!$A:$A,0),18)),$C300*INDEX(SPPR!$E:$X,MATCH($A300,SPPR!$A:$A,0),18),""),"")</f>
        <v/>
      </c>
      <c r="V300">
        <f>IFERROR(IF(ISNUMBER(INDEX(SPPR!$E:$X,MATCH($A300,SPPR!$A:$A,0),19)),$C300*INDEX(SPPR!$E:$X,MATCH($A300,SPPR!$A:$A,0),19),""),"")</f>
        <v/>
      </c>
      <c r="W300">
        <f>IFERROR(IF(ISNUMBER(INDEX(SPPR!$E:$X,MATCH($A300,SPPR!$A:$A,0),20)),$C300*INDEX(SPPR!$E:$X,MATCH($A300,SPPR!$A:$A,0),20),""),"")</f>
        <v/>
      </c>
    </row>
    <row r="301">
      <c r="A301" t="inlineStr">
        <is>
          <t>Lepidorhombus boscii</t>
        </is>
      </c>
      <c r="B301">
        <f>IFERROR(INDEX(SPPR!$D:$D,MATCH($A301,SPPR!$A:$A,0)),"")</f>
        <v/>
      </c>
      <c r="C301">
        <f>IFERROR(INDEX(Catch!$E:$BV,MATCH($A301,Catch!$A:$A,0),MATCH($B$4,Catch!$E$1:$BV$1,0)),0)</f>
        <v/>
      </c>
      <c r="D301">
        <f>IFERROR(IF(ISNUMBER(INDEX(SPPR!$E:$X,MATCH($A301,SPPR!$A:$A,0),1)),$C301*INDEX(SPPR!$E:$X,MATCH($A301,SPPR!$A:$A,0),1),""),"")</f>
        <v/>
      </c>
      <c r="E301">
        <f>IFERROR(IF(ISNUMBER(INDEX(SPPR!$E:$X,MATCH($A301,SPPR!$A:$A,0),2)),$C301*INDEX(SPPR!$E:$X,MATCH($A301,SPPR!$A:$A,0),2),""),"")</f>
        <v/>
      </c>
      <c r="F301">
        <f>IFERROR(IF(ISNUMBER(INDEX(SPPR!$E:$X,MATCH($A301,SPPR!$A:$A,0),3)),$C301*INDEX(SPPR!$E:$X,MATCH($A301,SPPR!$A:$A,0),3),""),"")</f>
        <v/>
      </c>
      <c r="G301">
        <f>IFERROR(IF(ISNUMBER(INDEX(SPPR!$E:$X,MATCH($A301,SPPR!$A:$A,0),4)),$C301*INDEX(SPPR!$E:$X,MATCH($A301,SPPR!$A:$A,0),4),""),"")</f>
        <v/>
      </c>
      <c r="H301">
        <f>IFERROR(IF(ISNUMBER(INDEX(SPPR!$E:$X,MATCH($A301,SPPR!$A:$A,0),5)),$C301*INDEX(SPPR!$E:$X,MATCH($A301,SPPR!$A:$A,0),5),""),"")</f>
        <v/>
      </c>
      <c r="I301">
        <f>IFERROR(IF(ISNUMBER(INDEX(SPPR!$E:$X,MATCH($A301,SPPR!$A:$A,0),6)),$C301*INDEX(SPPR!$E:$X,MATCH($A301,SPPR!$A:$A,0),6),""),"")</f>
        <v/>
      </c>
      <c r="J301">
        <f>IFERROR(IF(ISNUMBER(INDEX(SPPR!$E:$X,MATCH($A301,SPPR!$A:$A,0),7)),$C301*INDEX(SPPR!$E:$X,MATCH($A301,SPPR!$A:$A,0),7),""),"")</f>
        <v/>
      </c>
      <c r="K301">
        <f>IFERROR(IF(ISNUMBER(INDEX(SPPR!$E:$X,MATCH($A301,SPPR!$A:$A,0),8)),$C301*INDEX(SPPR!$E:$X,MATCH($A301,SPPR!$A:$A,0),8),""),"")</f>
        <v/>
      </c>
      <c r="L301">
        <f>IFERROR(IF(ISNUMBER(INDEX(SPPR!$E:$X,MATCH($A301,SPPR!$A:$A,0),9)),$C301*INDEX(SPPR!$E:$X,MATCH($A301,SPPR!$A:$A,0),9),""),"")</f>
        <v/>
      </c>
      <c r="M301">
        <f>IFERROR(IF(ISNUMBER(INDEX(SPPR!$E:$X,MATCH($A301,SPPR!$A:$A,0),10)),$C301*INDEX(SPPR!$E:$X,MATCH($A301,SPPR!$A:$A,0),10),""),"")</f>
        <v/>
      </c>
      <c r="N301">
        <f>IFERROR(IF(ISNUMBER(INDEX(SPPR!$E:$X,MATCH($A301,SPPR!$A:$A,0),11)),$C301*INDEX(SPPR!$E:$X,MATCH($A301,SPPR!$A:$A,0),11),""),"")</f>
        <v/>
      </c>
      <c r="O301">
        <f>IFERROR(IF(ISNUMBER(INDEX(SPPR!$E:$X,MATCH($A301,SPPR!$A:$A,0),12)),$C301*INDEX(SPPR!$E:$X,MATCH($A301,SPPR!$A:$A,0),12),""),"")</f>
        <v/>
      </c>
      <c r="P301">
        <f>IFERROR(IF(ISNUMBER(INDEX(SPPR!$E:$X,MATCH($A301,SPPR!$A:$A,0),13)),$C301*INDEX(SPPR!$E:$X,MATCH($A301,SPPR!$A:$A,0),13),""),"")</f>
        <v/>
      </c>
      <c r="Q301">
        <f>IFERROR(IF(ISNUMBER(INDEX(SPPR!$E:$X,MATCH($A301,SPPR!$A:$A,0),14)),$C301*INDEX(SPPR!$E:$X,MATCH($A301,SPPR!$A:$A,0),14),""),"")</f>
        <v/>
      </c>
      <c r="R301">
        <f>IFERROR(IF(ISNUMBER(INDEX(SPPR!$E:$X,MATCH($A301,SPPR!$A:$A,0),15)),$C301*INDEX(SPPR!$E:$X,MATCH($A301,SPPR!$A:$A,0),15),""),"")</f>
        <v/>
      </c>
      <c r="S301">
        <f>IFERROR(IF(ISNUMBER(INDEX(SPPR!$E:$X,MATCH($A301,SPPR!$A:$A,0),16)),$C301*INDEX(SPPR!$E:$X,MATCH($A301,SPPR!$A:$A,0),16),""),"")</f>
        <v/>
      </c>
      <c r="T301">
        <f>IFERROR(IF(ISNUMBER(INDEX(SPPR!$E:$X,MATCH($A301,SPPR!$A:$A,0),17)),$C301*INDEX(SPPR!$E:$X,MATCH($A301,SPPR!$A:$A,0),17),""),"")</f>
        <v/>
      </c>
      <c r="U301">
        <f>IFERROR(IF(ISNUMBER(INDEX(SPPR!$E:$X,MATCH($A301,SPPR!$A:$A,0),18)),$C301*INDEX(SPPR!$E:$X,MATCH($A301,SPPR!$A:$A,0),18),""),"")</f>
        <v/>
      </c>
      <c r="V301">
        <f>IFERROR(IF(ISNUMBER(INDEX(SPPR!$E:$X,MATCH($A301,SPPR!$A:$A,0),19)),$C301*INDEX(SPPR!$E:$X,MATCH($A301,SPPR!$A:$A,0),19),""),"")</f>
        <v/>
      </c>
      <c r="W301">
        <f>IFERROR(IF(ISNUMBER(INDEX(SPPR!$E:$X,MATCH($A301,SPPR!$A:$A,0),20)),$C301*INDEX(SPPR!$E:$X,MATCH($A301,SPPR!$A:$A,0),20),""),"")</f>
        <v/>
      </c>
    </row>
    <row r="302">
      <c r="A302" t="inlineStr">
        <is>
          <t>Balistes capriscus</t>
        </is>
      </c>
      <c r="B302">
        <f>IFERROR(INDEX(SPPR!$D:$D,MATCH($A302,SPPR!$A:$A,0)),"")</f>
        <v/>
      </c>
      <c r="C302">
        <f>IFERROR(INDEX(Catch!$E:$BV,MATCH($A302,Catch!$A:$A,0),MATCH($B$4,Catch!$E$1:$BV$1,0)),0)</f>
        <v/>
      </c>
      <c r="D302">
        <f>IFERROR(IF(ISNUMBER(INDEX(SPPR!$E:$X,MATCH($A302,SPPR!$A:$A,0),1)),$C302*INDEX(SPPR!$E:$X,MATCH($A302,SPPR!$A:$A,0),1),""),"")</f>
        <v/>
      </c>
      <c r="E302">
        <f>IFERROR(IF(ISNUMBER(INDEX(SPPR!$E:$X,MATCH($A302,SPPR!$A:$A,0),2)),$C302*INDEX(SPPR!$E:$X,MATCH($A302,SPPR!$A:$A,0),2),""),"")</f>
        <v/>
      </c>
      <c r="F302">
        <f>IFERROR(IF(ISNUMBER(INDEX(SPPR!$E:$X,MATCH($A302,SPPR!$A:$A,0),3)),$C302*INDEX(SPPR!$E:$X,MATCH($A302,SPPR!$A:$A,0),3),""),"")</f>
        <v/>
      </c>
      <c r="G302">
        <f>IFERROR(IF(ISNUMBER(INDEX(SPPR!$E:$X,MATCH($A302,SPPR!$A:$A,0),4)),$C302*INDEX(SPPR!$E:$X,MATCH($A302,SPPR!$A:$A,0),4),""),"")</f>
        <v/>
      </c>
      <c r="H302">
        <f>IFERROR(IF(ISNUMBER(INDEX(SPPR!$E:$X,MATCH($A302,SPPR!$A:$A,0),5)),$C302*INDEX(SPPR!$E:$X,MATCH($A302,SPPR!$A:$A,0),5),""),"")</f>
        <v/>
      </c>
      <c r="I302">
        <f>IFERROR(IF(ISNUMBER(INDEX(SPPR!$E:$X,MATCH($A302,SPPR!$A:$A,0),6)),$C302*INDEX(SPPR!$E:$X,MATCH($A302,SPPR!$A:$A,0),6),""),"")</f>
        <v/>
      </c>
      <c r="J302">
        <f>IFERROR(IF(ISNUMBER(INDEX(SPPR!$E:$X,MATCH($A302,SPPR!$A:$A,0),7)),$C302*INDEX(SPPR!$E:$X,MATCH($A302,SPPR!$A:$A,0),7),""),"")</f>
        <v/>
      </c>
      <c r="K302">
        <f>IFERROR(IF(ISNUMBER(INDEX(SPPR!$E:$X,MATCH($A302,SPPR!$A:$A,0),8)),$C302*INDEX(SPPR!$E:$X,MATCH($A302,SPPR!$A:$A,0),8),""),"")</f>
        <v/>
      </c>
      <c r="L302">
        <f>IFERROR(IF(ISNUMBER(INDEX(SPPR!$E:$X,MATCH($A302,SPPR!$A:$A,0),9)),$C302*INDEX(SPPR!$E:$X,MATCH($A302,SPPR!$A:$A,0),9),""),"")</f>
        <v/>
      </c>
      <c r="M302">
        <f>IFERROR(IF(ISNUMBER(INDEX(SPPR!$E:$X,MATCH($A302,SPPR!$A:$A,0),10)),$C302*INDEX(SPPR!$E:$X,MATCH($A302,SPPR!$A:$A,0),10),""),"")</f>
        <v/>
      </c>
      <c r="N302">
        <f>IFERROR(IF(ISNUMBER(INDEX(SPPR!$E:$X,MATCH($A302,SPPR!$A:$A,0),11)),$C302*INDEX(SPPR!$E:$X,MATCH($A302,SPPR!$A:$A,0),11),""),"")</f>
        <v/>
      </c>
      <c r="O302">
        <f>IFERROR(IF(ISNUMBER(INDEX(SPPR!$E:$X,MATCH($A302,SPPR!$A:$A,0),12)),$C302*INDEX(SPPR!$E:$X,MATCH($A302,SPPR!$A:$A,0),12),""),"")</f>
        <v/>
      </c>
      <c r="P302">
        <f>IFERROR(IF(ISNUMBER(INDEX(SPPR!$E:$X,MATCH($A302,SPPR!$A:$A,0),13)),$C302*INDEX(SPPR!$E:$X,MATCH($A302,SPPR!$A:$A,0),13),""),"")</f>
        <v/>
      </c>
      <c r="Q302">
        <f>IFERROR(IF(ISNUMBER(INDEX(SPPR!$E:$X,MATCH($A302,SPPR!$A:$A,0),14)),$C302*INDEX(SPPR!$E:$X,MATCH($A302,SPPR!$A:$A,0),14),""),"")</f>
        <v/>
      </c>
      <c r="R302">
        <f>IFERROR(IF(ISNUMBER(INDEX(SPPR!$E:$X,MATCH($A302,SPPR!$A:$A,0),15)),$C302*INDEX(SPPR!$E:$X,MATCH($A302,SPPR!$A:$A,0),15),""),"")</f>
        <v/>
      </c>
      <c r="S302">
        <f>IFERROR(IF(ISNUMBER(INDEX(SPPR!$E:$X,MATCH($A302,SPPR!$A:$A,0),16)),$C302*INDEX(SPPR!$E:$X,MATCH($A302,SPPR!$A:$A,0),16),""),"")</f>
        <v/>
      </c>
      <c r="T302">
        <f>IFERROR(IF(ISNUMBER(INDEX(SPPR!$E:$X,MATCH($A302,SPPR!$A:$A,0),17)),$C302*INDEX(SPPR!$E:$X,MATCH($A302,SPPR!$A:$A,0),17),""),"")</f>
        <v/>
      </c>
      <c r="U302">
        <f>IFERROR(IF(ISNUMBER(INDEX(SPPR!$E:$X,MATCH($A302,SPPR!$A:$A,0),18)),$C302*INDEX(SPPR!$E:$X,MATCH($A302,SPPR!$A:$A,0),18),""),"")</f>
        <v/>
      </c>
      <c r="V302">
        <f>IFERROR(IF(ISNUMBER(INDEX(SPPR!$E:$X,MATCH($A302,SPPR!$A:$A,0),19)),$C302*INDEX(SPPR!$E:$X,MATCH($A302,SPPR!$A:$A,0),19),""),"")</f>
        <v/>
      </c>
      <c r="W302">
        <f>IFERROR(IF(ISNUMBER(INDEX(SPPR!$E:$X,MATCH($A302,SPPR!$A:$A,0),20)),$C302*INDEX(SPPR!$E:$X,MATCH($A302,SPPR!$A:$A,0),20),""),"")</f>
        <v/>
      </c>
    </row>
    <row r="303">
      <c r="A303" t="inlineStr">
        <is>
          <t>Anarhichas denticulatus</t>
        </is>
      </c>
      <c r="B303">
        <f>IFERROR(INDEX(SPPR!$D:$D,MATCH($A303,SPPR!$A:$A,0)),"")</f>
        <v/>
      </c>
      <c r="C303">
        <f>IFERROR(INDEX(Catch!$E:$BV,MATCH($A303,Catch!$A:$A,0),MATCH($B$4,Catch!$E$1:$BV$1,0)),0)</f>
        <v/>
      </c>
      <c r="D303">
        <f>IFERROR(IF(ISNUMBER(INDEX(SPPR!$E:$X,MATCH($A303,SPPR!$A:$A,0),1)),$C303*INDEX(SPPR!$E:$X,MATCH($A303,SPPR!$A:$A,0),1),""),"")</f>
        <v/>
      </c>
      <c r="E303">
        <f>IFERROR(IF(ISNUMBER(INDEX(SPPR!$E:$X,MATCH($A303,SPPR!$A:$A,0),2)),$C303*INDEX(SPPR!$E:$X,MATCH($A303,SPPR!$A:$A,0),2),""),"")</f>
        <v/>
      </c>
      <c r="F303">
        <f>IFERROR(IF(ISNUMBER(INDEX(SPPR!$E:$X,MATCH($A303,SPPR!$A:$A,0),3)),$C303*INDEX(SPPR!$E:$X,MATCH($A303,SPPR!$A:$A,0),3),""),"")</f>
        <v/>
      </c>
      <c r="G303">
        <f>IFERROR(IF(ISNUMBER(INDEX(SPPR!$E:$X,MATCH($A303,SPPR!$A:$A,0),4)),$C303*INDEX(SPPR!$E:$X,MATCH($A303,SPPR!$A:$A,0),4),""),"")</f>
        <v/>
      </c>
      <c r="H303">
        <f>IFERROR(IF(ISNUMBER(INDEX(SPPR!$E:$X,MATCH($A303,SPPR!$A:$A,0),5)),$C303*INDEX(SPPR!$E:$X,MATCH($A303,SPPR!$A:$A,0),5),""),"")</f>
        <v/>
      </c>
      <c r="I303">
        <f>IFERROR(IF(ISNUMBER(INDEX(SPPR!$E:$X,MATCH($A303,SPPR!$A:$A,0),6)),$C303*INDEX(SPPR!$E:$X,MATCH($A303,SPPR!$A:$A,0),6),""),"")</f>
        <v/>
      </c>
      <c r="J303">
        <f>IFERROR(IF(ISNUMBER(INDEX(SPPR!$E:$X,MATCH($A303,SPPR!$A:$A,0),7)),$C303*INDEX(SPPR!$E:$X,MATCH($A303,SPPR!$A:$A,0),7),""),"")</f>
        <v/>
      </c>
      <c r="K303">
        <f>IFERROR(IF(ISNUMBER(INDEX(SPPR!$E:$X,MATCH($A303,SPPR!$A:$A,0),8)),$C303*INDEX(SPPR!$E:$X,MATCH($A303,SPPR!$A:$A,0),8),""),"")</f>
        <v/>
      </c>
      <c r="L303">
        <f>IFERROR(IF(ISNUMBER(INDEX(SPPR!$E:$X,MATCH($A303,SPPR!$A:$A,0),9)),$C303*INDEX(SPPR!$E:$X,MATCH($A303,SPPR!$A:$A,0),9),""),"")</f>
        <v/>
      </c>
      <c r="M303">
        <f>IFERROR(IF(ISNUMBER(INDEX(SPPR!$E:$X,MATCH($A303,SPPR!$A:$A,0),10)),$C303*INDEX(SPPR!$E:$X,MATCH($A303,SPPR!$A:$A,0),10),""),"")</f>
        <v/>
      </c>
      <c r="N303">
        <f>IFERROR(IF(ISNUMBER(INDEX(SPPR!$E:$X,MATCH($A303,SPPR!$A:$A,0),11)),$C303*INDEX(SPPR!$E:$X,MATCH($A303,SPPR!$A:$A,0),11),""),"")</f>
        <v/>
      </c>
      <c r="O303">
        <f>IFERROR(IF(ISNUMBER(INDEX(SPPR!$E:$X,MATCH($A303,SPPR!$A:$A,0),12)),$C303*INDEX(SPPR!$E:$X,MATCH($A303,SPPR!$A:$A,0),12),""),"")</f>
        <v/>
      </c>
      <c r="P303">
        <f>IFERROR(IF(ISNUMBER(INDEX(SPPR!$E:$X,MATCH($A303,SPPR!$A:$A,0),13)),$C303*INDEX(SPPR!$E:$X,MATCH($A303,SPPR!$A:$A,0),13),""),"")</f>
        <v/>
      </c>
      <c r="Q303">
        <f>IFERROR(IF(ISNUMBER(INDEX(SPPR!$E:$X,MATCH($A303,SPPR!$A:$A,0),14)),$C303*INDEX(SPPR!$E:$X,MATCH($A303,SPPR!$A:$A,0),14),""),"")</f>
        <v/>
      </c>
      <c r="R303">
        <f>IFERROR(IF(ISNUMBER(INDEX(SPPR!$E:$X,MATCH($A303,SPPR!$A:$A,0),15)),$C303*INDEX(SPPR!$E:$X,MATCH($A303,SPPR!$A:$A,0),15),""),"")</f>
        <v/>
      </c>
      <c r="S303">
        <f>IFERROR(IF(ISNUMBER(INDEX(SPPR!$E:$X,MATCH($A303,SPPR!$A:$A,0),16)),$C303*INDEX(SPPR!$E:$X,MATCH($A303,SPPR!$A:$A,0),16),""),"")</f>
        <v/>
      </c>
      <c r="T303">
        <f>IFERROR(IF(ISNUMBER(INDEX(SPPR!$E:$X,MATCH($A303,SPPR!$A:$A,0),17)),$C303*INDEX(SPPR!$E:$X,MATCH($A303,SPPR!$A:$A,0),17),""),"")</f>
        <v/>
      </c>
      <c r="U303">
        <f>IFERROR(IF(ISNUMBER(INDEX(SPPR!$E:$X,MATCH($A303,SPPR!$A:$A,0),18)),$C303*INDEX(SPPR!$E:$X,MATCH($A303,SPPR!$A:$A,0),18),""),"")</f>
        <v/>
      </c>
      <c r="V303">
        <f>IFERROR(IF(ISNUMBER(INDEX(SPPR!$E:$X,MATCH($A303,SPPR!$A:$A,0),19)),$C303*INDEX(SPPR!$E:$X,MATCH($A303,SPPR!$A:$A,0),19),""),"")</f>
        <v/>
      </c>
      <c r="W303">
        <f>IFERROR(IF(ISNUMBER(INDEX(SPPR!$E:$X,MATCH($A303,SPPR!$A:$A,0),20)),$C303*INDEX(SPPR!$E:$X,MATCH($A303,SPPR!$A:$A,0),20),""),"")</f>
        <v/>
      </c>
    </row>
    <row r="304">
      <c r="A304" t="inlineStr">
        <is>
          <t>Dasyatis pastinaca</t>
        </is>
      </c>
      <c r="B304">
        <f>IFERROR(INDEX(SPPR!$D:$D,MATCH($A304,SPPR!$A:$A,0)),"")</f>
        <v/>
      </c>
      <c r="C304">
        <f>IFERROR(INDEX(Catch!$E:$BV,MATCH($A304,Catch!$A:$A,0),MATCH($B$4,Catch!$E$1:$BV$1,0)),0)</f>
        <v/>
      </c>
      <c r="D304">
        <f>IFERROR(IF(ISNUMBER(INDEX(SPPR!$E:$X,MATCH($A304,SPPR!$A:$A,0),1)),$C304*INDEX(SPPR!$E:$X,MATCH($A304,SPPR!$A:$A,0),1),""),"")</f>
        <v/>
      </c>
      <c r="E304">
        <f>IFERROR(IF(ISNUMBER(INDEX(SPPR!$E:$X,MATCH($A304,SPPR!$A:$A,0),2)),$C304*INDEX(SPPR!$E:$X,MATCH($A304,SPPR!$A:$A,0),2),""),"")</f>
        <v/>
      </c>
      <c r="F304">
        <f>IFERROR(IF(ISNUMBER(INDEX(SPPR!$E:$X,MATCH($A304,SPPR!$A:$A,0),3)),$C304*INDEX(SPPR!$E:$X,MATCH($A304,SPPR!$A:$A,0),3),""),"")</f>
        <v/>
      </c>
      <c r="G304">
        <f>IFERROR(IF(ISNUMBER(INDEX(SPPR!$E:$X,MATCH($A304,SPPR!$A:$A,0),4)),$C304*INDEX(SPPR!$E:$X,MATCH($A304,SPPR!$A:$A,0),4),""),"")</f>
        <v/>
      </c>
      <c r="H304">
        <f>IFERROR(IF(ISNUMBER(INDEX(SPPR!$E:$X,MATCH($A304,SPPR!$A:$A,0),5)),$C304*INDEX(SPPR!$E:$X,MATCH($A304,SPPR!$A:$A,0),5),""),"")</f>
        <v/>
      </c>
      <c r="I304">
        <f>IFERROR(IF(ISNUMBER(INDEX(SPPR!$E:$X,MATCH($A304,SPPR!$A:$A,0),6)),$C304*INDEX(SPPR!$E:$X,MATCH($A304,SPPR!$A:$A,0),6),""),"")</f>
        <v/>
      </c>
      <c r="J304">
        <f>IFERROR(IF(ISNUMBER(INDEX(SPPR!$E:$X,MATCH($A304,SPPR!$A:$A,0),7)),$C304*INDEX(SPPR!$E:$X,MATCH($A304,SPPR!$A:$A,0),7),""),"")</f>
        <v/>
      </c>
      <c r="K304">
        <f>IFERROR(IF(ISNUMBER(INDEX(SPPR!$E:$X,MATCH($A304,SPPR!$A:$A,0),8)),$C304*INDEX(SPPR!$E:$X,MATCH($A304,SPPR!$A:$A,0),8),""),"")</f>
        <v/>
      </c>
      <c r="L304">
        <f>IFERROR(IF(ISNUMBER(INDEX(SPPR!$E:$X,MATCH($A304,SPPR!$A:$A,0),9)),$C304*INDEX(SPPR!$E:$X,MATCH($A304,SPPR!$A:$A,0),9),""),"")</f>
        <v/>
      </c>
      <c r="M304">
        <f>IFERROR(IF(ISNUMBER(INDEX(SPPR!$E:$X,MATCH($A304,SPPR!$A:$A,0),10)),$C304*INDEX(SPPR!$E:$X,MATCH($A304,SPPR!$A:$A,0),10),""),"")</f>
        <v/>
      </c>
      <c r="N304">
        <f>IFERROR(IF(ISNUMBER(INDEX(SPPR!$E:$X,MATCH($A304,SPPR!$A:$A,0),11)),$C304*INDEX(SPPR!$E:$X,MATCH($A304,SPPR!$A:$A,0),11),""),"")</f>
        <v/>
      </c>
      <c r="O304">
        <f>IFERROR(IF(ISNUMBER(INDEX(SPPR!$E:$X,MATCH($A304,SPPR!$A:$A,0),12)),$C304*INDEX(SPPR!$E:$X,MATCH($A304,SPPR!$A:$A,0),12),""),"")</f>
        <v/>
      </c>
      <c r="P304">
        <f>IFERROR(IF(ISNUMBER(INDEX(SPPR!$E:$X,MATCH($A304,SPPR!$A:$A,0),13)),$C304*INDEX(SPPR!$E:$X,MATCH($A304,SPPR!$A:$A,0),13),""),"")</f>
        <v/>
      </c>
      <c r="Q304">
        <f>IFERROR(IF(ISNUMBER(INDEX(SPPR!$E:$X,MATCH($A304,SPPR!$A:$A,0),14)),$C304*INDEX(SPPR!$E:$X,MATCH($A304,SPPR!$A:$A,0),14),""),"")</f>
        <v/>
      </c>
      <c r="R304">
        <f>IFERROR(IF(ISNUMBER(INDEX(SPPR!$E:$X,MATCH($A304,SPPR!$A:$A,0),15)),$C304*INDEX(SPPR!$E:$X,MATCH($A304,SPPR!$A:$A,0),15),""),"")</f>
        <v/>
      </c>
      <c r="S304">
        <f>IFERROR(IF(ISNUMBER(INDEX(SPPR!$E:$X,MATCH($A304,SPPR!$A:$A,0),16)),$C304*INDEX(SPPR!$E:$X,MATCH($A304,SPPR!$A:$A,0),16),""),"")</f>
        <v/>
      </c>
      <c r="T304">
        <f>IFERROR(IF(ISNUMBER(INDEX(SPPR!$E:$X,MATCH($A304,SPPR!$A:$A,0),17)),$C304*INDEX(SPPR!$E:$X,MATCH($A304,SPPR!$A:$A,0),17),""),"")</f>
        <v/>
      </c>
      <c r="U304">
        <f>IFERROR(IF(ISNUMBER(INDEX(SPPR!$E:$X,MATCH($A304,SPPR!$A:$A,0),18)),$C304*INDEX(SPPR!$E:$X,MATCH($A304,SPPR!$A:$A,0),18),""),"")</f>
        <v/>
      </c>
      <c r="V304">
        <f>IFERROR(IF(ISNUMBER(INDEX(SPPR!$E:$X,MATCH($A304,SPPR!$A:$A,0),19)),$C304*INDEX(SPPR!$E:$X,MATCH($A304,SPPR!$A:$A,0),19),""),"")</f>
        <v/>
      </c>
      <c r="W304">
        <f>IFERROR(IF(ISNUMBER(INDEX(SPPR!$E:$X,MATCH($A304,SPPR!$A:$A,0),20)),$C304*INDEX(SPPR!$E:$X,MATCH($A304,SPPR!$A:$A,0),20),""),"")</f>
        <v/>
      </c>
    </row>
    <row r="305">
      <c r="A305" t="inlineStr">
        <is>
          <t>Eledone</t>
        </is>
      </c>
      <c r="B305">
        <f>IFERROR(INDEX(SPPR!$D:$D,MATCH($A305,SPPR!$A:$A,0)),"")</f>
        <v/>
      </c>
      <c r="C305">
        <f>IFERROR(INDEX(Catch!$E:$BV,MATCH($A305,Catch!$A:$A,0),MATCH($B$4,Catch!$E$1:$BV$1,0)),0)</f>
        <v/>
      </c>
      <c r="D305">
        <f>IFERROR(IF(ISNUMBER(INDEX(SPPR!$E:$X,MATCH($A305,SPPR!$A:$A,0),1)),$C305*INDEX(SPPR!$E:$X,MATCH($A305,SPPR!$A:$A,0),1),""),"")</f>
        <v/>
      </c>
      <c r="E305">
        <f>IFERROR(IF(ISNUMBER(INDEX(SPPR!$E:$X,MATCH($A305,SPPR!$A:$A,0),2)),$C305*INDEX(SPPR!$E:$X,MATCH($A305,SPPR!$A:$A,0),2),""),"")</f>
        <v/>
      </c>
      <c r="F305">
        <f>IFERROR(IF(ISNUMBER(INDEX(SPPR!$E:$X,MATCH($A305,SPPR!$A:$A,0),3)),$C305*INDEX(SPPR!$E:$X,MATCH($A305,SPPR!$A:$A,0),3),""),"")</f>
        <v/>
      </c>
      <c r="G305">
        <f>IFERROR(IF(ISNUMBER(INDEX(SPPR!$E:$X,MATCH($A305,SPPR!$A:$A,0),4)),$C305*INDEX(SPPR!$E:$X,MATCH($A305,SPPR!$A:$A,0),4),""),"")</f>
        <v/>
      </c>
      <c r="H305">
        <f>IFERROR(IF(ISNUMBER(INDEX(SPPR!$E:$X,MATCH($A305,SPPR!$A:$A,0),5)),$C305*INDEX(SPPR!$E:$X,MATCH($A305,SPPR!$A:$A,0),5),""),"")</f>
        <v/>
      </c>
      <c r="I305">
        <f>IFERROR(IF(ISNUMBER(INDEX(SPPR!$E:$X,MATCH($A305,SPPR!$A:$A,0),6)),$C305*INDEX(SPPR!$E:$X,MATCH($A305,SPPR!$A:$A,0),6),""),"")</f>
        <v/>
      </c>
      <c r="J305">
        <f>IFERROR(IF(ISNUMBER(INDEX(SPPR!$E:$X,MATCH($A305,SPPR!$A:$A,0),7)),$C305*INDEX(SPPR!$E:$X,MATCH($A305,SPPR!$A:$A,0),7),""),"")</f>
        <v/>
      </c>
      <c r="K305">
        <f>IFERROR(IF(ISNUMBER(INDEX(SPPR!$E:$X,MATCH($A305,SPPR!$A:$A,0),8)),$C305*INDEX(SPPR!$E:$X,MATCH($A305,SPPR!$A:$A,0),8),""),"")</f>
        <v/>
      </c>
      <c r="L305">
        <f>IFERROR(IF(ISNUMBER(INDEX(SPPR!$E:$X,MATCH($A305,SPPR!$A:$A,0),9)),$C305*INDEX(SPPR!$E:$X,MATCH($A305,SPPR!$A:$A,0),9),""),"")</f>
        <v/>
      </c>
      <c r="M305">
        <f>IFERROR(IF(ISNUMBER(INDEX(SPPR!$E:$X,MATCH($A305,SPPR!$A:$A,0),10)),$C305*INDEX(SPPR!$E:$X,MATCH($A305,SPPR!$A:$A,0),10),""),"")</f>
        <v/>
      </c>
      <c r="N305">
        <f>IFERROR(IF(ISNUMBER(INDEX(SPPR!$E:$X,MATCH($A305,SPPR!$A:$A,0),11)),$C305*INDEX(SPPR!$E:$X,MATCH($A305,SPPR!$A:$A,0),11),""),"")</f>
        <v/>
      </c>
      <c r="O305">
        <f>IFERROR(IF(ISNUMBER(INDEX(SPPR!$E:$X,MATCH($A305,SPPR!$A:$A,0),12)),$C305*INDEX(SPPR!$E:$X,MATCH($A305,SPPR!$A:$A,0),12),""),"")</f>
        <v/>
      </c>
      <c r="P305">
        <f>IFERROR(IF(ISNUMBER(INDEX(SPPR!$E:$X,MATCH($A305,SPPR!$A:$A,0),13)),$C305*INDEX(SPPR!$E:$X,MATCH($A305,SPPR!$A:$A,0),13),""),"")</f>
        <v/>
      </c>
      <c r="Q305">
        <f>IFERROR(IF(ISNUMBER(INDEX(SPPR!$E:$X,MATCH($A305,SPPR!$A:$A,0),14)),$C305*INDEX(SPPR!$E:$X,MATCH($A305,SPPR!$A:$A,0),14),""),"")</f>
        <v/>
      </c>
      <c r="R305">
        <f>IFERROR(IF(ISNUMBER(INDEX(SPPR!$E:$X,MATCH($A305,SPPR!$A:$A,0),15)),$C305*INDEX(SPPR!$E:$X,MATCH($A305,SPPR!$A:$A,0),15),""),"")</f>
        <v/>
      </c>
      <c r="S305">
        <f>IFERROR(IF(ISNUMBER(INDEX(SPPR!$E:$X,MATCH($A305,SPPR!$A:$A,0),16)),$C305*INDEX(SPPR!$E:$X,MATCH($A305,SPPR!$A:$A,0),16),""),"")</f>
        <v/>
      </c>
      <c r="T305">
        <f>IFERROR(IF(ISNUMBER(INDEX(SPPR!$E:$X,MATCH($A305,SPPR!$A:$A,0),17)),$C305*INDEX(SPPR!$E:$X,MATCH($A305,SPPR!$A:$A,0),17),""),"")</f>
        <v/>
      </c>
      <c r="U305">
        <f>IFERROR(IF(ISNUMBER(INDEX(SPPR!$E:$X,MATCH($A305,SPPR!$A:$A,0),18)),$C305*INDEX(SPPR!$E:$X,MATCH($A305,SPPR!$A:$A,0),18),""),"")</f>
        <v/>
      </c>
      <c r="V305">
        <f>IFERROR(IF(ISNUMBER(INDEX(SPPR!$E:$X,MATCH($A305,SPPR!$A:$A,0),19)),$C305*INDEX(SPPR!$E:$X,MATCH($A305,SPPR!$A:$A,0),19),""),"")</f>
        <v/>
      </c>
      <c r="W305">
        <f>IFERROR(IF(ISNUMBER(INDEX(SPPR!$E:$X,MATCH($A305,SPPR!$A:$A,0),20)),$C305*INDEX(SPPR!$E:$X,MATCH($A305,SPPR!$A:$A,0),20),""),"")</f>
        <v/>
      </c>
    </row>
    <row r="306">
      <c r="A306" t="inlineStr">
        <is>
          <t>Alopias</t>
        </is>
      </c>
      <c r="B306">
        <f>IFERROR(INDEX(SPPR!$D:$D,MATCH($A306,SPPR!$A:$A,0)),"")</f>
        <v/>
      </c>
      <c r="C306">
        <f>IFERROR(INDEX(Catch!$E:$BV,MATCH($A306,Catch!$A:$A,0),MATCH($B$4,Catch!$E$1:$BV$1,0)),0)</f>
        <v/>
      </c>
      <c r="D306">
        <f>IFERROR(IF(ISNUMBER(INDEX(SPPR!$E:$X,MATCH($A306,SPPR!$A:$A,0),1)),$C306*INDEX(SPPR!$E:$X,MATCH($A306,SPPR!$A:$A,0),1),""),"")</f>
        <v/>
      </c>
      <c r="E306">
        <f>IFERROR(IF(ISNUMBER(INDEX(SPPR!$E:$X,MATCH($A306,SPPR!$A:$A,0),2)),$C306*INDEX(SPPR!$E:$X,MATCH($A306,SPPR!$A:$A,0),2),""),"")</f>
        <v/>
      </c>
      <c r="F306">
        <f>IFERROR(IF(ISNUMBER(INDEX(SPPR!$E:$X,MATCH($A306,SPPR!$A:$A,0),3)),$C306*INDEX(SPPR!$E:$X,MATCH($A306,SPPR!$A:$A,0),3),""),"")</f>
        <v/>
      </c>
      <c r="G306">
        <f>IFERROR(IF(ISNUMBER(INDEX(SPPR!$E:$X,MATCH($A306,SPPR!$A:$A,0),4)),$C306*INDEX(SPPR!$E:$X,MATCH($A306,SPPR!$A:$A,0),4),""),"")</f>
        <v/>
      </c>
      <c r="H306">
        <f>IFERROR(IF(ISNUMBER(INDEX(SPPR!$E:$X,MATCH($A306,SPPR!$A:$A,0),5)),$C306*INDEX(SPPR!$E:$X,MATCH($A306,SPPR!$A:$A,0),5),""),"")</f>
        <v/>
      </c>
      <c r="I306">
        <f>IFERROR(IF(ISNUMBER(INDEX(SPPR!$E:$X,MATCH($A306,SPPR!$A:$A,0),6)),$C306*INDEX(SPPR!$E:$X,MATCH($A306,SPPR!$A:$A,0),6),""),"")</f>
        <v/>
      </c>
      <c r="J306">
        <f>IFERROR(IF(ISNUMBER(INDEX(SPPR!$E:$X,MATCH($A306,SPPR!$A:$A,0),7)),$C306*INDEX(SPPR!$E:$X,MATCH($A306,SPPR!$A:$A,0),7),""),"")</f>
        <v/>
      </c>
      <c r="K306">
        <f>IFERROR(IF(ISNUMBER(INDEX(SPPR!$E:$X,MATCH($A306,SPPR!$A:$A,0),8)),$C306*INDEX(SPPR!$E:$X,MATCH($A306,SPPR!$A:$A,0),8),""),"")</f>
        <v/>
      </c>
      <c r="L306">
        <f>IFERROR(IF(ISNUMBER(INDEX(SPPR!$E:$X,MATCH($A306,SPPR!$A:$A,0),9)),$C306*INDEX(SPPR!$E:$X,MATCH($A306,SPPR!$A:$A,0),9),""),"")</f>
        <v/>
      </c>
      <c r="M306">
        <f>IFERROR(IF(ISNUMBER(INDEX(SPPR!$E:$X,MATCH($A306,SPPR!$A:$A,0),10)),$C306*INDEX(SPPR!$E:$X,MATCH($A306,SPPR!$A:$A,0),10),""),"")</f>
        <v/>
      </c>
      <c r="N306">
        <f>IFERROR(IF(ISNUMBER(INDEX(SPPR!$E:$X,MATCH($A306,SPPR!$A:$A,0),11)),$C306*INDEX(SPPR!$E:$X,MATCH($A306,SPPR!$A:$A,0),11),""),"")</f>
        <v/>
      </c>
      <c r="O306">
        <f>IFERROR(IF(ISNUMBER(INDEX(SPPR!$E:$X,MATCH($A306,SPPR!$A:$A,0),12)),$C306*INDEX(SPPR!$E:$X,MATCH($A306,SPPR!$A:$A,0),12),""),"")</f>
        <v/>
      </c>
      <c r="P306">
        <f>IFERROR(IF(ISNUMBER(INDEX(SPPR!$E:$X,MATCH($A306,SPPR!$A:$A,0),13)),$C306*INDEX(SPPR!$E:$X,MATCH($A306,SPPR!$A:$A,0),13),""),"")</f>
        <v/>
      </c>
      <c r="Q306">
        <f>IFERROR(IF(ISNUMBER(INDEX(SPPR!$E:$X,MATCH($A306,SPPR!$A:$A,0),14)),$C306*INDEX(SPPR!$E:$X,MATCH($A306,SPPR!$A:$A,0),14),""),"")</f>
        <v/>
      </c>
      <c r="R306">
        <f>IFERROR(IF(ISNUMBER(INDEX(SPPR!$E:$X,MATCH($A306,SPPR!$A:$A,0),15)),$C306*INDEX(SPPR!$E:$X,MATCH($A306,SPPR!$A:$A,0),15),""),"")</f>
        <v/>
      </c>
      <c r="S306">
        <f>IFERROR(IF(ISNUMBER(INDEX(SPPR!$E:$X,MATCH($A306,SPPR!$A:$A,0),16)),$C306*INDEX(SPPR!$E:$X,MATCH($A306,SPPR!$A:$A,0),16),""),"")</f>
        <v/>
      </c>
      <c r="T306">
        <f>IFERROR(IF(ISNUMBER(INDEX(SPPR!$E:$X,MATCH($A306,SPPR!$A:$A,0),17)),$C306*INDEX(SPPR!$E:$X,MATCH($A306,SPPR!$A:$A,0),17),""),"")</f>
        <v/>
      </c>
      <c r="U306">
        <f>IFERROR(IF(ISNUMBER(INDEX(SPPR!$E:$X,MATCH($A306,SPPR!$A:$A,0),18)),$C306*INDEX(SPPR!$E:$X,MATCH($A306,SPPR!$A:$A,0),18),""),"")</f>
        <v/>
      </c>
      <c r="V306">
        <f>IFERROR(IF(ISNUMBER(INDEX(SPPR!$E:$X,MATCH($A306,SPPR!$A:$A,0),19)),$C306*INDEX(SPPR!$E:$X,MATCH($A306,SPPR!$A:$A,0),19),""),"")</f>
        <v/>
      </c>
      <c r="W306">
        <f>IFERROR(IF(ISNUMBER(INDEX(SPPR!$E:$X,MATCH($A306,SPPR!$A:$A,0),20)),$C306*INDEX(SPPR!$E:$X,MATCH($A306,SPPR!$A:$A,0),20),""),"")</f>
        <v/>
      </c>
    </row>
    <row r="307">
      <c r="A307" t="inlineStr">
        <is>
          <t>Mugil cephalus</t>
        </is>
      </c>
      <c r="B307">
        <f>IFERROR(INDEX(SPPR!$D:$D,MATCH($A307,SPPR!$A:$A,0)),"")</f>
        <v/>
      </c>
      <c r="C307">
        <f>IFERROR(INDEX(Catch!$E:$BV,MATCH($A307,Catch!$A:$A,0),MATCH($B$4,Catch!$E$1:$BV$1,0)),0)</f>
        <v/>
      </c>
      <c r="D307">
        <f>IFERROR(IF(ISNUMBER(INDEX(SPPR!$E:$X,MATCH($A307,SPPR!$A:$A,0),1)),$C307*INDEX(SPPR!$E:$X,MATCH($A307,SPPR!$A:$A,0),1),""),"")</f>
        <v/>
      </c>
      <c r="E307">
        <f>IFERROR(IF(ISNUMBER(INDEX(SPPR!$E:$X,MATCH($A307,SPPR!$A:$A,0),2)),$C307*INDEX(SPPR!$E:$X,MATCH($A307,SPPR!$A:$A,0),2),""),"")</f>
        <v/>
      </c>
      <c r="F307">
        <f>IFERROR(IF(ISNUMBER(INDEX(SPPR!$E:$X,MATCH($A307,SPPR!$A:$A,0),3)),$C307*INDEX(SPPR!$E:$X,MATCH($A307,SPPR!$A:$A,0),3),""),"")</f>
        <v/>
      </c>
      <c r="G307">
        <f>IFERROR(IF(ISNUMBER(INDEX(SPPR!$E:$X,MATCH($A307,SPPR!$A:$A,0),4)),$C307*INDEX(SPPR!$E:$X,MATCH($A307,SPPR!$A:$A,0),4),""),"")</f>
        <v/>
      </c>
      <c r="H307">
        <f>IFERROR(IF(ISNUMBER(INDEX(SPPR!$E:$X,MATCH($A307,SPPR!$A:$A,0),5)),$C307*INDEX(SPPR!$E:$X,MATCH($A307,SPPR!$A:$A,0),5),""),"")</f>
        <v/>
      </c>
      <c r="I307">
        <f>IFERROR(IF(ISNUMBER(INDEX(SPPR!$E:$X,MATCH($A307,SPPR!$A:$A,0),6)),$C307*INDEX(SPPR!$E:$X,MATCH($A307,SPPR!$A:$A,0),6),""),"")</f>
        <v/>
      </c>
      <c r="J307">
        <f>IFERROR(IF(ISNUMBER(INDEX(SPPR!$E:$X,MATCH($A307,SPPR!$A:$A,0),7)),$C307*INDEX(SPPR!$E:$X,MATCH($A307,SPPR!$A:$A,0),7),""),"")</f>
        <v/>
      </c>
      <c r="K307">
        <f>IFERROR(IF(ISNUMBER(INDEX(SPPR!$E:$X,MATCH($A307,SPPR!$A:$A,0),8)),$C307*INDEX(SPPR!$E:$X,MATCH($A307,SPPR!$A:$A,0),8),""),"")</f>
        <v/>
      </c>
      <c r="L307">
        <f>IFERROR(IF(ISNUMBER(INDEX(SPPR!$E:$X,MATCH($A307,SPPR!$A:$A,0),9)),$C307*INDEX(SPPR!$E:$X,MATCH($A307,SPPR!$A:$A,0),9),""),"")</f>
        <v/>
      </c>
      <c r="M307">
        <f>IFERROR(IF(ISNUMBER(INDEX(SPPR!$E:$X,MATCH($A307,SPPR!$A:$A,0),10)),$C307*INDEX(SPPR!$E:$X,MATCH($A307,SPPR!$A:$A,0),10),""),"")</f>
        <v/>
      </c>
      <c r="N307">
        <f>IFERROR(IF(ISNUMBER(INDEX(SPPR!$E:$X,MATCH($A307,SPPR!$A:$A,0),11)),$C307*INDEX(SPPR!$E:$X,MATCH($A307,SPPR!$A:$A,0),11),""),"")</f>
        <v/>
      </c>
      <c r="O307">
        <f>IFERROR(IF(ISNUMBER(INDEX(SPPR!$E:$X,MATCH($A307,SPPR!$A:$A,0),12)),$C307*INDEX(SPPR!$E:$X,MATCH($A307,SPPR!$A:$A,0),12),""),"")</f>
        <v/>
      </c>
      <c r="P307">
        <f>IFERROR(IF(ISNUMBER(INDEX(SPPR!$E:$X,MATCH($A307,SPPR!$A:$A,0),13)),$C307*INDEX(SPPR!$E:$X,MATCH($A307,SPPR!$A:$A,0),13),""),"")</f>
        <v/>
      </c>
      <c r="Q307">
        <f>IFERROR(IF(ISNUMBER(INDEX(SPPR!$E:$X,MATCH($A307,SPPR!$A:$A,0),14)),$C307*INDEX(SPPR!$E:$X,MATCH($A307,SPPR!$A:$A,0),14),""),"")</f>
        <v/>
      </c>
      <c r="R307">
        <f>IFERROR(IF(ISNUMBER(INDEX(SPPR!$E:$X,MATCH($A307,SPPR!$A:$A,0),15)),$C307*INDEX(SPPR!$E:$X,MATCH($A307,SPPR!$A:$A,0),15),""),"")</f>
        <v/>
      </c>
      <c r="S307">
        <f>IFERROR(IF(ISNUMBER(INDEX(SPPR!$E:$X,MATCH($A307,SPPR!$A:$A,0),16)),$C307*INDEX(SPPR!$E:$X,MATCH($A307,SPPR!$A:$A,0),16),""),"")</f>
        <v/>
      </c>
      <c r="T307">
        <f>IFERROR(IF(ISNUMBER(INDEX(SPPR!$E:$X,MATCH($A307,SPPR!$A:$A,0),17)),$C307*INDEX(SPPR!$E:$X,MATCH($A307,SPPR!$A:$A,0),17),""),"")</f>
        <v/>
      </c>
      <c r="U307">
        <f>IFERROR(IF(ISNUMBER(INDEX(SPPR!$E:$X,MATCH($A307,SPPR!$A:$A,0),18)),$C307*INDEX(SPPR!$E:$X,MATCH($A307,SPPR!$A:$A,0),18),""),"")</f>
        <v/>
      </c>
      <c r="V307">
        <f>IFERROR(IF(ISNUMBER(INDEX(SPPR!$E:$X,MATCH($A307,SPPR!$A:$A,0),19)),$C307*INDEX(SPPR!$E:$X,MATCH($A307,SPPR!$A:$A,0),19),""),"")</f>
        <v/>
      </c>
      <c r="W307">
        <f>IFERROR(IF(ISNUMBER(INDEX(SPPR!$E:$X,MATCH($A307,SPPR!$A:$A,0),20)),$C307*INDEX(SPPR!$E:$X,MATCH($A307,SPPR!$A:$A,0),20),""),"")</f>
        <v/>
      </c>
    </row>
    <row r="308">
      <c r="A308" t="inlineStr">
        <is>
          <t>Scomberesox saurus</t>
        </is>
      </c>
      <c r="B308">
        <f>IFERROR(INDEX(SPPR!$D:$D,MATCH($A308,SPPR!$A:$A,0)),"")</f>
        <v/>
      </c>
      <c r="C308">
        <f>IFERROR(INDEX(Catch!$E:$BV,MATCH($A308,Catch!$A:$A,0),MATCH($B$4,Catch!$E$1:$BV$1,0)),0)</f>
        <v/>
      </c>
      <c r="D308">
        <f>IFERROR(IF(ISNUMBER(INDEX(SPPR!$E:$X,MATCH($A308,SPPR!$A:$A,0),1)),$C308*INDEX(SPPR!$E:$X,MATCH($A308,SPPR!$A:$A,0),1),""),"")</f>
        <v/>
      </c>
      <c r="E308">
        <f>IFERROR(IF(ISNUMBER(INDEX(SPPR!$E:$X,MATCH($A308,SPPR!$A:$A,0),2)),$C308*INDEX(SPPR!$E:$X,MATCH($A308,SPPR!$A:$A,0),2),""),"")</f>
        <v/>
      </c>
      <c r="F308">
        <f>IFERROR(IF(ISNUMBER(INDEX(SPPR!$E:$X,MATCH($A308,SPPR!$A:$A,0),3)),$C308*INDEX(SPPR!$E:$X,MATCH($A308,SPPR!$A:$A,0),3),""),"")</f>
        <v/>
      </c>
      <c r="G308">
        <f>IFERROR(IF(ISNUMBER(INDEX(SPPR!$E:$X,MATCH($A308,SPPR!$A:$A,0),4)),$C308*INDEX(SPPR!$E:$X,MATCH($A308,SPPR!$A:$A,0),4),""),"")</f>
        <v/>
      </c>
      <c r="H308">
        <f>IFERROR(IF(ISNUMBER(INDEX(SPPR!$E:$X,MATCH($A308,SPPR!$A:$A,0),5)),$C308*INDEX(SPPR!$E:$X,MATCH($A308,SPPR!$A:$A,0),5),""),"")</f>
        <v/>
      </c>
      <c r="I308">
        <f>IFERROR(IF(ISNUMBER(INDEX(SPPR!$E:$X,MATCH($A308,SPPR!$A:$A,0),6)),$C308*INDEX(SPPR!$E:$X,MATCH($A308,SPPR!$A:$A,0),6),""),"")</f>
        <v/>
      </c>
      <c r="J308">
        <f>IFERROR(IF(ISNUMBER(INDEX(SPPR!$E:$X,MATCH($A308,SPPR!$A:$A,0),7)),$C308*INDEX(SPPR!$E:$X,MATCH($A308,SPPR!$A:$A,0),7),""),"")</f>
        <v/>
      </c>
      <c r="K308">
        <f>IFERROR(IF(ISNUMBER(INDEX(SPPR!$E:$X,MATCH($A308,SPPR!$A:$A,0),8)),$C308*INDEX(SPPR!$E:$X,MATCH($A308,SPPR!$A:$A,0),8),""),"")</f>
        <v/>
      </c>
      <c r="L308">
        <f>IFERROR(IF(ISNUMBER(INDEX(SPPR!$E:$X,MATCH($A308,SPPR!$A:$A,0),9)),$C308*INDEX(SPPR!$E:$X,MATCH($A308,SPPR!$A:$A,0),9),""),"")</f>
        <v/>
      </c>
      <c r="M308">
        <f>IFERROR(IF(ISNUMBER(INDEX(SPPR!$E:$X,MATCH($A308,SPPR!$A:$A,0),10)),$C308*INDEX(SPPR!$E:$X,MATCH($A308,SPPR!$A:$A,0),10),""),"")</f>
        <v/>
      </c>
      <c r="N308">
        <f>IFERROR(IF(ISNUMBER(INDEX(SPPR!$E:$X,MATCH($A308,SPPR!$A:$A,0),11)),$C308*INDEX(SPPR!$E:$X,MATCH($A308,SPPR!$A:$A,0),11),""),"")</f>
        <v/>
      </c>
      <c r="O308">
        <f>IFERROR(IF(ISNUMBER(INDEX(SPPR!$E:$X,MATCH($A308,SPPR!$A:$A,0),12)),$C308*INDEX(SPPR!$E:$X,MATCH($A308,SPPR!$A:$A,0),12),""),"")</f>
        <v/>
      </c>
      <c r="P308">
        <f>IFERROR(IF(ISNUMBER(INDEX(SPPR!$E:$X,MATCH($A308,SPPR!$A:$A,0),13)),$C308*INDEX(SPPR!$E:$X,MATCH($A308,SPPR!$A:$A,0),13),""),"")</f>
        <v/>
      </c>
      <c r="Q308">
        <f>IFERROR(IF(ISNUMBER(INDEX(SPPR!$E:$X,MATCH($A308,SPPR!$A:$A,0),14)),$C308*INDEX(SPPR!$E:$X,MATCH($A308,SPPR!$A:$A,0),14),""),"")</f>
        <v/>
      </c>
      <c r="R308">
        <f>IFERROR(IF(ISNUMBER(INDEX(SPPR!$E:$X,MATCH($A308,SPPR!$A:$A,0),15)),$C308*INDEX(SPPR!$E:$X,MATCH($A308,SPPR!$A:$A,0),15),""),"")</f>
        <v/>
      </c>
      <c r="S308">
        <f>IFERROR(IF(ISNUMBER(INDEX(SPPR!$E:$X,MATCH($A308,SPPR!$A:$A,0),16)),$C308*INDEX(SPPR!$E:$X,MATCH($A308,SPPR!$A:$A,0),16),""),"")</f>
        <v/>
      </c>
      <c r="T308">
        <f>IFERROR(IF(ISNUMBER(INDEX(SPPR!$E:$X,MATCH($A308,SPPR!$A:$A,0),17)),$C308*INDEX(SPPR!$E:$X,MATCH($A308,SPPR!$A:$A,0),17),""),"")</f>
        <v/>
      </c>
      <c r="U308">
        <f>IFERROR(IF(ISNUMBER(INDEX(SPPR!$E:$X,MATCH($A308,SPPR!$A:$A,0),18)),$C308*INDEX(SPPR!$E:$X,MATCH($A308,SPPR!$A:$A,0),18),""),"")</f>
        <v/>
      </c>
      <c r="V308">
        <f>IFERROR(IF(ISNUMBER(INDEX(SPPR!$E:$X,MATCH($A308,SPPR!$A:$A,0),19)),$C308*INDEX(SPPR!$E:$X,MATCH($A308,SPPR!$A:$A,0),19),""),"")</f>
        <v/>
      </c>
      <c r="W308">
        <f>IFERROR(IF(ISNUMBER(INDEX(SPPR!$E:$X,MATCH($A308,SPPR!$A:$A,0),20)),$C308*INDEX(SPPR!$E:$X,MATCH($A308,SPPR!$A:$A,0),20),""),"")</f>
        <v/>
      </c>
    </row>
    <row r="309">
      <c r="A309" t="inlineStr">
        <is>
          <t>Mola mola</t>
        </is>
      </c>
      <c r="B309">
        <f>IFERROR(INDEX(SPPR!$D:$D,MATCH($A309,SPPR!$A:$A,0)),"")</f>
        <v/>
      </c>
      <c r="C309">
        <f>IFERROR(INDEX(Catch!$E:$BV,MATCH($A309,Catch!$A:$A,0),MATCH($B$4,Catch!$E$1:$BV$1,0)),0)</f>
        <v/>
      </c>
      <c r="D309">
        <f>IFERROR(IF(ISNUMBER(INDEX(SPPR!$E:$X,MATCH($A309,SPPR!$A:$A,0),1)),$C309*INDEX(SPPR!$E:$X,MATCH($A309,SPPR!$A:$A,0),1),""),"")</f>
        <v/>
      </c>
      <c r="E309">
        <f>IFERROR(IF(ISNUMBER(INDEX(SPPR!$E:$X,MATCH($A309,SPPR!$A:$A,0),2)),$C309*INDEX(SPPR!$E:$X,MATCH($A309,SPPR!$A:$A,0),2),""),"")</f>
        <v/>
      </c>
      <c r="F309">
        <f>IFERROR(IF(ISNUMBER(INDEX(SPPR!$E:$X,MATCH($A309,SPPR!$A:$A,0),3)),$C309*INDEX(SPPR!$E:$X,MATCH($A309,SPPR!$A:$A,0),3),""),"")</f>
        <v/>
      </c>
      <c r="G309">
        <f>IFERROR(IF(ISNUMBER(INDEX(SPPR!$E:$X,MATCH($A309,SPPR!$A:$A,0),4)),$C309*INDEX(SPPR!$E:$X,MATCH($A309,SPPR!$A:$A,0),4),""),"")</f>
        <v/>
      </c>
      <c r="H309">
        <f>IFERROR(IF(ISNUMBER(INDEX(SPPR!$E:$X,MATCH($A309,SPPR!$A:$A,0),5)),$C309*INDEX(SPPR!$E:$X,MATCH($A309,SPPR!$A:$A,0),5),""),"")</f>
        <v/>
      </c>
      <c r="I309">
        <f>IFERROR(IF(ISNUMBER(INDEX(SPPR!$E:$X,MATCH($A309,SPPR!$A:$A,0),6)),$C309*INDEX(SPPR!$E:$X,MATCH($A309,SPPR!$A:$A,0),6),""),"")</f>
        <v/>
      </c>
      <c r="J309">
        <f>IFERROR(IF(ISNUMBER(INDEX(SPPR!$E:$X,MATCH($A309,SPPR!$A:$A,0),7)),$C309*INDEX(SPPR!$E:$X,MATCH($A309,SPPR!$A:$A,0),7),""),"")</f>
        <v/>
      </c>
      <c r="K309">
        <f>IFERROR(IF(ISNUMBER(INDEX(SPPR!$E:$X,MATCH($A309,SPPR!$A:$A,0),8)),$C309*INDEX(SPPR!$E:$X,MATCH($A309,SPPR!$A:$A,0),8),""),"")</f>
        <v/>
      </c>
      <c r="L309">
        <f>IFERROR(IF(ISNUMBER(INDEX(SPPR!$E:$X,MATCH($A309,SPPR!$A:$A,0),9)),$C309*INDEX(SPPR!$E:$X,MATCH($A309,SPPR!$A:$A,0),9),""),"")</f>
        <v/>
      </c>
      <c r="M309">
        <f>IFERROR(IF(ISNUMBER(INDEX(SPPR!$E:$X,MATCH($A309,SPPR!$A:$A,0),10)),$C309*INDEX(SPPR!$E:$X,MATCH($A309,SPPR!$A:$A,0),10),""),"")</f>
        <v/>
      </c>
      <c r="N309">
        <f>IFERROR(IF(ISNUMBER(INDEX(SPPR!$E:$X,MATCH($A309,SPPR!$A:$A,0),11)),$C309*INDEX(SPPR!$E:$X,MATCH($A309,SPPR!$A:$A,0),11),""),"")</f>
        <v/>
      </c>
      <c r="O309">
        <f>IFERROR(IF(ISNUMBER(INDEX(SPPR!$E:$X,MATCH($A309,SPPR!$A:$A,0),12)),$C309*INDEX(SPPR!$E:$X,MATCH($A309,SPPR!$A:$A,0),12),""),"")</f>
        <v/>
      </c>
      <c r="P309">
        <f>IFERROR(IF(ISNUMBER(INDEX(SPPR!$E:$X,MATCH($A309,SPPR!$A:$A,0),13)),$C309*INDEX(SPPR!$E:$X,MATCH($A309,SPPR!$A:$A,0),13),""),"")</f>
        <v/>
      </c>
      <c r="Q309">
        <f>IFERROR(IF(ISNUMBER(INDEX(SPPR!$E:$X,MATCH($A309,SPPR!$A:$A,0),14)),$C309*INDEX(SPPR!$E:$X,MATCH($A309,SPPR!$A:$A,0),14),""),"")</f>
        <v/>
      </c>
      <c r="R309">
        <f>IFERROR(IF(ISNUMBER(INDEX(SPPR!$E:$X,MATCH($A309,SPPR!$A:$A,0),15)),$C309*INDEX(SPPR!$E:$X,MATCH($A309,SPPR!$A:$A,0),15),""),"")</f>
        <v/>
      </c>
      <c r="S309">
        <f>IFERROR(IF(ISNUMBER(INDEX(SPPR!$E:$X,MATCH($A309,SPPR!$A:$A,0),16)),$C309*INDEX(SPPR!$E:$X,MATCH($A309,SPPR!$A:$A,0),16),""),"")</f>
        <v/>
      </c>
      <c r="T309">
        <f>IFERROR(IF(ISNUMBER(INDEX(SPPR!$E:$X,MATCH($A309,SPPR!$A:$A,0),17)),$C309*INDEX(SPPR!$E:$X,MATCH($A309,SPPR!$A:$A,0),17),""),"")</f>
        <v/>
      </c>
      <c r="U309">
        <f>IFERROR(IF(ISNUMBER(INDEX(SPPR!$E:$X,MATCH($A309,SPPR!$A:$A,0),18)),$C309*INDEX(SPPR!$E:$X,MATCH($A309,SPPR!$A:$A,0),18),""),"")</f>
        <v/>
      </c>
      <c r="V309">
        <f>IFERROR(IF(ISNUMBER(INDEX(SPPR!$E:$X,MATCH($A309,SPPR!$A:$A,0),19)),$C309*INDEX(SPPR!$E:$X,MATCH($A309,SPPR!$A:$A,0),19),""),"")</f>
        <v/>
      </c>
      <c r="W309">
        <f>IFERROR(IF(ISNUMBER(INDEX(SPPR!$E:$X,MATCH($A309,SPPR!$A:$A,0),20)),$C309*INDEX(SPPR!$E:$X,MATCH($A309,SPPR!$A:$A,0),20),""),"")</f>
        <v/>
      </c>
    </row>
    <row r="310">
      <c r="A310" t="inlineStr">
        <is>
          <t>Chelidonichthys lastoviza</t>
        </is>
      </c>
      <c r="B310">
        <f>IFERROR(INDEX(SPPR!$D:$D,MATCH($A310,SPPR!$A:$A,0)),"")</f>
        <v/>
      </c>
      <c r="C310">
        <f>IFERROR(INDEX(Catch!$E:$BV,MATCH($A310,Catch!$A:$A,0),MATCH($B$4,Catch!$E$1:$BV$1,0)),0)</f>
        <v/>
      </c>
      <c r="D310">
        <f>IFERROR(IF(ISNUMBER(INDEX(SPPR!$E:$X,MATCH($A310,SPPR!$A:$A,0),1)),$C310*INDEX(SPPR!$E:$X,MATCH($A310,SPPR!$A:$A,0),1),""),"")</f>
        <v/>
      </c>
      <c r="E310">
        <f>IFERROR(IF(ISNUMBER(INDEX(SPPR!$E:$X,MATCH($A310,SPPR!$A:$A,0),2)),$C310*INDEX(SPPR!$E:$X,MATCH($A310,SPPR!$A:$A,0),2),""),"")</f>
        <v/>
      </c>
      <c r="F310">
        <f>IFERROR(IF(ISNUMBER(INDEX(SPPR!$E:$X,MATCH($A310,SPPR!$A:$A,0),3)),$C310*INDEX(SPPR!$E:$X,MATCH($A310,SPPR!$A:$A,0),3),""),"")</f>
        <v/>
      </c>
      <c r="G310">
        <f>IFERROR(IF(ISNUMBER(INDEX(SPPR!$E:$X,MATCH($A310,SPPR!$A:$A,0),4)),$C310*INDEX(SPPR!$E:$X,MATCH($A310,SPPR!$A:$A,0),4),""),"")</f>
        <v/>
      </c>
      <c r="H310">
        <f>IFERROR(IF(ISNUMBER(INDEX(SPPR!$E:$X,MATCH($A310,SPPR!$A:$A,0),5)),$C310*INDEX(SPPR!$E:$X,MATCH($A310,SPPR!$A:$A,0),5),""),"")</f>
        <v/>
      </c>
      <c r="I310">
        <f>IFERROR(IF(ISNUMBER(INDEX(SPPR!$E:$X,MATCH($A310,SPPR!$A:$A,0),6)),$C310*INDEX(SPPR!$E:$X,MATCH($A310,SPPR!$A:$A,0),6),""),"")</f>
        <v/>
      </c>
      <c r="J310">
        <f>IFERROR(IF(ISNUMBER(INDEX(SPPR!$E:$X,MATCH($A310,SPPR!$A:$A,0),7)),$C310*INDEX(SPPR!$E:$X,MATCH($A310,SPPR!$A:$A,0),7),""),"")</f>
        <v/>
      </c>
      <c r="K310">
        <f>IFERROR(IF(ISNUMBER(INDEX(SPPR!$E:$X,MATCH($A310,SPPR!$A:$A,0),8)),$C310*INDEX(SPPR!$E:$X,MATCH($A310,SPPR!$A:$A,0),8),""),"")</f>
        <v/>
      </c>
      <c r="L310">
        <f>IFERROR(IF(ISNUMBER(INDEX(SPPR!$E:$X,MATCH($A310,SPPR!$A:$A,0),9)),$C310*INDEX(SPPR!$E:$X,MATCH($A310,SPPR!$A:$A,0),9),""),"")</f>
        <v/>
      </c>
      <c r="M310">
        <f>IFERROR(IF(ISNUMBER(INDEX(SPPR!$E:$X,MATCH($A310,SPPR!$A:$A,0),10)),$C310*INDEX(SPPR!$E:$X,MATCH($A310,SPPR!$A:$A,0),10),""),"")</f>
        <v/>
      </c>
      <c r="N310">
        <f>IFERROR(IF(ISNUMBER(INDEX(SPPR!$E:$X,MATCH($A310,SPPR!$A:$A,0),11)),$C310*INDEX(SPPR!$E:$X,MATCH($A310,SPPR!$A:$A,0),11),""),"")</f>
        <v/>
      </c>
      <c r="O310">
        <f>IFERROR(IF(ISNUMBER(INDEX(SPPR!$E:$X,MATCH($A310,SPPR!$A:$A,0),12)),$C310*INDEX(SPPR!$E:$X,MATCH($A310,SPPR!$A:$A,0),12),""),"")</f>
        <v/>
      </c>
      <c r="P310">
        <f>IFERROR(IF(ISNUMBER(INDEX(SPPR!$E:$X,MATCH($A310,SPPR!$A:$A,0),13)),$C310*INDEX(SPPR!$E:$X,MATCH($A310,SPPR!$A:$A,0),13),""),"")</f>
        <v/>
      </c>
      <c r="Q310">
        <f>IFERROR(IF(ISNUMBER(INDEX(SPPR!$E:$X,MATCH($A310,SPPR!$A:$A,0),14)),$C310*INDEX(SPPR!$E:$X,MATCH($A310,SPPR!$A:$A,0),14),""),"")</f>
        <v/>
      </c>
      <c r="R310">
        <f>IFERROR(IF(ISNUMBER(INDEX(SPPR!$E:$X,MATCH($A310,SPPR!$A:$A,0),15)),$C310*INDEX(SPPR!$E:$X,MATCH($A310,SPPR!$A:$A,0),15),""),"")</f>
        <v/>
      </c>
      <c r="S310">
        <f>IFERROR(IF(ISNUMBER(INDEX(SPPR!$E:$X,MATCH($A310,SPPR!$A:$A,0),16)),$C310*INDEX(SPPR!$E:$X,MATCH($A310,SPPR!$A:$A,0),16),""),"")</f>
        <v/>
      </c>
      <c r="T310">
        <f>IFERROR(IF(ISNUMBER(INDEX(SPPR!$E:$X,MATCH($A310,SPPR!$A:$A,0),17)),$C310*INDEX(SPPR!$E:$X,MATCH($A310,SPPR!$A:$A,0),17),""),"")</f>
        <v/>
      </c>
      <c r="U310">
        <f>IFERROR(IF(ISNUMBER(INDEX(SPPR!$E:$X,MATCH($A310,SPPR!$A:$A,0),18)),$C310*INDEX(SPPR!$E:$X,MATCH($A310,SPPR!$A:$A,0),18),""),"")</f>
        <v/>
      </c>
      <c r="V310">
        <f>IFERROR(IF(ISNUMBER(INDEX(SPPR!$E:$X,MATCH($A310,SPPR!$A:$A,0),19)),$C310*INDEX(SPPR!$E:$X,MATCH($A310,SPPR!$A:$A,0),19),""),"")</f>
        <v/>
      </c>
      <c r="W310">
        <f>IFERROR(IF(ISNUMBER(INDEX(SPPR!$E:$X,MATCH($A310,SPPR!$A:$A,0),20)),$C310*INDEX(SPPR!$E:$X,MATCH($A310,SPPR!$A:$A,0),20),""),"")</f>
        <v/>
      </c>
    </row>
    <row r="311">
      <c r="A311" t="inlineStr">
        <is>
          <t>Illex coindetii</t>
        </is>
      </c>
      <c r="B311">
        <f>IFERROR(INDEX(SPPR!$D:$D,MATCH($A311,SPPR!$A:$A,0)),"")</f>
        <v/>
      </c>
      <c r="C311">
        <f>IFERROR(INDEX(Catch!$E:$BV,MATCH($A311,Catch!$A:$A,0),MATCH($B$4,Catch!$E$1:$BV$1,0)),0)</f>
        <v/>
      </c>
      <c r="D311">
        <f>IFERROR(IF(ISNUMBER(INDEX(SPPR!$E:$X,MATCH($A311,SPPR!$A:$A,0),1)),$C311*INDEX(SPPR!$E:$X,MATCH($A311,SPPR!$A:$A,0),1),""),"")</f>
        <v/>
      </c>
      <c r="E311">
        <f>IFERROR(IF(ISNUMBER(INDEX(SPPR!$E:$X,MATCH($A311,SPPR!$A:$A,0),2)),$C311*INDEX(SPPR!$E:$X,MATCH($A311,SPPR!$A:$A,0),2),""),"")</f>
        <v/>
      </c>
      <c r="F311">
        <f>IFERROR(IF(ISNUMBER(INDEX(SPPR!$E:$X,MATCH($A311,SPPR!$A:$A,0),3)),$C311*INDEX(SPPR!$E:$X,MATCH($A311,SPPR!$A:$A,0),3),""),"")</f>
        <v/>
      </c>
      <c r="G311">
        <f>IFERROR(IF(ISNUMBER(INDEX(SPPR!$E:$X,MATCH($A311,SPPR!$A:$A,0),4)),$C311*INDEX(SPPR!$E:$X,MATCH($A311,SPPR!$A:$A,0),4),""),"")</f>
        <v/>
      </c>
      <c r="H311">
        <f>IFERROR(IF(ISNUMBER(INDEX(SPPR!$E:$X,MATCH($A311,SPPR!$A:$A,0),5)),$C311*INDEX(SPPR!$E:$X,MATCH($A311,SPPR!$A:$A,0),5),""),"")</f>
        <v/>
      </c>
      <c r="I311">
        <f>IFERROR(IF(ISNUMBER(INDEX(SPPR!$E:$X,MATCH($A311,SPPR!$A:$A,0),6)),$C311*INDEX(SPPR!$E:$X,MATCH($A311,SPPR!$A:$A,0),6),""),"")</f>
        <v/>
      </c>
      <c r="J311">
        <f>IFERROR(IF(ISNUMBER(INDEX(SPPR!$E:$X,MATCH($A311,SPPR!$A:$A,0),7)),$C311*INDEX(SPPR!$E:$X,MATCH($A311,SPPR!$A:$A,0),7),""),"")</f>
        <v/>
      </c>
      <c r="K311">
        <f>IFERROR(IF(ISNUMBER(INDEX(SPPR!$E:$X,MATCH($A311,SPPR!$A:$A,0),8)),$C311*INDEX(SPPR!$E:$X,MATCH($A311,SPPR!$A:$A,0),8),""),"")</f>
        <v/>
      </c>
      <c r="L311">
        <f>IFERROR(IF(ISNUMBER(INDEX(SPPR!$E:$X,MATCH($A311,SPPR!$A:$A,0),9)),$C311*INDEX(SPPR!$E:$X,MATCH($A311,SPPR!$A:$A,0),9),""),"")</f>
        <v/>
      </c>
      <c r="M311">
        <f>IFERROR(IF(ISNUMBER(INDEX(SPPR!$E:$X,MATCH($A311,SPPR!$A:$A,0),10)),$C311*INDEX(SPPR!$E:$X,MATCH($A311,SPPR!$A:$A,0),10),""),"")</f>
        <v/>
      </c>
      <c r="N311">
        <f>IFERROR(IF(ISNUMBER(INDEX(SPPR!$E:$X,MATCH($A311,SPPR!$A:$A,0),11)),$C311*INDEX(SPPR!$E:$X,MATCH($A311,SPPR!$A:$A,0),11),""),"")</f>
        <v/>
      </c>
      <c r="O311">
        <f>IFERROR(IF(ISNUMBER(INDEX(SPPR!$E:$X,MATCH($A311,SPPR!$A:$A,0),12)),$C311*INDEX(SPPR!$E:$X,MATCH($A311,SPPR!$A:$A,0),12),""),"")</f>
        <v/>
      </c>
      <c r="P311">
        <f>IFERROR(IF(ISNUMBER(INDEX(SPPR!$E:$X,MATCH($A311,SPPR!$A:$A,0),13)),$C311*INDEX(SPPR!$E:$X,MATCH($A311,SPPR!$A:$A,0),13),""),"")</f>
        <v/>
      </c>
      <c r="Q311">
        <f>IFERROR(IF(ISNUMBER(INDEX(SPPR!$E:$X,MATCH($A311,SPPR!$A:$A,0),14)),$C311*INDEX(SPPR!$E:$X,MATCH($A311,SPPR!$A:$A,0),14),""),"")</f>
        <v/>
      </c>
      <c r="R311">
        <f>IFERROR(IF(ISNUMBER(INDEX(SPPR!$E:$X,MATCH($A311,SPPR!$A:$A,0),15)),$C311*INDEX(SPPR!$E:$X,MATCH($A311,SPPR!$A:$A,0),15),""),"")</f>
        <v/>
      </c>
      <c r="S311">
        <f>IFERROR(IF(ISNUMBER(INDEX(SPPR!$E:$X,MATCH($A311,SPPR!$A:$A,0),16)),$C311*INDEX(SPPR!$E:$X,MATCH($A311,SPPR!$A:$A,0),16),""),"")</f>
        <v/>
      </c>
      <c r="T311">
        <f>IFERROR(IF(ISNUMBER(INDEX(SPPR!$E:$X,MATCH($A311,SPPR!$A:$A,0),17)),$C311*INDEX(SPPR!$E:$X,MATCH($A311,SPPR!$A:$A,0),17),""),"")</f>
        <v/>
      </c>
      <c r="U311">
        <f>IFERROR(IF(ISNUMBER(INDEX(SPPR!$E:$X,MATCH($A311,SPPR!$A:$A,0),18)),$C311*INDEX(SPPR!$E:$X,MATCH($A311,SPPR!$A:$A,0),18),""),"")</f>
        <v/>
      </c>
      <c r="V311">
        <f>IFERROR(IF(ISNUMBER(INDEX(SPPR!$E:$X,MATCH($A311,SPPR!$A:$A,0),19)),$C311*INDEX(SPPR!$E:$X,MATCH($A311,SPPR!$A:$A,0),19),""),"")</f>
        <v/>
      </c>
      <c r="W311">
        <f>IFERROR(IF(ISNUMBER(INDEX(SPPR!$E:$X,MATCH($A311,SPPR!$A:$A,0),20)),$C311*INDEX(SPPR!$E:$X,MATCH($A311,SPPR!$A:$A,0),20),""),"")</f>
        <v/>
      </c>
    </row>
    <row r="312">
      <c r="A312" t="inlineStr">
        <is>
          <t>Berycidae</t>
        </is>
      </c>
      <c r="B312">
        <f>IFERROR(INDEX(SPPR!$D:$D,MATCH($A312,SPPR!$A:$A,0)),"")</f>
        <v/>
      </c>
      <c r="C312">
        <f>IFERROR(INDEX(Catch!$E:$BV,MATCH($A312,Catch!$A:$A,0),MATCH($B$4,Catch!$E$1:$BV$1,0)),0)</f>
        <v/>
      </c>
      <c r="D312">
        <f>IFERROR(IF(ISNUMBER(INDEX(SPPR!$E:$X,MATCH($A312,SPPR!$A:$A,0),1)),$C312*INDEX(SPPR!$E:$X,MATCH($A312,SPPR!$A:$A,0),1),""),"")</f>
        <v/>
      </c>
      <c r="E312">
        <f>IFERROR(IF(ISNUMBER(INDEX(SPPR!$E:$X,MATCH($A312,SPPR!$A:$A,0),2)),$C312*INDEX(SPPR!$E:$X,MATCH($A312,SPPR!$A:$A,0),2),""),"")</f>
        <v/>
      </c>
      <c r="F312">
        <f>IFERROR(IF(ISNUMBER(INDEX(SPPR!$E:$X,MATCH($A312,SPPR!$A:$A,0),3)),$C312*INDEX(SPPR!$E:$X,MATCH($A312,SPPR!$A:$A,0),3),""),"")</f>
        <v/>
      </c>
      <c r="G312">
        <f>IFERROR(IF(ISNUMBER(INDEX(SPPR!$E:$X,MATCH($A312,SPPR!$A:$A,0),4)),$C312*INDEX(SPPR!$E:$X,MATCH($A312,SPPR!$A:$A,0),4),""),"")</f>
        <v/>
      </c>
      <c r="H312">
        <f>IFERROR(IF(ISNUMBER(INDEX(SPPR!$E:$X,MATCH($A312,SPPR!$A:$A,0),5)),$C312*INDEX(SPPR!$E:$X,MATCH($A312,SPPR!$A:$A,0),5),""),"")</f>
        <v/>
      </c>
      <c r="I312">
        <f>IFERROR(IF(ISNUMBER(INDEX(SPPR!$E:$X,MATCH($A312,SPPR!$A:$A,0),6)),$C312*INDEX(SPPR!$E:$X,MATCH($A312,SPPR!$A:$A,0),6),""),"")</f>
        <v/>
      </c>
      <c r="J312">
        <f>IFERROR(IF(ISNUMBER(INDEX(SPPR!$E:$X,MATCH($A312,SPPR!$A:$A,0),7)),$C312*INDEX(SPPR!$E:$X,MATCH($A312,SPPR!$A:$A,0),7),""),"")</f>
        <v/>
      </c>
      <c r="K312">
        <f>IFERROR(IF(ISNUMBER(INDEX(SPPR!$E:$X,MATCH($A312,SPPR!$A:$A,0),8)),$C312*INDEX(SPPR!$E:$X,MATCH($A312,SPPR!$A:$A,0),8),""),"")</f>
        <v/>
      </c>
      <c r="L312">
        <f>IFERROR(IF(ISNUMBER(INDEX(SPPR!$E:$X,MATCH($A312,SPPR!$A:$A,0),9)),$C312*INDEX(SPPR!$E:$X,MATCH($A312,SPPR!$A:$A,0),9),""),"")</f>
        <v/>
      </c>
      <c r="M312">
        <f>IFERROR(IF(ISNUMBER(INDEX(SPPR!$E:$X,MATCH($A312,SPPR!$A:$A,0),10)),$C312*INDEX(SPPR!$E:$X,MATCH($A312,SPPR!$A:$A,0),10),""),"")</f>
        <v/>
      </c>
      <c r="N312">
        <f>IFERROR(IF(ISNUMBER(INDEX(SPPR!$E:$X,MATCH($A312,SPPR!$A:$A,0),11)),$C312*INDEX(SPPR!$E:$X,MATCH($A312,SPPR!$A:$A,0),11),""),"")</f>
        <v/>
      </c>
      <c r="O312">
        <f>IFERROR(IF(ISNUMBER(INDEX(SPPR!$E:$X,MATCH($A312,SPPR!$A:$A,0),12)),$C312*INDEX(SPPR!$E:$X,MATCH($A312,SPPR!$A:$A,0),12),""),"")</f>
        <v/>
      </c>
      <c r="P312">
        <f>IFERROR(IF(ISNUMBER(INDEX(SPPR!$E:$X,MATCH($A312,SPPR!$A:$A,0),13)),$C312*INDEX(SPPR!$E:$X,MATCH($A312,SPPR!$A:$A,0),13),""),"")</f>
        <v/>
      </c>
      <c r="Q312">
        <f>IFERROR(IF(ISNUMBER(INDEX(SPPR!$E:$X,MATCH($A312,SPPR!$A:$A,0),14)),$C312*INDEX(SPPR!$E:$X,MATCH($A312,SPPR!$A:$A,0),14),""),"")</f>
        <v/>
      </c>
      <c r="R312">
        <f>IFERROR(IF(ISNUMBER(INDEX(SPPR!$E:$X,MATCH($A312,SPPR!$A:$A,0),15)),$C312*INDEX(SPPR!$E:$X,MATCH($A312,SPPR!$A:$A,0),15),""),"")</f>
        <v/>
      </c>
      <c r="S312">
        <f>IFERROR(IF(ISNUMBER(INDEX(SPPR!$E:$X,MATCH($A312,SPPR!$A:$A,0),16)),$C312*INDEX(SPPR!$E:$X,MATCH($A312,SPPR!$A:$A,0),16),""),"")</f>
        <v/>
      </c>
      <c r="T312">
        <f>IFERROR(IF(ISNUMBER(INDEX(SPPR!$E:$X,MATCH($A312,SPPR!$A:$A,0),17)),$C312*INDEX(SPPR!$E:$X,MATCH($A312,SPPR!$A:$A,0),17),""),"")</f>
        <v/>
      </c>
      <c r="U312">
        <f>IFERROR(IF(ISNUMBER(INDEX(SPPR!$E:$X,MATCH($A312,SPPR!$A:$A,0),18)),$C312*INDEX(SPPR!$E:$X,MATCH($A312,SPPR!$A:$A,0),18),""),"")</f>
        <v/>
      </c>
      <c r="V312">
        <f>IFERROR(IF(ISNUMBER(INDEX(SPPR!$E:$X,MATCH($A312,SPPR!$A:$A,0),19)),$C312*INDEX(SPPR!$E:$X,MATCH($A312,SPPR!$A:$A,0),19),""),"")</f>
        <v/>
      </c>
      <c r="W312">
        <f>IFERROR(IF(ISNUMBER(INDEX(SPPR!$E:$X,MATCH($A312,SPPR!$A:$A,0),20)),$C312*INDEX(SPPR!$E:$X,MATCH($A312,SPPR!$A:$A,0),20),""),"")</f>
        <v/>
      </c>
    </row>
    <row r="313">
      <c r="A313" t="inlineStr">
        <is>
          <t>Beryx splendens</t>
        </is>
      </c>
      <c r="B313">
        <f>IFERROR(INDEX(SPPR!$D:$D,MATCH($A313,SPPR!$A:$A,0)),"")</f>
        <v/>
      </c>
      <c r="C313">
        <f>IFERROR(INDEX(Catch!$E:$BV,MATCH($A313,Catch!$A:$A,0),MATCH($B$4,Catch!$E$1:$BV$1,0)),0)</f>
        <v/>
      </c>
      <c r="D313">
        <f>IFERROR(IF(ISNUMBER(INDEX(SPPR!$E:$X,MATCH($A313,SPPR!$A:$A,0),1)),$C313*INDEX(SPPR!$E:$X,MATCH($A313,SPPR!$A:$A,0),1),""),"")</f>
        <v/>
      </c>
      <c r="E313">
        <f>IFERROR(IF(ISNUMBER(INDEX(SPPR!$E:$X,MATCH($A313,SPPR!$A:$A,0),2)),$C313*INDEX(SPPR!$E:$X,MATCH($A313,SPPR!$A:$A,0),2),""),"")</f>
        <v/>
      </c>
      <c r="F313">
        <f>IFERROR(IF(ISNUMBER(INDEX(SPPR!$E:$X,MATCH($A313,SPPR!$A:$A,0),3)),$C313*INDEX(SPPR!$E:$X,MATCH($A313,SPPR!$A:$A,0),3),""),"")</f>
        <v/>
      </c>
      <c r="G313">
        <f>IFERROR(IF(ISNUMBER(INDEX(SPPR!$E:$X,MATCH($A313,SPPR!$A:$A,0),4)),$C313*INDEX(SPPR!$E:$X,MATCH($A313,SPPR!$A:$A,0),4),""),"")</f>
        <v/>
      </c>
      <c r="H313">
        <f>IFERROR(IF(ISNUMBER(INDEX(SPPR!$E:$X,MATCH($A313,SPPR!$A:$A,0),5)),$C313*INDEX(SPPR!$E:$X,MATCH($A313,SPPR!$A:$A,0),5),""),"")</f>
        <v/>
      </c>
      <c r="I313">
        <f>IFERROR(IF(ISNUMBER(INDEX(SPPR!$E:$X,MATCH($A313,SPPR!$A:$A,0),6)),$C313*INDEX(SPPR!$E:$X,MATCH($A313,SPPR!$A:$A,0),6),""),"")</f>
        <v/>
      </c>
      <c r="J313">
        <f>IFERROR(IF(ISNUMBER(INDEX(SPPR!$E:$X,MATCH($A313,SPPR!$A:$A,0),7)),$C313*INDEX(SPPR!$E:$X,MATCH($A313,SPPR!$A:$A,0),7),""),"")</f>
        <v/>
      </c>
      <c r="K313">
        <f>IFERROR(IF(ISNUMBER(INDEX(SPPR!$E:$X,MATCH($A313,SPPR!$A:$A,0),8)),$C313*INDEX(SPPR!$E:$X,MATCH($A313,SPPR!$A:$A,0),8),""),"")</f>
        <v/>
      </c>
      <c r="L313">
        <f>IFERROR(IF(ISNUMBER(INDEX(SPPR!$E:$X,MATCH($A313,SPPR!$A:$A,0),9)),$C313*INDEX(SPPR!$E:$X,MATCH($A313,SPPR!$A:$A,0),9),""),"")</f>
        <v/>
      </c>
      <c r="M313">
        <f>IFERROR(IF(ISNUMBER(INDEX(SPPR!$E:$X,MATCH($A313,SPPR!$A:$A,0),10)),$C313*INDEX(SPPR!$E:$X,MATCH($A313,SPPR!$A:$A,0),10),""),"")</f>
        <v/>
      </c>
      <c r="N313">
        <f>IFERROR(IF(ISNUMBER(INDEX(SPPR!$E:$X,MATCH($A313,SPPR!$A:$A,0),11)),$C313*INDEX(SPPR!$E:$X,MATCH($A313,SPPR!$A:$A,0),11),""),"")</f>
        <v/>
      </c>
      <c r="O313">
        <f>IFERROR(IF(ISNUMBER(INDEX(SPPR!$E:$X,MATCH($A313,SPPR!$A:$A,0),12)),$C313*INDEX(SPPR!$E:$X,MATCH($A313,SPPR!$A:$A,0),12),""),"")</f>
        <v/>
      </c>
      <c r="P313">
        <f>IFERROR(IF(ISNUMBER(INDEX(SPPR!$E:$X,MATCH($A313,SPPR!$A:$A,0),13)),$C313*INDEX(SPPR!$E:$X,MATCH($A313,SPPR!$A:$A,0),13),""),"")</f>
        <v/>
      </c>
      <c r="Q313">
        <f>IFERROR(IF(ISNUMBER(INDEX(SPPR!$E:$X,MATCH($A313,SPPR!$A:$A,0),14)),$C313*INDEX(SPPR!$E:$X,MATCH($A313,SPPR!$A:$A,0),14),""),"")</f>
        <v/>
      </c>
      <c r="R313">
        <f>IFERROR(IF(ISNUMBER(INDEX(SPPR!$E:$X,MATCH($A313,SPPR!$A:$A,0),15)),$C313*INDEX(SPPR!$E:$X,MATCH($A313,SPPR!$A:$A,0),15),""),"")</f>
        <v/>
      </c>
      <c r="S313">
        <f>IFERROR(IF(ISNUMBER(INDEX(SPPR!$E:$X,MATCH($A313,SPPR!$A:$A,0),16)),$C313*INDEX(SPPR!$E:$X,MATCH($A313,SPPR!$A:$A,0),16),""),"")</f>
        <v/>
      </c>
      <c r="T313">
        <f>IFERROR(IF(ISNUMBER(INDEX(SPPR!$E:$X,MATCH($A313,SPPR!$A:$A,0),17)),$C313*INDEX(SPPR!$E:$X,MATCH($A313,SPPR!$A:$A,0),17),""),"")</f>
        <v/>
      </c>
      <c r="U313">
        <f>IFERROR(IF(ISNUMBER(INDEX(SPPR!$E:$X,MATCH($A313,SPPR!$A:$A,0),18)),$C313*INDEX(SPPR!$E:$X,MATCH($A313,SPPR!$A:$A,0),18),""),"")</f>
        <v/>
      </c>
      <c r="V313">
        <f>IFERROR(IF(ISNUMBER(INDEX(SPPR!$E:$X,MATCH($A313,SPPR!$A:$A,0),19)),$C313*INDEX(SPPR!$E:$X,MATCH($A313,SPPR!$A:$A,0),19),""),"")</f>
        <v/>
      </c>
      <c r="W313">
        <f>IFERROR(IF(ISNUMBER(INDEX(SPPR!$E:$X,MATCH($A313,SPPR!$A:$A,0),20)),$C313*INDEX(SPPR!$E:$X,MATCH($A313,SPPR!$A:$A,0),20),""),"")</f>
        <v/>
      </c>
    </row>
    <row r="314">
      <c r="A314" t="inlineStr">
        <is>
          <t>Beryx decadactylus</t>
        </is>
      </c>
      <c r="B314">
        <f>IFERROR(INDEX(SPPR!$D:$D,MATCH($A314,SPPR!$A:$A,0)),"")</f>
        <v/>
      </c>
      <c r="C314">
        <f>IFERROR(INDEX(Catch!$E:$BV,MATCH($A314,Catch!$A:$A,0),MATCH($B$4,Catch!$E$1:$BV$1,0)),0)</f>
        <v/>
      </c>
      <c r="D314">
        <f>IFERROR(IF(ISNUMBER(INDEX(SPPR!$E:$X,MATCH($A314,SPPR!$A:$A,0),1)),$C314*INDEX(SPPR!$E:$X,MATCH($A314,SPPR!$A:$A,0),1),""),"")</f>
        <v/>
      </c>
      <c r="E314">
        <f>IFERROR(IF(ISNUMBER(INDEX(SPPR!$E:$X,MATCH($A314,SPPR!$A:$A,0),2)),$C314*INDEX(SPPR!$E:$X,MATCH($A314,SPPR!$A:$A,0),2),""),"")</f>
        <v/>
      </c>
      <c r="F314">
        <f>IFERROR(IF(ISNUMBER(INDEX(SPPR!$E:$X,MATCH($A314,SPPR!$A:$A,0),3)),$C314*INDEX(SPPR!$E:$X,MATCH($A314,SPPR!$A:$A,0),3),""),"")</f>
        <v/>
      </c>
      <c r="G314">
        <f>IFERROR(IF(ISNUMBER(INDEX(SPPR!$E:$X,MATCH($A314,SPPR!$A:$A,0),4)),$C314*INDEX(SPPR!$E:$X,MATCH($A314,SPPR!$A:$A,0),4),""),"")</f>
        <v/>
      </c>
      <c r="H314">
        <f>IFERROR(IF(ISNUMBER(INDEX(SPPR!$E:$X,MATCH($A314,SPPR!$A:$A,0),5)),$C314*INDEX(SPPR!$E:$X,MATCH($A314,SPPR!$A:$A,0),5),""),"")</f>
        <v/>
      </c>
      <c r="I314">
        <f>IFERROR(IF(ISNUMBER(INDEX(SPPR!$E:$X,MATCH($A314,SPPR!$A:$A,0),6)),$C314*INDEX(SPPR!$E:$X,MATCH($A314,SPPR!$A:$A,0),6),""),"")</f>
        <v/>
      </c>
      <c r="J314">
        <f>IFERROR(IF(ISNUMBER(INDEX(SPPR!$E:$X,MATCH($A314,SPPR!$A:$A,0),7)),$C314*INDEX(SPPR!$E:$X,MATCH($A314,SPPR!$A:$A,0),7),""),"")</f>
        <v/>
      </c>
      <c r="K314">
        <f>IFERROR(IF(ISNUMBER(INDEX(SPPR!$E:$X,MATCH($A314,SPPR!$A:$A,0),8)),$C314*INDEX(SPPR!$E:$X,MATCH($A314,SPPR!$A:$A,0),8),""),"")</f>
        <v/>
      </c>
      <c r="L314">
        <f>IFERROR(IF(ISNUMBER(INDEX(SPPR!$E:$X,MATCH($A314,SPPR!$A:$A,0),9)),$C314*INDEX(SPPR!$E:$X,MATCH($A314,SPPR!$A:$A,0),9),""),"")</f>
        <v/>
      </c>
      <c r="M314">
        <f>IFERROR(IF(ISNUMBER(INDEX(SPPR!$E:$X,MATCH($A314,SPPR!$A:$A,0),10)),$C314*INDEX(SPPR!$E:$X,MATCH($A314,SPPR!$A:$A,0),10),""),"")</f>
        <v/>
      </c>
      <c r="N314">
        <f>IFERROR(IF(ISNUMBER(INDEX(SPPR!$E:$X,MATCH($A314,SPPR!$A:$A,0),11)),$C314*INDEX(SPPR!$E:$X,MATCH($A314,SPPR!$A:$A,0),11),""),"")</f>
        <v/>
      </c>
      <c r="O314">
        <f>IFERROR(IF(ISNUMBER(INDEX(SPPR!$E:$X,MATCH($A314,SPPR!$A:$A,0),12)),$C314*INDEX(SPPR!$E:$X,MATCH($A314,SPPR!$A:$A,0),12),""),"")</f>
        <v/>
      </c>
      <c r="P314">
        <f>IFERROR(IF(ISNUMBER(INDEX(SPPR!$E:$X,MATCH($A314,SPPR!$A:$A,0),13)),$C314*INDEX(SPPR!$E:$X,MATCH($A314,SPPR!$A:$A,0),13),""),"")</f>
        <v/>
      </c>
      <c r="Q314">
        <f>IFERROR(IF(ISNUMBER(INDEX(SPPR!$E:$X,MATCH($A314,SPPR!$A:$A,0),14)),$C314*INDEX(SPPR!$E:$X,MATCH($A314,SPPR!$A:$A,0),14),""),"")</f>
        <v/>
      </c>
      <c r="R314">
        <f>IFERROR(IF(ISNUMBER(INDEX(SPPR!$E:$X,MATCH($A314,SPPR!$A:$A,0),15)),$C314*INDEX(SPPR!$E:$X,MATCH($A314,SPPR!$A:$A,0),15),""),"")</f>
        <v/>
      </c>
      <c r="S314">
        <f>IFERROR(IF(ISNUMBER(INDEX(SPPR!$E:$X,MATCH($A314,SPPR!$A:$A,0),16)),$C314*INDEX(SPPR!$E:$X,MATCH($A314,SPPR!$A:$A,0),16),""),"")</f>
        <v/>
      </c>
      <c r="T314">
        <f>IFERROR(IF(ISNUMBER(INDEX(SPPR!$E:$X,MATCH($A314,SPPR!$A:$A,0),17)),$C314*INDEX(SPPR!$E:$X,MATCH($A314,SPPR!$A:$A,0),17),""),"")</f>
        <v/>
      </c>
      <c r="U314">
        <f>IFERROR(IF(ISNUMBER(INDEX(SPPR!$E:$X,MATCH($A314,SPPR!$A:$A,0),18)),$C314*INDEX(SPPR!$E:$X,MATCH($A314,SPPR!$A:$A,0),18),""),"")</f>
        <v/>
      </c>
      <c r="V314">
        <f>IFERROR(IF(ISNUMBER(INDEX(SPPR!$E:$X,MATCH($A314,SPPR!$A:$A,0),19)),$C314*INDEX(SPPR!$E:$X,MATCH($A314,SPPR!$A:$A,0),19),""),"")</f>
        <v/>
      </c>
      <c r="W314">
        <f>IFERROR(IF(ISNUMBER(INDEX(SPPR!$E:$X,MATCH($A314,SPPR!$A:$A,0),20)),$C314*INDEX(SPPR!$E:$X,MATCH($A314,SPPR!$A:$A,0),20),""),"")</f>
        <v/>
      </c>
    </row>
    <row r="315">
      <c r="A315" t="inlineStr">
        <is>
          <t>Anarhichas minor</t>
        </is>
      </c>
      <c r="B315">
        <f>IFERROR(INDEX(SPPR!$D:$D,MATCH($A315,SPPR!$A:$A,0)),"")</f>
        <v/>
      </c>
      <c r="C315">
        <f>IFERROR(INDEX(Catch!$E:$BV,MATCH($A315,Catch!$A:$A,0),MATCH($B$4,Catch!$E$1:$BV$1,0)),0)</f>
        <v/>
      </c>
      <c r="D315">
        <f>IFERROR(IF(ISNUMBER(INDEX(SPPR!$E:$X,MATCH($A315,SPPR!$A:$A,0),1)),$C315*INDEX(SPPR!$E:$X,MATCH($A315,SPPR!$A:$A,0),1),""),"")</f>
        <v/>
      </c>
      <c r="E315">
        <f>IFERROR(IF(ISNUMBER(INDEX(SPPR!$E:$X,MATCH($A315,SPPR!$A:$A,0),2)),$C315*INDEX(SPPR!$E:$X,MATCH($A315,SPPR!$A:$A,0),2),""),"")</f>
        <v/>
      </c>
      <c r="F315">
        <f>IFERROR(IF(ISNUMBER(INDEX(SPPR!$E:$X,MATCH($A315,SPPR!$A:$A,0),3)),$C315*INDEX(SPPR!$E:$X,MATCH($A315,SPPR!$A:$A,0),3),""),"")</f>
        <v/>
      </c>
      <c r="G315">
        <f>IFERROR(IF(ISNUMBER(INDEX(SPPR!$E:$X,MATCH($A315,SPPR!$A:$A,0),4)),$C315*INDEX(SPPR!$E:$X,MATCH($A315,SPPR!$A:$A,0),4),""),"")</f>
        <v/>
      </c>
      <c r="H315">
        <f>IFERROR(IF(ISNUMBER(INDEX(SPPR!$E:$X,MATCH($A315,SPPR!$A:$A,0),5)),$C315*INDEX(SPPR!$E:$X,MATCH($A315,SPPR!$A:$A,0),5),""),"")</f>
        <v/>
      </c>
      <c r="I315">
        <f>IFERROR(IF(ISNUMBER(INDEX(SPPR!$E:$X,MATCH($A315,SPPR!$A:$A,0),6)),$C315*INDEX(SPPR!$E:$X,MATCH($A315,SPPR!$A:$A,0),6),""),"")</f>
        <v/>
      </c>
      <c r="J315">
        <f>IFERROR(IF(ISNUMBER(INDEX(SPPR!$E:$X,MATCH($A315,SPPR!$A:$A,0),7)),$C315*INDEX(SPPR!$E:$X,MATCH($A315,SPPR!$A:$A,0),7),""),"")</f>
        <v/>
      </c>
      <c r="K315">
        <f>IFERROR(IF(ISNUMBER(INDEX(SPPR!$E:$X,MATCH($A315,SPPR!$A:$A,0),8)),$C315*INDEX(SPPR!$E:$X,MATCH($A315,SPPR!$A:$A,0),8),""),"")</f>
        <v/>
      </c>
      <c r="L315">
        <f>IFERROR(IF(ISNUMBER(INDEX(SPPR!$E:$X,MATCH($A315,SPPR!$A:$A,0),9)),$C315*INDEX(SPPR!$E:$X,MATCH($A315,SPPR!$A:$A,0),9),""),"")</f>
        <v/>
      </c>
      <c r="M315">
        <f>IFERROR(IF(ISNUMBER(INDEX(SPPR!$E:$X,MATCH($A315,SPPR!$A:$A,0),10)),$C315*INDEX(SPPR!$E:$X,MATCH($A315,SPPR!$A:$A,0),10),""),"")</f>
        <v/>
      </c>
      <c r="N315">
        <f>IFERROR(IF(ISNUMBER(INDEX(SPPR!$E:$X,MATCH($A315,SPPR!$A:$A,0),11)),$C315*INDEX(SPPR!$E:$X,MATCH($A315,SPPR!$A:$A,0),11),""),"")</f>
        <v/>
      </c>
      <c r="O315">
        <f>IFERROR(IF(ISNUMBER(INDEX(SPPR!$E:$X,MATCH($A315,SPPR!$A:$A,0),12)),$C315*INDEX(SPPR!$E:$X,MATCH($A315,SPPR!$A:$A,0),12),""),"")</f>
        <v/>
      </c>
      <c r="P315">
        <f>IFERROR(IF(ISNUMBER(INDEX(SPPR!$E:$X,MATCH($A315,SPPR!$A:$A,0),13)),$C315*INDEX(SPPR!$E:$X,MATCH($A315,SPPR!$A:$A,0),13),""),"")</f>
        <v/>
      </c>
      <c r="Q315">
        <f>IFERROR(IF(ISNUMBER(INDEX(SPPR!$E:$X,MATCH($A315,SPPR!$A:$A,0),14)),$C315*INDEX(SPPR!$E:$X,MATCH($A315,SPPR!$A:$A,0),14),""),"")</f>
        <v/>
      </c>
      <c r="R315">
        <f>IFERROR(IF(ISNUMBER(INDEX(SPPR!$E:$X,MATCH($A315,SPPR!$A:$A,0),15)),$C315*INDEX(SPPR!$E:$X,MATCH($A315,SPPR!$A:$A,0),15),""),"")</f>
        <v/>
      </c>
      <c r="S315">
        <f>IFERROR(IF(ISNUMBER(INDEX(SPPR!$E:$X,MATCH($A315,SPPR!$A:$A,0),16)),$C315*INDEX(SPPR!$E:$X,MATCH($A315,SPPR!$A:$A,0),16),""),"")</f>
        <v/>
      </c>
      <c r="T315">
        <f>IFERROR(IF(ISNUMBER(INDEX(SPPR!$E:$X,MATCH($A315,SPPR!$A:$A,0),17)),$C315*INDEX(SPPR!$E:$X,MATCH($A315,SPPR!$A:$A,0),17),""),"")</f>
        <v/>
      </c>
      <c r="U315">
        <f>IFERROR(IF(ISNUMBER(INDEX(SPPR!$E:$X,MATCH($A315,SPPR!$A:$A,0),18)),$C315*INDEX(SPPR!$E:$X,MATCH($A315,SPPR!$A:$A,0),18),""),"")</f>
        <v/>
      </c>
      <c r="V315">
        <f>IFERROR(IF(ISNUMBER(INDEX(SPPR!$E:$X,MATCH($A315,SPPR!$A:$A,0),19)),$C315*INDEX(SPPR!$E:$X,MATCH($A315,SPPR!$A:$A,0),19),""),"")</f>
        <v/>
      </c>
      <c r="W315">
        <f>IFERROR(IF(ISNUMBER(INDEX(SPPR!$E:$X,MATCH($A315,SPPR!$A:$A,0),20)),$C315*INDEX(SPPR!$E:$X,MATCH($A315,SPPR!$A:$A,0),20),""),"")</f>
        <v/>
      </c>
    </row>
    <row r="316">
      <c r="A316" t="inlineStr">
        <is>
          <t>Katsuwonus pelamis</t>
        </is>
      </c>
      <c r="B316">
        <f>IFERROR(INDEX(SPPR!$D:$D,MATCH($A316,SPPR!$A:$A,0)),"")</f>
        <v/>
      </c>
      <c r="C316">
        <f>IFERROR(INDEX(Catch!$E:$BV,MATCH($A316,Catch!$A:$A,0),MATCH($B$4,Catch!$E$1:$BV$1,0)),0)</f>
        <v/>
      </c>
      <c r="D316">
        <f>IFERROR(IF(ISNUMBER(INDEX(SPPR!$E:$X,MATCH($A316,SPPR!$A:$A,0),1)),$C316*INDEX(SPPR!$E:$X,MATCH($A316,SPPR!$A:$A,0),1),""),"")</f>
        <v/>
      </c>
      <c r="E316">
        <f>IFERROR(IF(ISNUMBER(INDEX(SPPR!$E:$X,MATCH($A316,SPPR!$A:$A,0),2)),$C316*INDEX(SPPR!$E:$X,MATCH($A316,SPPR!$A:$A,0),2),""),"")</f>
        <v/>
      </c>
      <c r="F316">
        <f>IFERROR(IF(ISNUMBER(INDEX(SPPR!$E:$X,MATCH($A316,SPPR!$A:$A,0),3)),$C316*INDEX(SPPR!$E:$X,MATCH($A316,SPPR!$A:$A,0),3),""),"")</f>
        <v/>
      </c>
      <c r="G316">
        <f>IFERROR(IF(ISNUMBER(INDEX(SPPR!$E:$X,MATCH($A316,SPPR!$A:$A,0),4)),$C316*INDEX(SPPR!$E:$X,MATCH($A316,SPPR!$A:$A,0),4),""),"")</f>
        <v/>
      </c>
      <c r="H316">
        <f>IFERROR(IF(ISNUMBER(INDEX(SPPR!$E:$X,MATCH($A316,SPPR!$A:$A,0),5)),$C316*INDEX(SPPR!$E:$X,MATCH($A316,SPPR!$A:$A,0),5),""),"")</f>
        <v/>
      </c>
      <c r="I316">
        <f>IFERROR(IF(ISNUMBER(INDEX(SPPR!$E:$X,MATCH($A316,SPPR!$A:$A,0),6)),$C316*INDEX(SPPR!$E:$X,MATCH($A316,SPPR!$A:$A,0),6),""),"")</f>
        <v/>
      </c>
      <c r="J316">
        <f>IFERROR(IF(ISNUMBER(INDEX(SPPR!$E:$X,MATCH($A316,SPPR!$A:$A,0),7)),$C316*INDEX(SPPR!$E:$X,MATCH($A316,SPPR!$A:$A,0),7),""),"")</f>
        <v/>
      </c>
      <c r="K316">
        <f>IFERROR(IF(ISNUMBER(INDEX(SPPR!$E:$X,MATCH($A316,SPPR!$A:$A,0),8)),$C316*INDEX(SPPR!$E:$X,MATCH($A316,SPPR!$A:$A,0),8),""),"")</f>
        <v/>
      </c>
      <c r="L316">
        <f>IFERROR(IF(ISNUMBER(INDEX(SPPR!$E:$X,MATCH($A316,SPPR!$A:$A,0),9)),$C316*INDEX(SPPR!$E:$X,MATCH($A316,SPPR!$A:$A,0),9),""),"")</f>
        <v/>
      </c>
      <c r="M316">
        <f>IFERROR(IF(ISNUMBER(INDEX(SPPR!$E:$X,MATCH($A316,SPPR!$A:$A,0),10)),$C316*INDEX(SPPR!$E:$X,MATCH($A316,SPPR!$A:$A,0),10),""),"")</f>
        <v/>
      </c>
      <c r="N316">
        <f>IFERROR(IF(ISNUMBER(INDEX(SPPR!$E:$X,MATCH($A316,SPPR!$A:$A,0),11)),$C316*INDEX(SPPR!$E:$X,MATCH($A316,SPPR!$A:$A,0),11),""),"")</f>
        <v/>
      </c>
      <c r="O316">
        <f>IFERROR(IF(ISNUMBER(INDEX(SPPR!$E:$X,MATCH($A316,SPPR!$A:$A,0),12)),$C316*INDEX(SPPR!$E:$X,MATCH($A316,SPPR!$A:$A,0),12),""),"")</f>
        <v/>
      </c>
      <c r="P316">
        <f>IFERROR(IF(ISNUMBER(INDEX(SPPR!$E:$X,MATCH($A316,SPPR!$A:$A,0),13)),$C316*INDEX(SPPR!$E:$X,MATCH($A316,SPPR!$A:$A,0),13),""),"")</f>
        <v/>
      </c>
      <c r="Q316">
        <f>IFERROR(IF(ISNUMBER(INDEX(SPPR!$E:$X,MATCH($A316,SPPR!$A:$A,0),14)),$C316*INDEX(SPPR!$E:$X,MATCH($A316,SPPR!$A:$A,0),14),""),"")</f>
        <v/>
      </c>
      <c r="R316">
        <f>IFERROR(IF(ISNUMBER(INDEX(SPPR!$E:$X,MATCH($A316,SPPR!$A:$A,0),15)),$C316*INDEX(SPPR!$E:$X,MATCH($A316,SPPR!$A:$A,0),15),""),"")</f>
        <v/>
      </c>
      <c r="S316">
        <f>IFERROR(IF(ISNUMBER(INDEX(SPPR!$E:$X,MATCH($A316,SPPR!$A:$A,0),16)),$C316*INDEX(SPPR!$E:$X,MATCH($A316,SPPR!$A:$A,0),16),""),"")</f>
        <v/>
      </c>
      <c r="T316">
        <f>IFERROR(IF(ISNUMBER(INDEX(SPPR!$E:$X,MATCH($A316,SPPR!$A:$A,0),17)),$C316*INDEX(SPPR!$E:$X,MATCH($A316,SPPR!$A:$A,0),17),""),"")</f>
        <v/>
      </c>
      <c r="U316">
        <f>IFERROR(IF(ISNUMBER(INDEX(SPPR!$E:$X,MATCH($A316,SPPR!$A:$A,0),18)),$C316*INDEX(SPPR!$E:$X,MATCH($A316,SPPR!$A:$A,0),18),""),"")</f>
        <v/>
      </c>
      <c r="V316">
        <f>IFERROR(IF(ISNUMBER(INDEX(SPPR!$E:$X,MATCH($A316,SPPR!$A:$A,0),19)),$C316*INDEX(SPPR!$E:$X,MATCH($A316,SPPR!$A:$A,0),19),""),"")</f>
        <v/>
      </c>
      <c r="W316">
        <f>IFERROR(IF(ISNUMBER(INDEX(SPPR!$E:$X,MATCH($A316,SPPR!$A:$A,0),20)),$C316*INDEX(SPPR!$E:$X,MATCH($A316,SPPR!$A:$A,0),20),""),"")</f>
        <v/>
      </c>
    </row>
    <row r="317">
      <c r="A317" t="inlineStr">
        <is>
          <t>Argyrosomus regius</t>
        </is>
      </c>
      <c r="B317">
        <f>IFERROR(INDEX(SPPR!$D:$D,MATCH($A317,SPPR!$A:$A,0)),"")</f>
        <v/>
      </c>
      <c r="C317">
        <f>IFERROR(INDEX(Catch!$E:$BV,MATCH($A317,Catch!$A:$A,0),MATCH($B$4,Catch!$E$1:$BV$1,0)),0)</f>
        <v/>
      </c>
      <c r="D317">
        <f>IFERROR(IF(ISNUMBER(INDEX(SPPR!$E:$X,MATCH($A317,SPPR!$A:$A,0),1)),$C317*INDEX(SPPR!$E:$X,MATCH($A317,SPPR!$A:$A,0),1),""),"")</f>
        <v/>
      </c>
      <c r="E317">
        <f>IFERROR(IF(ISNUMBER(INDEX(SPPR!$E:$X,MATCH($A317,SPPR!$A:$A,0),2)),$C317*INDEX(SPPR!$E:$X,MATCH($A317,SPPR!$A:$A,0),2),""),"")</f>
        <v/>
      </c>
      <c r="F317">
        <f>IFERROR(IF(ISNUMBER(INDEX(SPPR!$E:$X,MATCH($A317,SPPR!$A:$A,0),3)),$C317*INDEX(SPPR!$E:$X,MATCH($A317,SPPR!$A:$A,0),3),""),"")</f>
        <v/>
      </c>
      <c r="G317">
        <f>IFERROR(IF(ISNUMBER(INDEX(SPPR!$E:$X,MATCH($A317,SPPR!$A:$A,0),4)),$C317*INDEX(SPPR!$E:$X,MATCH($A317,SPPR!$A:$A,0),4),""),"")</f>
        <v/>
      </c>
      <c r="H317">
        <f>IFERROR(IF(ISNUMBER(INDEX(SPPR!$E:$X,MATCH($A317,SPPR!$A:$A,0),5)),$C317*INDEX(SPPR!$E:$X,MATCH($A317,SPPR!$A:$A,0),5),""),"")</f>
        <v/>
      </c>
      <c r="I317">
        <f>IFERROR(IF(ISNUMBER(INDEX(SPPR!$E:$X,MATCH($A317,SPPR!$A:$A,0),6)),$C317*INDEX(SPPR!$E:$X,MATCH($A317,SPPR!$A:$A,0),6),""),"")</f>
        <v/>
      </c>
      <c r="J317">
        <f>IFERROR(IF(ISNUMBER(INDEX(SPPR!$E:$X,MATCH($A317,SPPR!$A:$A,0),7)),$C317*INDEX(SPPR!$E:$X,MATCH($A317,SPPR!$A:$A,0),7),""),"")</f>
        <v/>
      </c>
      <c r="K317">
        <f>IFERROR(IF(ISNUMBER(INDEX(SPPR!$E:$X,MATCH($A317,SPPR!$A:$A,0),8)),$C317*INDEX(SPPR!$E:$X,MATCH($A317,SPPR!$A:$A,0),8),""),"")</f>
        <v/>
      </c>
      <c r="L317">
        <f>IFERROR(IF(ISNUMBER(INDEX(SPPR!$E:$X,MATCH($A317,SPPR!$A:$A,0),9)),$C317*INDEX(SPPR!$E:$X,MATCH($A317,SPPR!$A:$A,0),9),""),"")</f>
        <v/>
      </c>
      <c r="M317">
        <f>IFERROR(IF(ISNUMBER(INDEX(SPPR!$E:$X,MATCH($A317,SPPR!$A:$A,0),10)),$C317*INDEX(SPPR!$E:$X,MATCH($A317,SPPR!$A:$A,0),10),""),"")</f>
        <v/>
      </c>
      <c r="N317">
        <f>IFERROR(IF(ISNUMBER(INDEX(SPPR!$E:$X,MATCH($A317,SPPR!$A:$A,0),11)),$C317*INDEX(SPPR!$E:$X,MATCH($A317,SPPR!$A:$A,0),11),""),"")</f>
        <v/>
      </c>
      <c r="O317">
        <f>IFERROR(IF(ISNUMBER(INDEX(SPPR!$E:$X,MATCH($A317,SPPR!$A:$A,0),12)),$C317*INDEX(SPPR!$E:$X,MATCH($A317,SPPR!$A:$A,0),12),""),"")</f>
        <v/>
      </c>
      <c r="P317">
        <f>IFERROR(IF(ISNUMBER(INDEX(SPPR!$E:$X,MATCH($A317,SPPR!$A:$A,0),13)),$C317*INDEX(SPPR!$E:$X,MATCH($A317,SPPR!$A:$A,0),13),""),"")</f>
        <v/>
      </c>
      <c r="Q317">
        <f>IFERROR(IF(ISNUMBER(INDEX(SPPR!$E:$X,MATCH($A317,SPPR!$A:$A,0),14)),$C317*INDEX(SPPR!$E:$X,MATCH($A317,SPPR!$A:$A,0),14),""),"")</f>
        <v/>
      </c>
      <c r="R317">
        <f>IFERROR(IF(ISNUMBER(INDEX(SPPR!$E:$X,MATCH($A317,SPPR!$A:$A,0),15)),$C317*INDEX(SPPR!$E:$X,MATCH($A317,SPPR!$A:$A,0),15),""),"")</f>
        <v/>
      </c>
      <c r="S317">
        <f>IFERROR(IF(ISNUMBER(INDEX(SPPR!$E:$X,MATCH($A317,SPPR!$A:$A,0),16)),$C317*INDEX(SPPR!$E:$X,MATCH($A317,SPPR!$A:$A,0),16),""),"")</f>
        <v/>
      </c>
      <c r="T317">
        <f>IFERROR(IF(ISNUMBER(INDEX(SPPR!$E:$X,MATCH($A317,SPPR!$A:$A,0),17)),$C317*INDEX(SPPR!$E:$X,MATCH($A317,SPPR!$A:$A,0),17),""),"")</f>
        <v/>
      </c>
      <c r="U317">
        <f>IFERROR(IF(ISNUMBER(INDEX(SPPR!$E:$X,MATCH($A317,SPPR!$A:$A,0),18)),$C317*INDEX(SPPR!$E:$X,MATCH($A317,SPPR!$A:$A,0),18),""),"")</f>
        <v/>
      </c>
      <c r="V317">
        <f>IFERROR(IF(ISNUMBER(INDEX(SPPR!$E:$X,MATCH($A317,SPPR!$A:$A,0),19)),$C317*INDEX(SPPR!$E:$X,MATCH($A317,SPPR!$A:$A,0),19),""),"")</f>
        <v/>
      </c>
      <c r="W317">
        <f>IFERROR(IF(ISNUMBER(INDEX(SPPR!$E:$X,MATCH($A317,SPPR!$A:$A,0),20)),$C317*INDEX(SPPR!$E:$X,MATCH($A317,SPPR!$A:$A,0),20),""),"")</f>
        <v/>
      </c>
    </row>
    <row r="318">
      <c r="A318" t="inlineStr">
        <is>
          <t>Etmopterus</t>
        </is>
      </c>
      <c r="B318">
        <f>IFERROR(INDEX(SPPR!$D:$D,MATCH($A318,SPPR!$A:$A,0)),"")</f>
        <v/>
      </c>
      <c r="C318">
        <f>IFERROR(INDEX(Catch!$E:$BV,MATCH($A318,Catch!$A:$A,0),MATCH($B$4,Catch!$E$1:$BV$1,0)),0)</f>
        <v/>
      </c>
      <c r="D318">
        <f>IFERROR(IF(ISNUMBER(INDEX(SPPR!$E:$X,MATCH($A318,SPPR!$A:$A,0),1)),$C318*INDEX(SPPR!$E:$X,MATCH($A318,SPPR!$A:$A,0),1),""),"")</f>
        <v/>
      </c>
      <c r="E318">
        <f>IFERROR(IF(ISNUMBER(INDEX(SPPR!$E:$X,MATCH($A318,SPPR!$A:$A,0),2)),$C318*INDEX(SPPR!$E:$X,MATCH($A318,SPPR!$A:$A,0),2),""),"")</f>
        <v/>
      </c>
      <c r="F318">
        <f>IFERROR(IF(ISNUMBER(INDEX(SPPR!$E:$X,MATCH($A318,SPPR!$A:$A,0),3)),$C318*INDEX(SPPR!$E:$X,MATCH($A318,SPPR!$A:$A,0),3),""),"")</f>
        <v/>
      </c>
      <c r="G318">
        <f>IFERROR(IF(ISNUMBER(INDEX(SPPR!$E:$X,MATCH($A318,SPPR!$A:$A,0),4)),$C318*INDEX(SPPR!$E:$X,MATCH($A318,SPPR!$A:$A,0),4),""),"")</f>
        <v/>
      </c>
      <c r="H318">
        <f>IFERROR(IF(ISNUMBER(INDEX(SPPR!$E:$X,MATCH($A318,SPPR!$A:$A,0),5)),$C318*INDEX(SPPR!$E:$X,MATCH($A318,SPPR!$A:$A,0),5),""),"")</f>
        <v/>
      </c>
      <c r="I318">
        <f>IFERROR(IF(ISNUMBER(INDEX(SPPR!$E:$X,MATCH($A318,SPPR!$A:$A,0),6)),$C318*INDEX(SPPR!$E:$X,MATCH($A318,SPPR!$A:$A,0),6),""),"")</f>
        <v/>
      </c>
      <c r="J318">
        <f>IFERROR(IF(ISNUMBER(INDEX(SPPR!$E:$X,MATCH($A318,SPPR!$A:$A,0),7)),$C318*INDEX(SPPR!$E:$X,MATCH($A318,SPPR!$A:$A,0),7),""),"")</f>
        <v/>
      </c>
      <c r="K318">
        <f>IFERROR(IF(ISNUMBER(INDEX(SPPR!$E:$X,MATCH($A318,SPPR!$A:$A,0),8)),$C318*INDEX(SPPR!$E:$X,MATCH($A318,SPPR!$A:$A,0),8),""),"")</f>
        <v/>
      </c>
      <c r="L318">
        <f>IFERROR(IF(ISNUMBER(INDEX(SPPR!$E:$X,MATCH($A318,SPPR!$A:$A,0),9)),$C318*INDEX(SPPR!$E:$X,MATCH($A318,SPPR!$A:$A,0),9),""),"")</f>
        <v/>
      </c>
      <c r="M318">
        <f>IFERROR(IF(ISNUMBER(INDEX(SPPR!$E:$X,MATCH($A318,SPPR!$A:$A,0),10)),$C318*INDEX(SPPR!$E:$X,MATCH($A318,SPPR!$A:$A,0),10),""),"")</f>
        <v/>
      </c>
      <c r="N318">
        <f>IFERROR(IF(ISNUMBER(INDEX(SPPR!$E:$X,MATCH($A318,SPPR!$A:$A,0),11)),$C318*INDEX(SPPR!$E:$X,MATCH($A318,SPPR!$A:$A,0),11),""),"")</f>
        <v/>
      </c>
      <c r="O318">
        <f>IFERROR(IF(ISNUMBER(INDEX(SPPR!$E:$X,MATCH($A318,SPPR!$A:$A,0),12)),$C318*INDEX(SPPR!$E:$X,MATCH($A318,SPPR!$A:$A,0),12),""),"")</f>
        <v/>
      </c>
      <c r="P318">
        <f>IFERROR(IF(ISNUMBER(INDEX(SPPR!$E:$X,MATCH($A318,SPPR!$A:$A,0),13)),$C318*INDEX(SPPR!$E:$X,MATCH($A318,SPPR!$A:$A,0),13),""),"")</f>
        <v/>
      </c>
      <c r="Q318">
        <f>IFERROR(IF(ISNUMBER(INDEX(SPPR!$E:$X,MATCH($A318,SPPR!$A:$A,0),14)),$C318*INDEX(SPPR!$E:$X,MATCH($A318,SPPR!$A:$A,0),14),""),"")</f>
        <v/>
      </c>
      <c r="R318">
        <f>IFERROR(IF(ISNUMBER(INDEX(SPPR!$E:$X,MATCH($A318,SPPR!$A:$A,0),15)),$C318*INDEX(SPPR!$E:$X,MATCH($A318,SPPR!$A:$A,0),15),""),"")</f>
        <v/>
      </c>
      <c r="S318">
        <f>IFERROR(IF(ISNUMBER(INDEX(SPPR!$E:$X,MATCH($A318,SPPR!$A:$A,0),16)),$C318*INDEX(SPPR!$E:$X,MATCH($A318,SPPR!$A:$A,0),16),""),"")</f>
        <v/>
      </c>
      <c r="T318">
        <f>IFERROR(IF(ISNUMBER(INDEX(SPPR!$E:$X,MATCH($A318,SPPR!$A:$A,0),17)),$C318*INDEX(SPPR!$E:$X,MATCH($A318,SPPR!$A:$A,0),17),""),"")</f>
        <v/>
      </c>
      <c r="U318">
        <f>IFERROR(IF(ISNUMBER(INDEX(SPPR!$E:$X,MATCH($A318,SPPR!$A:$A,0),18)),$C318*INDEX(SPPR!$E:$X,MATCH($A318,SPPR!$A:$A,0),18),""),"")</f>
        <v/>
      </c>
      <c r="V318">
        <f>IFERROR(IF(ISNUMBER(INDEX(SPPR!$E:$X,MATCH($A318,SPPR!$A:$A,0),19)),$C318*INDEX(SPPR!$E:$X,MATCH($A318,SPPR!$A:$A,0),19),""),"")</f>
        <v/>
      </c>
      <c r="W318">
        <f>IFERROR(IF(ISNUMBER(INDEX(SPPR!$E:$X,MATCH($A318,SPPR!$A:$A,0),20)),$C318*INDEX(SPPR!$E:$X,MATCH($A318,SPPR!$A:$A,0),20),""),"")</f>
        <v/>
      </c>
    </row>
    <row r="319">
      <c r="A319" t="inlineStr">
        <is>
          <t>Pagellus erythrinus</t>
        </is>
      </c>
      <c r="B319">
        <f>IFERROR(INDEX(SPPR!$D:$D,MATCH($A319,SPPR!$A:$A,0)),"")</f>
        <v/>
      </c>
      <c r="C319">
        <f>IFERROR(INDEX(Catch!$E:$BV,MATCH($A319,Catch!$A:$A,0),MATCH($B$4,Catch!$E$1:$BV$1,0)),0)</f>
        <v/>
      </c>
      <c r="D319">
        <f>IFERROR(IF(ISNUMBER(INDEX(SPPR!$E:$X,MATCH($A319,SPPR!$A:$A,0),1)),$C319*INDEX(SPPR!$E:$X,MATCH($A319,SPPR!$A:$A,0),1),""),"")</f>
        <v/>
      </c>
      <c r="E319">
        <f>IFERROR(IF(ISNUMBER(INDEX(SPPR!$E:$X,MATCH($A319,SPPR!$A:$A,0),2)),$C319*INDEX(SPPR!$E:$X,MATCH($A319,SPPR!$A:$A,0),2),""),"")</f>
        <v/>
      </c>
      <c r="F319">
        <f>IFERROR(IF(ISNUMBER(INDEX(SPPR!$E:$X,MATCH($A319,SPPR!$A:$A,0),3)),$C319*INDEX(SPPR!$E:$X,MATCH($A319,SPPR!$A:$A,0),3),""),"")</f>
        <v/>
      </c>
      <c r="G319">
        <f>IFERROR(IF(ISNUMBER(INDEX(SPPR!$E:$X,MATCH($A319,SPPR!$A:$A,0),4)),$C319*INDEX(SPPR!$E:$X,MATCH($A319,SPPR!$A:$A,0),4),""),"")</f>
        <v/>
      </c>
      <c r="H319">
        <f>IFERROR(IF(ISNUMBER(INDEX(SPPR!$E:$X,MATCH($A319,SPPR!$A:$A,0),5)),$C319*INDEX(SPPR!$E:$X,MATCH($A319,SPPR!$A:$A,0),5),""),"")</f>
        <v/>
      </c>
      <c r="I319">
        <f>IFERROR(IF(ISNUMBER(INDEX(SPPR!$E:$X,MATCH($A319,SPPR!$A:$A,0),6)),$C319*INDEX(SPPR!$E:$X,MATCH($A319,SPPR!$A:$A,0),6),""),"")</f>
        <v/>
      </c>
      <c r="J319">
        <f>IFERROR(IF(ISNUMBER(INDEX(SPPR!$E:$X,MATCH($A319,SPPR!$A:$A,0),7)),$C319*INDEX(SPPR!$E:$X,MATCH($A319,SPPR!$A:$A,0),7),""),"")</f>
        <v/>
      </c>
      <c r="K319">
        <f>IFERROR(IF(ISNUMBER(INDEX(SPPR!$E:$X,MATCH($A319,SPPR!$A:$A,0),8)),$C319*INDEX(SPPR!$E:$X,MATCH($A319,SPPR!$A:$A,0),8),""),"")</f>
        <v/>
      </c>
      <c r="L319">
        <f>IFERROR(IF(ISNUMBER(INDEX(SPPR!$E:$X,MATCH($A319,SPPR!$A:$A,0),9)),$C319*INDEX(SPPR!$E:$X,MATCH($A319,SPPR!$A:$A,0),9),""),"")</f>
        <v/>
      </c>
      <c r="M319">
        <f>IFERROR(IF(ISNUMBER(INDEX(SPPR!$E:$X,MATCH($A319,SPPR!$A:$A,0),10)),$C319*INDEX(SPPR!$E:$X,MATCH($A319,SPPR!$A:$A,0),10),""),"")</f>
        <v/>
      </c>
      <c r="N319">
        <f>IFERROR(IF(ISNUMBER(INDEX(SPPR!$E:$X,MATCH($A319,SPPR!$A:$A,0),11)),$C319*INDEX(SPPR!$E:$X,MATCH($A319,SPPR!$A:$A,0),11),""),"")</f>
        <v/>
      </c>
      <c r="O319">
        <f>IFERROR(IF(ISNUMBER(INDEX(SPPR!$E:$X,MATCH($A319,SPPR!$A:$A,0),12)),$C319*INDEX(SPPR!$E:$X,MATCH($A319,SPPR!$A:$A,0),12),""),"")</f>
        <v/>
      </c>
      <c r="P319">
        <f>IFERROR(IF(ISNUMBER(INDEX(SPPR!$E:$X,MATCH($A319,SPPR!$A:$A,0),13)),$C319*INDEX(SPPR!$E:$X,MATCH($A319,SPPR!$A:$A,0),13),""),"")</f>
        <v/>
      </c>
      <c r="Q319">
        <f>IFERROR(IF(ISNUMBER(INDEX(SPPR!$E:$X,MATCH($A319,SPPR!$A:$A,0),14)),$C319*INDEX(SPPR!$E:$X,MATCH($A319,SPPR!$A:$A,0),14),""),"")</f>
        <v/>
      </c>
      <c r="R319">
        <f>IFERROR(IF(ISNUMBER(INDEX(SPPR!$E:$X,MATCH($A319,SPPR!$A:$A,0),15)),$C319*INDEX(SPPR!$E:$X,MATCH($A319,SPPR!$A:$A,0),15),""),"")</f>
        <v/>
      </c>
      <c r="S319">
        <f>IFERROR(IF(ISNUMBER(INDEX(SPPR!$E:$X,MATCH($A319,SPPR!$A:$A,0),16)),$C319*INDEX(SPPR!$E:$X,MATCH($A319,SPPR!$A:$A,0),16),""),"")</f>
        <v/>
      </c>
      <c r="T319">
        <f>IFERROR(IF(ISNUMBER(INDEX(SPPR!$E:$X,MATCH($A319,SPPR!$A:$A,0),17)),$C319*INDEX(SPPR!$E:$X,MATCH($A319,SPPR!$A:$A,0),17),""),"")</f>
        <v/>
      </c>
      <c r="U319">
        <f>IFERROR(IF(ISNUMBER(INDEX(SPPR!$E:$X,MATCH($A319,SPPR!$A:$A,0),18)),$C319*INDEX(SPPR!$E:$X,MATCH($A319,SPPR!$A:$A,0),18),""),"")</f>
        <v/>
      </c>
      <c r="V319">
        <f>IFERROR(IF(ISNUMBER(INDEX(SPPR!$E:$X,MATCH($A319,SPPR!$A:$A,0),19)),$C319*INDEX(SPPR!$E:$X,MATCH($A319,SPPR!$A:$A,0),19),""),"")</f>
        <v/>
      </c>
      <c r="W319">
        <f>IFERROR(IF(ISNUMBER(INDEX(SPPR!$E:$X,MATCH($A319,SPPR!$A:$A,0),20)),$C319*INDEX(SPPR!$E:$X,MATCH($A319,SPPR!$A:$A,0),20),""),"")</f>
        <v/>
      </c>
    </row>
    <row r="320">
      <c r="A320" t="inlineStr">
        <is>
          <t>Leuciscus idus</t>
        </is>
      </c>
      <c r="B320">
        <f>IFERROR(INDEX(SPPR!$D:$D,MATCH($A320,SPPR!$A:$A,0)),"")</f>
        <v/>
      </c>
      <c r="C320">
        <f>IFERROR(INDEX(Catch!$E:$BV,MATCH($A320,Catch!$A:$A,0),MATCH($B$4,Catch!$E$1:$BV$1,0)),0)</f>
        <v/>
      </c>
      <c r="D320">
        <f>IFERROR(IF(ISNUMBER(INDEX(SPPR!$E:$X,MATCH($A320,SPPR!$A:$A,0),1)),$C320*INDEX(SPPR!$E:$X,MATCH($A320,SPPR!$A:$A,0),1),""),"")</f>
        <v/>
      </c>
      <c r="E320">
        <f>IFERROR(IF(ISNUMBER(INDEX(SPPR!$E:$X,MATCH($A320,SPPR!$A:$A,0),2)),$C320*INDEX(SPPR!$E:$X,MATCH($A320,SPPR!$A:$A,0),2),""),"")</f>
        <v/>
      </c>
      <c r="F320">
        <f>IFERROR(IF(ISNUMBER(INDEX(SPPR!$E:$X,MATCH($A320,SPPR!$A:$A,0),3)),$C320*INDEX(SPPR!$E:$X,MATCH($A320,SPPR!$A:$A,0),3),""),"")</f>
        <v/>
      </c>
      <c r="G320">
        <f>IFERROR(IF(ISNUMBER(INDEX(SPPR!$E:$X,MATCH($A320,SPPR!$A:$A,0),4)),$C320*INDEX(SPPR!$E:$X,MATCH($A320,SPPR!$A:$A,0),4),""),"")</f>
        <v/>
      </c>
      <c r="H320">
        <f>IFERROR(IF(ISNUMBER(INDEX(SPPR!$E:$X,MATCH($A320,SPPR!$A:$A,0),5)),$C320*INDEX(SPPR!$E:$X,MATCH($A320,SPPR!$A:$A,0),5),""),"")</f>
        <v/>
      </c>
      <c r="I320">
        <f>IFERROR(IF(ISNUMBER(INDEX(SPPR!$E:$X,MATCH($A320,SPPR!$A:$A,0),6)),$C320*INDEX(SPPR!$E:$X,MATCH($A320,SPPR!$A:$A,0),6),""),"")</f>
        <v/>
      </c>
      <c r="J320">
        <f>IFERROR(IF(ISNUMBER(INDEX(SPPR!$E:$X,MATCH($A320,SPPR!$A:$A,0),7)),$C320*INDEX(SPPR!$E:$X,MATCH($A320,SPPR!$A:$A,0),7),""),"")</f>
        <v/>
      </c>
      <c r="K320">
        <f>IFERROR(IF(ISNUMBER(INDEX(SPPR!$E:$X,MATCH($A320,SPPR!$A:$A,0),8)),$C320*INDEX(SPPR!$E:$X,MATCH($A320,SPPR!$A:$A,0),8),""),"")</f>
        <v/>
      </c>
      <c r="L320">
        <f>IFERROR(IF(ISNUMBER(INDEX(SPPR!$E:$X,MATCH($A320,SPPR!$A:$A,0),9)),$C320*INDEX(SPPR!$E:$X,MATCH($A320,SPPR!$A:$A,0),9),""),"")</f>
        <v/>
      </c>
      <c r="M320">
        <f>IFERROR(IF(ISNUMBER(INDEX(SPPR!$E:$X,MATCH($A320,SPPR!$A:$A,0),10)),$C320*INDEX(SPPR!$E:$X,MATCH($A320,SPPR!$A:$A,0),10),""),"")</f>
        <v/>
      </c>
      <c r="N320">
        <f>IFERROR(IF(ISNUMBER(INDEX(SPPR!$E:$X,MATCH($A320,SPPR!$A:$A,0),11)),$C320*INDEX(SPPR!$E:$X,MATCH($A320,SPPR!$A:$A,0),11),""),"")</f>
        <v/>
      </c>
      <c r="O320">
        <f>IFERROR(IF(ISNUMBER(INDEX(SPPR!$E:$X,MATCH($A320,SPPR!$A:$A,0),12)),$C320*INDEX(SPPR!$E:$X,MATCH($A320,SPPR!$A:$A,0),12),""),"")</f>
        <v/>
      </c>
      <c r="P320">
        <f>IFERROR(IF(ISNUMBER(INDEX(SPPR!$E:$X,MATCH($A320,SPPR!$A:$A,0),13)),$C320*INDEX(SPPR!$E:$X,MATCH($A320,SPPR!$A:$A,0),13),""),"")</f>
        <v/>
      </c>
      <c r="Q320">
        <f>IFERROR(IF(ISNUMBER(INDEX(SPPR!$E:$X,MATCH($A320,SPPR!$A:$A,0),14)),$C320*INDEX(SPPR!$E:$X,MATCH($A320,SPPR!$A:$A,0),14),""),"")</f>
        <v/>
      </c>
      <c r="R320">
        <f>IFERROR(IF(ISNUMBER(INDEX(SPPR!$E:$X,MATCH($A320,SPPR!$A:$A,0),15)),$C320*INDEX(SPPR!$E:$X,MATCH($A320,SPPR!$A:$A,0),15),""),"")</f>
        <v/>
      </c>
      <c r="S320">
        <f>IFERROR(IF(ISNUMBER(INDEX(SPPR!$E:$X,MATCH($A320,SPPR!$A:$A,0),16)),$C320*INDEX(SPPR!$E:$X,MATCH($A320,SPPR!$A:$A,0),16),""),"")</f>
        <v/>
      </c>
      <c r="T320">
        <f>IFERROR(IF(ISNUMBER(INDEX(SPPR!$E:$X,MATCH($A320,SPPR!$A:$A,0),17)),$C320*INDEX(SPPR!$E:$X,MATCH($A320,SPPR!$A:$A,0),17),""),"")</f>
        <v/>
      </c>
      <c r="U320">
        <f>IFERROR(IF(ISNUMBER(INDEX(SPPR!$E:$X,MATCH($A320,SPPR!$A:$A,0),18)),$C320*INDEX(SPPR!$E:$X,MATCH($A320,SPPR!$A:$A,0),18),""),"")</f>
        <v/>
      </c>
      <c r="V320">
        <f>IFERROR(IF(ISNUMBER(INDEX(SPPR!$E:$X,MATCH($A320,SPPR!$A:$A,0),19)),$C320*INDEX(SPPR!$E:$X,MATCH($A320,SPPR!$A:$A,0),19),""),"")</f>
        <v/>
      </c>
      <c r="W320">
        <f>IFERROR(IF(ISNUMBER(INDEX(SPPR!$E:$X,MATCH($A320,SPPR!$A:$A,0),20)),$C320*INDEX(SPPR!$E:$X,MATCH($A320,SPPR!$A:$A,0),20),""),"")</f>
        <v/>
      </c>
    </row>
    <row r="321">
      <c r="A321" t="inlineStr">
        <is>
          <t>Mimachlamys varia</t>
        </is>
      </c>
      <c r="B321">
        <f>IFERROR(INDEX(SPPR!$D:$D,MATCH($A321,SPPR!$A:$A,0)),"")</f>
        <v/>
      </c>
      <c r="C321">
        <f>IFERROR(INDEX(Catch!$E:$BV,MATCH($A321,Catch!$A:$A,0),MATCH($B$4,Catch!$E$1:$BV$1,0)),0)</f>
        <v/>
      </c>
      <c r="D321">
        <f>IFERROR(IF(ISNUMBER(INDEX(SPPR!$E:$X,MATCH($A321,SPPR!$A:$A,0),1)),$C321*INDEX(SPPR!$E:$X,MATCH($A321,SPPR!$A:$A,0),1),""),"")</f>
        <v/>
      </c>
      <c r="E321">
        <f>IFERROR(IF(ISNUMBER(INDEX(SPPR!$E:$X,MATCH($A321,SPPR!$A:$A,0),2)),$C321*INDEX(SPPR!$E:$X,MATCH($A321,SPPR!$A:$A,0),2),""),"")</f>
        <v/>
      </c>
      <c r="F321">
        <f>IFERROR(IF(ISNUMBER(INDEX(SPPR!$E:$X,MATCH($A321,SPPR!$A:$A,0),3)),$C321*INDEX(SPPR!$E:$X,MATCH($A321,SPPR!$A:$A,0),3),""),"")</f>
        <v/>
      </c>
      <c r="G321">
        <f>IFERROR(IF(ISNUMBER(INDEX(SPPR!$E:$X,MATCH($A321,SPPR!$A:$A,0),4)),$C321*INDEX(SPPR!$E:$X,MATCH($A321,SPPR!$A:$A,0),4),""),"")</f>
        <v/>
      </c>
      <c r="H321">
        <f>IFERROR(IF(ISNUMBER(INDEX(SPPR!$E:$X,MATCH($A321,SPPR!$A:$A,0),5)),$C321*INDEX(SPPR!$E:$X,MATCH($A321,SPPR!$A:$A,0),5),""),"")</f>
        <v/>
      </c>
      <c r="I321">
        <f>IFERROR(IF(ISNUMBER(INDEX(SPPR!$E:$X,MATCH($A321,SPPR!$A:$A,0),6)),$C321*INDEX(SPPR!$E:$X,MATCH($A321,SPPR!$A:$A,0),6),""),"")</f>
        <v/>
      </c>
      <c r="J321">
        <f>IFERROR(IF(ISNUMBER(INDEX(SPPR!$E:$X,MATCH($A321,SPPR!$A:$A,0),7)),$C321*INDEX(SPPR!$E:$X,MATCH($A321,SPPR!$A:$A,0),7),""),"")</f>
        <v/>
      </c>
      <c r="K321">
        <f>IFERROR(IF(ISNUMBER(INDEX(SPPR!$E:$X,MATCH($A321,SPPR!$A:$A,0),8)),$C321*INDEX(SPPR!$E:$X,MATCH($A321,SPPR!$A:$A,0),8),""),"")</f>
        <v/>
      </c>
      <c r="L321">
        <f>IFERROR(IF(ISNUMBER(INDEX(SPPR!$E:$X,MATCH($A321,SPPR!$A:$A,0),9)),$C321*INDEX(SPPR!$E:$X,MATCH($A321,SPPR!$A:$A,0),9),""),"")</f>
        <v/>
      </c>
      <c r="M321">
        <f>IFERROR(IF(ISNUMBER(INDEX(SPPR!$E:$X,MATCH($A321,SPPR!$A:$A,0),10)),$C321*INDEX(SPPR!$E:$X,MATCH($A321,SPPR!$A:$A,0),10),""),"")</f>
        <v/>
      </c>
      <c r="N321">
        <f>IFERROR(IF(ISNUMBER(INDEX(SPPR!$E:$X,MATCH($A321,SPPR!$A:$A,0),11)),$C321*INDEX(SPPR!$E:$X,MATCH($A321,SPPR!$A:$A,0),11),""),"")</f>
        <v/>
      </c>
      <c r="O321">
        <f>IFERROR(IF(ISNUMBER(INDEX(SPPR!$E:$X,MATCH($A321,SPPR!$A:$A,0),12)),$C321*INDEX(SPPR!$E:$X,MATCH($A321,SPPR!$A:$A,0),12),""),"")</f>
        <v/>
      </c>
      <c r="P321">
        <f>IFERROR(IF(ISNUMBER(INDEX(SPPR!$E:$X,MATCH($A321,SPPR!$A:$A,0),13)),$C321*INDEX(SPPR!$E:$X,MATCH($A321,SPPR!$A:$A,0),13),""),"")</f>
        <v/>
      </c>
      <c r="Q321">
        <f>IFERROR(IF(ISNUMBER(INDEX(SPPR!$E:$X,MATCH($A321,SPPR!$A:$A,0),14)),$C321*INDEX(SPPR!$E:$X,MATCH($A321,SPPR!$A:$A,0),14),""),"")</f>
        <v/>
      </c>
      <c r="R321">
        <f>IFERROR(IF(ISNUMBER(INDEX(SPPR!$E:$X,MATCH($A321,SPPR!$A:$A,0),15)),$C321*INDEX(SPPR!$E:$X,MATCH($A321,SPPR!$A:$A,0),15),""),"")</f>
        <v/>
      </c>
      <c r="S321">
        <f>IFERROR(IF(ISNUMBER(INDEX(SPPR!$E:$X,MATCH($A321,SPPR!$A:$A,0),16)),$C321*INDEX(SPPR!$E:$X,MATCH($A321,SPPR!$A:$A,0),16),""),"")</f>
        <v/>
      </c>
      <c r="T321">
        <f>IFERROR(IF(ISNUMBER(INDEX(SPPR!$E:$X,MATCH($A321,SPPR!$A:$A,0),17)),$C321*INDEX(SPPR!$E:$X,MATCH($A321,SPPR!$A:$A,0),17),""),"")</f>
        <v/>
      </c>
      <c r="U321">
        <f>IFERROR(IF(ISNUMBER(INDEX(SPPR!$E:$X,MATCH($A321,SPPR!$A:$A,0),18)),$C321*INDEX(SPPR!$E:$X,MATCH($A321,SPPR!$A:$A,0),18),""),"")</f>
        <v/>
      </c>
      <c r="V321">
        <f>IFERROR(IF(ISNUMBER(INDEX(SPPR!$E:$X,MATCH($A321,SPPR!$A:$A,0),19)),$C321*INDEX(SPPR!$E:$X,MATCH($A321,SPPR!$A:$A,0),19),""),"")</f>
        <v/>
      </c>
      <c r="W321">
        <f>IFERROR(IF(ISNUMBER(INDEX(SPPR!$E:$X,MATCH($A321,SPPR!$A:$A,0),20)),$C321*INDEX(SPPR!$E:$X,MATCH($A321,SPPR!$A:$A,0),20),""),"")</f>
        <v/>
      </c>
    </row>
    <row r="322">
      <c r="A322" t="inlineStr">
        <is>
          <t>Deania calceus</t>
        </is>
      </c>
      <c r="B322">
        <f>IFERROR(INDEX(SPPR!$D:$D,MATCH($A322,SPPR!$A:$A,0)),"")</f>
        <v/>
      </c>
      <c r="C322">
        <f>IFERROR(INDEX(Catch!$E:$BV,MATCH($A322,Catch!$A:$A,0),MATCH($B$4,Catch!$E$1:$BV$1,0)),0)</f>
        <v/>
      </c>
      <c r="D322">
        <f>IFERROR(IF(ISNUMBER(INDEX(SPPR!$E:$X,MATCH($A322,SPPR!$A:$A,0),1)),$C322*INDEX(SPPR!$E:$X,MATCH($A322,SPPR!$A:$A,0),1),""),"")</f>
        <v/>
      </c>
      <c r="E322">
        <f>IFERROR(IF(ISNUMBER(INDEX(SPPR!$E:$X,MATCH($A322,SPPR!$A:$A,0),2)),$C322*INDEX(SPPR!$E:$X,MATCH($A322,SPPR!$A:$A,0),2),""),"")</f>
        <v/>
      </c>
      <c r="F322">
        <f>IFERROR(IF(ISNUMBER(INDEX(SPPR!$E:$X,MATCH($A322,SPPR!$A:$A,0),3)),$C322*INDEX(SPPR!$E:$X,MATCH($A322,SPPR!$A:$A,0),3),""),"")</f>
        <v/>
      </c>
      <c r="G322">
        <f>IFERROR(IF(ISNUMBER(INDEX(SPPR!$E:$X,MATCH($A322,SPPR!$A:$A,0),4)),$C322*INDEX(SPPR!$E:$X,MATCH($A322,SPPR!$A:$A,0),4),""),"")</f>
        <v/>
      </c>
      <c r="H322">
        <f>IFERROR(IF(ISNUMBER(INDEX(SPPR!$E:$X,MATCH($A322,SPPR!$A:$A,0),5)),$C322*INDEX(SPPR!$E:$X,MATCH($A322,SPPR!$A:$A,0),5),""),"")</f>
        <v/>
      </c>
      <c r="I322">
        <f>IFERROR(IF(ISNUMBER(INDEX(SPPR!$E:$X,MATCH($A322,SPPR!$A:$A,0),6)),$C322*INDEX(SPPR!$E:$X,MATCH($A322,SPPR!$A:$A,0),6),""),"")</f>
        <v/>
      </c>
      <c r="J322">
        <f>IFERROR(IF(ISNUMBER(INDEX(SPPR!$E:$X,MATCH($A322,SPPR!$A:$A,0),7)),$C322*INDEX(SPPR!$E:$X,MATCH($A322,SPPR!$A:$A,0),7),""),"")</f>
        <v/>
      </c>
      <c r="K322">
        <f>IFERROR(IF(ISNUMBER(INDEX(SPPR!$E:$X,MATCH($A322,SPPR!$A:$A,0),8)),$C322*INDEX(SPPR!$E:$X,MATCH($A322,SPPR!$A:$A,0),8),""),"")</f>
        <v/>
      </c>
      <c r="L322">
        <f>IFERROR(IF(ISNUMBER(INDEX(SPPR!$E:$X,MATCH($A322,SPPR!$A:$A,0),9)),$C322*INDEX(SPPR!$E:$X,MATCH($A322,SPPR!$A:$A,0),9),""),"")</f>
        <v/>
      </c>
      <c r="M322">
        <f>IFERROR(IF(ISNUMBER(INDEX(SPPR!$E:$X,MATCH($A322,SPPR!$A:$A,0),10)),$C322*INDEX(SPPR!$E:$X,MATCH($A322,SPPR!$A:$A,0),10),""),"")</f>
        <v/>
      </c>
      <c r="N322">
        <f>IFERROR(IF(ISNUMBER(INDEX(SPPR!$E:$X,MATCH($A322,SPPR!$A:$A,0),11)),$C322*INDEX(SPPR!$E:$X,MATCH($A322,SPPR!$A:$A,0),11),""),"")</f>
        <v/>
      </c>
      <c r="O322">
        <f>IFERROR(IF(ISNUMBER(INDEX(SPPR!$E:$X,MATCH($A322,SPPR!$A:$A,0),12)),$C322*INDEX(SPPR!$E:$X,MATCH($A322,SPPR!$A:$A,0),12),""),"")</f>
        <v/>
      </c>
      <c r="P322">
        <f>IFERROR(IF(ISNUMBER(INDEX(SPPR!$E:$X,MATCH($A322,SPPR!$A:$A,0),13)),$C322*INDEX(SPPR!$E:$X,MATCH($A322,SPPR!$A:$A,0),13),""),"")</f>
        <v/>
      </c>
      <c r="Q322">
        <f>IFERROR(IF(ISNUMBER(INDEX(SPPR!$E:$X,MATCH($A322,SPPR!$A:$A,0),14)),$C322*INDEX(SPPR!$E:$X,MATCH($A322,SPPR!$A:$A,0),14),""),"")</f>
        <v/>
      </c>
      <c r="R322">
        <f>IFERROR(IF(ISNUMBER(INDEX(SPPR!$E:$X,MATCH($A322,SPPR!$A:$A,0),15)),$C322*INDEX(SPPR!$E:$X,MATCH($A322,SPPR!$A:$A,0),15),""),"")</f>
        <v/>
      </c>
      <c r="S322">
        <f>IFERROR(IF(ISNUMBER(INDEX(SPPR!$E:$X,MATCH($A322,SPPR!$A:$A,0),16)),$C322*INDEX(SPPR!$E:$X,MATCH($A322,SPPR!$A:$A,0),16),""),"")</f>
        <v/>
      </c>
      <c r="T322">
        <f>IFERROR(IF(ISNUMBER(INDEX(SPPR!$E:$X,MATCH($A322,SPPR!$A:$A,0),17)),$C322*INDEX(SPPR!$E:$X,MATCH($A322,SPPR!$A:$A,0),17),""),"")</f>
        <v/>
      </c>
      <c r="U322">
        <f>IFERROR(IF(ISNUMBER(INDEX(SPPR!$E:$X,MATCH($A322,SPPR!$A:$A,0),18)),$C322*INDEX(SPPR!$E:$X,MATCH($A322,SPPR!$A:$A,0),18),""),"")</f>
        <v/>
      </c>
      <c r="V322">
        <f>IFERROR(IF(ISNUMBER(INDEX(SPPR!$E:$X,MATCH($A322,SPPR!$A:$A,0),19)),$C322*INDEX(SPPR!$E:$X,MATCH($A322,SPPR!$A:$A,0),19),""),"")</f>
        <v/>
      </c>
      <c r="W322">
        <f>IFERROR(IF(ISNUMBER(INDEX(SPPR!$E:$X,MATCH($A322,SPPR!$A:$A,0),20)),$C322*INDEX(SPPR!$E:$X,MATCH($A322,SPPR!$A:$A,0),20),""),"")</f>
        <v/>
      </c>
    </row>
    <row r="323">
      <c r="A323" t="inlineStr">
        <is>
          <t>Auxis rochei</t>
        </is>
      </c>
      <c r="B323">
        <f>IFERROR(INDEX(SPPR!$D:$D,MATCH($A323,SPPR!$A:$A,0)),"")</f>
        <v/>
      </c>
      <c r="C323">
        <f>IFERROR(INDEX(Catch!$E:$BV,MATCH($A323,Catch!$A:$A,0),MATCH($B$4,Catch!$E$1:$BV$1,0)),0)</f>
        <v/>
      </c>
      <c r="D323">
        <f>IFERROR(IF(ISNUMBER(INDEX(SPPR!$E:$X,MATCH($A323,SPPR!$A:$A,0),1)),$C323*INDEX(SPPR!$E:$X,MATCH($A323,SPPR!$A:$A,0),1),""),"")</f>
        <v/>
      </c>
      <c r="E323">
        <f>IFERROR(IF(ISNUMBER(INDEX(SPPR!$E:$X,MATCH($A323,SPPR!$A:$A,0),2)),$C323*INDEX(SPPR!$E:$X,MATCH($A323,SPPR!$A:$A,0),2),""),"")</f>
        <v/>
      </c>
      <c r="F323">
        <f>IFERROR(IF(ISNUMBER(INDEX(SPPR!$E:$X,MATCH($A323,SPPR!$A:$A,0),3)),$C323*INDEX(SPPR!$E:$X,MATCH($A323,SPPR!$A:$A,0),3),""),"")</f>
        <v/>
      </c>
      <c r="G323">
        <f>IFERROR(IF(ISNUMBER(INDEX(SPPR!$E:$X,MATCH($A323,SPPR!$A:$A,0),4)),$C323*INDEX(SPPR!$E:$X,MATCH($A323,SPPR!$A:$A,0),4),""),"")</f>
        <v/>
      </c>
      <c r="H323">
        <f>IFERROR(IF(ISNUMBER(INDEX(SPPR!$E:$X,MATCH($A323,SPPR!$A:$A,0),5)),$C323*INDEX(SPPR!$E:$X,MATCH($A323,SPPR!$A:$A,0),5),""),"")</f>
        <v/>
      </c>
      <c r="I323">
        <f>IFERROR(IF(ISNUMBER(INDEX(SPPR!$E:$X,MATCH($A323,SPPR!$A:$A,0),6)),$C323*INDEX(SPPR!$E:$X,MATCH($A323,SPPR!$A:$A,0),6),""),"")</f>
        <v/>
      </c>
      <c r="J323">
        <f>IFERROR(IF(ISNUMBER(INDEX(SPPR!$E:$X,MATCH($A323,SPPR!$A:$A,0),7)),$C323*INDEX(SPPR!$E:$X,MATCH($A323,SPPR!$A:$A,0),7),""),"")</f>
        <v/>
      </c>
      <c r="K323">
        <f>IFERROR(IF(ISNUMBER(INDEX(SPPR!$E:$X,MATCH($A323,SPPR!$A:$A,0),8)),$C323*INDEX(SPPR!$E:$X,MATCH($A323,SPPR!$A:$A,0),8),""),"")</f>
        <v/>
      </c>
      <c r="L323">
        <f>IFERROR(IF(ISNUMBER(INDEX(SPPR!$E:$X,MATCH($A323,SPPR!$A:$A,0),9)),$C323*INDEX(SPPR!$E:$X,MATCH($A323,SPPR!$A:$A,0),9),""),"")</f>
        <v/>
      </c>
      <c r="M323">
        <f>IFERROR(IF(ISNUMBER(INDEX(SPPR!$E:$X,MATCH($A323,SPPR!$A:$A,0),10)),$C323*INDEX(SPPR!$E:$X,MATCH($A323,SPPR!$A:$A,0),10),""),"")</f>
        <v/>
      </c>
      <c r="N323">
        <f>IFERROR(IF(ISNUMBER(INDEX(SPPR!$E:$X,MATCH($A323,SPPR!$A:$A,0),11)),$C323*INDEX(SPPR!$E:$X,MATCH($A323,SPPR!$A:$A,0),11),""),"")</f>
        <v/>
      </c>
      <c r="O323">
        <f>IFERROR(IF(ISNUMBER(INDEX(SPPR!$E:$X,MATCH($A323,SPPR!$A:$A,0),12)),$C323*INDEX(SPPR!$E:$X,MATCH($A323,SPPR!$A:$A,0),12),""),"")</f>
        <v/>
      </c>
      <c r="P323">
        <f>IFERROR(IF(ISNUMBER(INDEX(SPPR!$E:$X,MATCH($A323,SPPR!$A:$A,0),13)),$C323*INDEX(SPPR!$E:$X,MATCH($A323,SPPR!$A:$A,0),13),""),"")</f>
        <v/>
      </c>
      <c r="Q323">
        <f>IFERROR(IF(ISNUMBER(INDEX(SPPR!$E:$X,MATCH($A323,SPPR!$A:$A,0),14)),$C323*INDEX(SPPR!$E:$X,MATCH($A323,SPPR!$A:$A,0),14),""),"")</f>
        <v/>
      </c>
      <c r="R323">
        <f>IFERROR(IF(ISNUMBER(INDEX(SPPR!$E:$X,MATCH($A323,SPPR!$A:$A,0),15)),$C323*INDEX(SPPR!$E:$X,MATCH($A323,SPPR!$A:$A,0),15),""),"")</f>
        <v/>
      </c>
      <c r="S323">
        <f>IFERROR(IF(ISNUMBER(INDEX(SPPR!$E:$X,MATCH($A323,SPPR!$A:$A,0),16)),$C323*INDEX(SPPR!$E:$X,MATCH($A323,SPPR!$A:$A,0),16),""),"")</f>
        <v/>
      </c>
      <c r="T323">
        <f>IFERROR(IF(ISNUMBER(INDEX(SPPR!$E:$X,MATCH($A323,SPPR!$A:$A,0),17)),$C323*INDEX(SPPR!$E:$X,MATCH($A323,SPPR!$A:$A,0),17),""),"")</f>
        <v/>
      </c>
      <c r="U323">
        <f>IFERROR(IF(ISNUMBER(INDEX(SPPR!$E:$X,MATCH($A323,SPPR!$A:$A,0),18)),$C323*INDEX(SPPR!$E:$X,MATCH($A323,SPPR!$A:$A,0),18),""),"")</f>
        <v/>
      </c>
      <c r="V323">
        <f>IFERROR(IF(ISNUMBER(INDEX(SPPR!$E:$X,MATCH($A323,SPPR!$A:$A,0),19)),$C323*INDEX(SPPR!$E:$X,MATCH($A323,SPPR!$A:$A,0),19),""),"")</f>
        <v/>
      </c>
      <c r="W323">
        <f>IFERROR(IF(ISNUMBER(INDEX(SPPR!$E:$X,MATCH($A323,SPPR!$A:$A,0),20)),$C323*INDEX(SPPR!$E:$X,MATCH($A323,SPPR!$A:$A,0),20),""),"")</f>
        <v/>
      </c>
    </row>
    <row r="324">
      <c r="A324" t="inlineStr">
        <is>
          <t>Trichiuridae</t>
        </is>
      </c>
      <c r="B324">
        <f>IFERROR(INDEX(SPPR!$D:$D,MATCH($A324,SPPR!$A:$A,0)),"")</f>
        <v/>
      </c>
      <c r="C324">
        <f>IFERROR(INDEX(Catch!$E:$BV,MATCH($A324,Catch!$A:$A,0),MATCH($B$4,Catch!$E$1:$BV$1,0)),0)</f>
        <v/>
      </c>
      <c r="D324">
        <f>IFERROR(IF(ISNUMBER(INDEX(SPPR!$E:$X,MATCH($A324,SPPR!$A:$A,0),1)),$C324*INDEX(SPPR!$E:$X,MATCH($A324,SPPR!$A:$A,0),1),""),"")</f>
        <v/>
      </c>
      <c r="E324">
        <f>IFERROR(IF(ISNUMBER(INDEX(SPPR!$E:$X,MATCH($A324,SPPR!$A:$A,0),2)),$C324*INDEX(SPPR!$E:$X,MATCH($A324,SPPR!$A:$A,0),2),""),"")</f>
        <v/>
      </c>
      <c r="F324">
        <f>IFERROR(IF(ISNUMBER(INDEX(SPPR!$E:$X,MATCH($A324,SPPR!$A:$A,0),3)),$C324*INDEX(SPPR!$E:$X,MATCH($A324,SPPR!$A:$A,0),3),""),"")</f>
        <v/>
      </c>
      <c r="G324">
        <f>IFERROR(IF(ISNUMBER(INDEX(SPPR!$E:$X,MATCH($A324,SPPR!$A:$A,0),4)),$C324*INDEX(SPPR!$E:$X,MATCH($A324,SPPR!$A:$A,0),4),""),"")</f>
        <v/>
      </c>
      <c r="H324">
        <f>IFERROR(IF(ISNUMBER(INDEX(SPPR!$E:$X,MATCH($A324,SPPR!$A:$A,0),5)),$C324*INDEX(SPPR!$E:$X,MATCH($A324,SPPR!$A:$A,0),5),""),"")</f>
        <v/>
      </c>
      <c r="I324">
        <f>IFERROR(IF(ISNUMBER(INDEX(SPPR!$E:$X,MATCH($A324,SPPR!$A:$A,0),6)),$C324*INDEX(SPPR!$E:$X,MATCH($A324,SPPR!$A:$A,0),6),""),"")</f>
        <v/>
      </c>
      <c r="J324">
        <f>IFERROR(IF(ISNUMBER(INDEX(SPPR!$E:$X,MATCH($A324,SPPR!$A:$A,0),7)),$C324*INDEX(SPPR!$E:$X,MATCH($A324,SPPR!$A:$A,0),7),""),"")</f>
        <v/>
      </c>
      <c r="K324">
        <f>IFERROR(IF(ISNUMBER(INDEX(SPPR!$E:$X,MATCH($A324,SPPR!$A:$A,0),8)),$C324*INDEX(SPPR!$E:$X,MATCH($A324,SPPR!$A:$A,0),8),""),"")</f>
        <v/>
      </c>
      <c r="L324">
        <f>IFERROR(IF(ISNUMBER(INDEX(SPPR!$E:$X,MATCH($A324,SPPR!$A:$A,0),9)),$C324*INDEX(SPPR!$E:$X,MATCH($A324,SPPR!$A:$A,0),9),""),"")</f>
        <v/>
      </c>
      <c r="M324">
        <f>IFERROR(IF(ISNUMBER(INDEX(SPPR!$E:$X,MATCH($A324,SPPR!$A:$A,0),10)),$C324*INDEX(SPPR!$E:$X,MATCH($A324,SPPR!$A:$A,0),10),""),"")</f>
        <v/>
      </c>
      <c r="N324">
        <f>IFERROR(IF(ISNUMBER(INDEX(SPPR!$E:$X,MATCH($A324,SPPR!$A:$A,0),11)),$C324*INDEX(SPPR!$E:$X,MATCH($A324,SPPR!$A:$A,0),11),""),"")</f>
        <v/>
      </c>
      <c r="O324">
        <f>IFERROR(IF(ISNUMBER(INDEX(SPPR!$E:$X,MATCH($A324,SPPR!$A:$A,0),12)),$C324*INDEX(SPPR!$E:$X,MATCH($A324,SPPR!$A:$A,0),12),""),"")</f>
        <v/>
      </c>
      <c r="P324">
        <f>IFERROR(IF(ISNUMBER(INDEX(SPPR!$E:$X,MATCH($A324,SPPR!$A:$A,0),13)),$C324*INDEX(SPPR!$E:$X,MATCH($A324,SPPR!$A:$A,0),13),""),"")</f>
        <v/>
      </c>
      <c r="Q324">
        <f>IFERROR(IF(ISNUMBER(INDEX(SPPR!$E:$X,MATCH($A324,SPPR!$A:$A,0),14)),$C324*INDEX(SPPR!$E:$X,MATCH($A324,SPPR!$A:$A,0),14),""),"")</f>
        <v/>
      </c>
      <c r="R324">
        <f>IFERROR(IF(ISNUMBER(INDEX(SPPR!$E:$X,MATCH($A324,SPPR!$A:$A,0),15)),$C324*INDEX(SPPR!$E:$X,MATCH($A324,SPPR!$A:$A,0),15),""),"")</f>
        <v/>
      </c>
      <c r="S324">
        <f>IFERROR(IF(ISNUMBER(INDEX(SPPR!$E:$X,MATCH($A324,SPPR!$A:$A,0),16)),$C324*INDEX(SPPR!$E:$X,MATCH($A324,SPPR!$A:$A,0),16),""),"")</f>
        <v/>
      </c>
      <c r="T324">
        <f>IFERROR(IF(ISNUMBER(INDEX(SPPR!$E:$X,MATCH($A324,SPPR!$A:$A,0),17)),$C324*INDEX(SPPR!$E:$X,MATCH($A324,SPPR!$A:$A,0),17),""),"")</f>
        <v/>
      </c>
      <c r="U324">
        <f>IFERROR(IF(ISNUMBER(INDEX(SPPR!$E:$X,MATCH($A324,SPPR!$A:$A,0),18)),$C324*INDEX(SPPR!$E:$X,MATCH($A324,SPPR!$A:$A,0),18),""),"")</f>
        <v/>
      </c>
      <c r="V324">
        <f>IFERROR(IF(ISNUMBER(INDEX(SPPR!$E:$X,MATCH($A324,SPPR!$A:$A,0),19)),$C324*INDEX(SPPR!$E:$X,MATCH($A324,SPPR!$A:$A,0),19),""),"")</f>
        <v/>
      </c>
      <c r="W324">
        <f>IFERROR(IF(ISNUMBER(INDEX(SPPR!$E:$X,MATCH($A324,SPPR!$A:$A,0),20)),$C324*INDEX(SPPR!$E:$X,MATCH($A324,SPPR!$A:$A,0),20),""),"")</f>
        <v/>
      </c>
    </row>
    <row r="325">
      <c r="A325" t="inlineStr">
        <is>
          <t>Veneridae</t>
        </is>
      </c>
      <c r="B325">
        <f>IFERROR(INDEX(SPPR!$D:$D,MATCH($A325,SPPR!$A:$A,0)),"")</f>
        <v/>
      </c>
      <c r="C325">
        <f>IFERROR(INDEX(Catch!$E:$BV,MATCH($A325,Catch!$A:$A,0),MATCH($B$4,Catch!$E$1:$BV$1,0)),0)</f>
        <v/>
      </c>
      <c r="D325">
        <f>IFERROR(IF(ISNUMBER(INDEX(SPPR!$E:$X,MATCH($A325,SPPR!$A:$A,0),1)),$C325*INDEX(SPPR!$E:$X,MATCH($A325,SPPR!$A:$A,0),1),""),"")</f>
        <v/>
      </c>
      <c r="E325">
        <f>IFERROR(IF(ISNUMBER(INDEX(SPPR!$E:$X,MATCH($A325,SPPR!$A:$A,0),2)),$C325*INDEX(SPPR!$E:$X,MATCH($A325,SPPR!$A:$A,0),2),""),"")</f>
        <v/>
      </c>
      <c r="F325">
        <f>IFERROR(IF(ISNUMBER(INDEX(SPPR!$E:$X,MATCH($A325,SPPR!$A:$A,0),3)),$C325*INDEX(SPPR!$E:$X,MATCH($A325,SPPR!$A:$A,0),3),""),"")</f>
        <v/>
      </c>
      <c r="G325">
        <f>IFERROR(IF(ISNUMBER(INDEX(SPPR!$E:$X,MATCH($A325,SPPR!$A:$A,0),4)),$C325*INDEX(SPPR!$E:$X,MATCH($A325,SPPR!$A:$A,0),4),""),"")</f>
        <v/>
      </c>
      <c r="H325">
        <f>IFERROR(IF(ISNUMBER(INDEX(SPPR!$E:$X,MATCH($A325,SPPR!$A:$A,0),5)),$C325*INDEX(SPPR!$E:$X,MATCH($A325,SPPR!$A:$A,0),5),""),"")</f>
        <v/>
      </c>
      <c r="I325">
        <f>IFERROR(IF(ISNUMBER(INDEX(SPPR!$E:$X,MATCH($A325,SPPR!$A:$A,0),6)),$C325*INDEX(SPPR!$E:$X,MATCH($A325,SPPR!$A:$A,0),6),""),"")</f>
        <v/>
      </c>
      <c r="J325">
        <f>IFERROR(IF(ISNUMBER(INDEX(SPPR!$E:$X,MATCH($A325,SPPR!$A:$A,0),7)),$C325*INDEX(SPPR!$E:$X,MATCH($A325,SPPR!$A:$A,0),7),""),"")</f>
        <v/>
      </c>
      <c r="K325">
        <f>IFERROR(IF(ISNUMBER(INDEX(SPPR!$E:$X,MATCH($A325,SPPR!$A:$A,0),8)),$C325*INDEX(SPPR!$E:$X,MATCH($A325,SPPR!$A:$A,0),8),""),"")</f>
        <v/>
      </c>
      <c r="L325">
        <f>IFERROR(IF(ISNUMBER(INDEX(SPPR!$E:$X,MATCH($A325,SPPR!$A:$A,0),9)),$C325*INDEX(SPPR!$E:$X,MATCH($A325,SPPR!$A:$A,0),9),""),"")</f>
        <v/>
      </c>
      <c r="M325">
        <f>IFERROR(IF(ISNUMBER(INDEX(SPPR!$E:$X,MATCH($A325,SPPR!$A:$A,0),10)),$C325*INDEX(SPPR!$E:$X,MATCH($A325,SPPR!$A:$A,0),10),""),"")</f>
        <v/>
      </c>
      <c r="N325">
        <f>IFERROR(IF(ISNUMBER(INDEX(SPPR!$E:$X,MATCH($A325,SPPR!$A:$A,0),11)),$C325*INDEX(SPPR!$E:$X,MATCH($A325,SPPR!$A:$A,0),11),""),"")</f>
        <v/>
      </c>
      <c r="O325">
        <f>IFERROR(IF(ISNUMBER(INDEX(SPPR!$E:$X,MATCH($A325,SPPR!$A:$A,0),12)),$C325*INDEX(SPPR!$E:$X,MATCH($A325,SPPR!$A:$A,0),12),""),"")</f>
        <v/>
      </c>
      <c r="P325">
        <f>IFERROR(IF(ISNUMBER(INDEX(SPPR!$E:$X,MATCH($A325,SPPR!$A:$A,0),13)),$C325*INDEX(SPPR!$E:$X,MATCH($A325,SPPR!$A:$A,0),13),""),"")</f>
        <v/>
      </c>
      <c r="Q325">
        <f>IFERROR(IF(ISNUMBER(INDEX(SPPR!$E:$X,MATCH($A325,SPPR!$A:$A,0),14)),$C325*INDEX(SPPR!$E:$X,MATCH($A325,SPPR!$A:$A,0),14),""),"")</f>
        <v/>
      </c>
      <c r="R325">
        <f>IFERROR(IF(ISNUMBER(INDEX(SPPR!$E:$X,MATCH($A325,SPPR!$A:$A,0),15)),$C325*INDEX(SPPR!$E:$X,MATCH($A325,SPPR!$A:$A,0),15),""),"")</f>
        <v/>
      </c>
      <c r="S325">
        <f>IFERROR(IF(ISNUMBER(INDEX(SPPR!$E:$X,MATCH($A325,SPPR!$A:$A,0),16)),$C325*INDEX(SPPR!$E:$X,MATCH($A325,SPPR!$A:$A,0),16),""),"")</f>
        <v/>
      </c>
      <c r="T325">
        <f>IFERROR(IF(ISNUMBER(INDEX(SPPR!$E:$X,MATCH($A325,SPPR!$A:$A,0),17)),$C325*INDEX(SPPR!$E:$X,MATCH($A325,SPPR!$A:$A,0),17),""),"")</f>
        <v/>
      </c>
      <c r="U325">
        <f>IFERROR(IF(ISNUMBER(INDEX(SPPR!$E:$X,MATCH($A325,SPPR!$A:$A,0),18)),$C325*INDEX(SPPR!$E:$X,MATCH($A325,SPPR!$A:$A,0),18),""),"")</f>
        <v/>
      </c>
      <c r="V325">
        <f>IFERROR(IF(ISNUMBER(INDEX(SPPR!$E:$X,MATCH($A325,SPPR!$A:$A,0),19)),$C325*INDEX(SPPR!$E:$X,MATCH($A325,SPPR!$A:$A,0),19),""),"")</f>
        <v/>
      </c>
      <c r="W325">
        <f>IFERROR(IF(ISNUMBER(INDEX(SPPR!$E:$X,MATCH($A325,SPPR!$A:$A,0),20)),$C325*INDEX(SPPR!$E:$X,MATCH($A325,SPPR!$A:$A,0),20),""),"")</f>
        <v/>
      </c>
    </row>
    <row r="326">
      <c r="A326" t="inlineStr">
        <is>
          <t>Rhinochimaera atlantica</t>
        </is>
      </c>
      <c r="B326">
        <f>IFERROR(INDEX(SPPR!$D:$D,MATCH($A326,SPPR!$A:$A,0)),"")</f>
        <v/>
      </c>
      <c r="C326">
        <f>IFERROR(INDEX(Catch!$E:$BV,MATCH($A326,Catch!$A:$A,0),MATCH($B$4,Catch!$E$1:$BV$1,0)),0)</f>
        <v/>
      </c>
      <c r="D326">
        <f>IFERROR(IF(ISNUMBER(INDEX(SPPR!$E:$X,MATCH($A326,SPPR!$A:$A,0),1)),$C326*INDEX(SPPR!$E:$X,MATCH($A326,SPPR!$A:$A,0),1),""),"")</f>
        <v/>
      </c>
      <c r="E326">
        <f>IFERROR(IF(ISNUMBER(INDEX(SPPR!$E:$X,MATCH($A326,SPPR!$A:$A,0),2)),$C326*INDEX(SPPR!$E:$X,MATCH($A326,SPPR!$A:$A,0),2),""),"")</f>
        <v/>
      </c>
      <c r="F326">
        <f>IFERROR(IF(ISNUMBER(INDEX(SPPR!$E:$X,MATCH($A326,SPPR!$A:$A,0),3)),$C326*INDEX(SPPR!$E:$X,MATCH($A326,SPPR!$A:$A,0),3),""),"")</f>
        <v/>
      </c>
      <c r="G326">
        <f>IFERROR(IF(ISNUMBER(INDEX(SPPR!$E:$X,MATCH($A326,SPPR!$A:$A,0),4)),$C326*INDEX(SPPR!$E:$X,MATCH($A326,SPPR!$A:$A,0),4),""),"")</f>
        <v/>
      </c>
      <c r="H326">
        <f>IFERROR(IF(ISNUMBER(INDEX(SPPR!$E:$X,MATCH($A326,SPPR!$A:$A,0),5)),$C326*INDEX(SPPR!$E:$X,MATCH($A326,SPPR!$A:$A,0),5),""),"")</f>
        <v/>
      </c>
      <c r="I326">
        <f>IFERROR(IF(ISNUMBER(INDEX(SPPR!$E:$X,MATCH($A326,SPPR!$A:$A,0),6)),$C326*INDEX(SPPR!$E:$X,MATCH($A326,SPPR!$A:$A,0),6),""),"")</f>
        <v/>
      </c>
      <c r="J326">
        <f>IFERROR(IF(ISNUMBER(INDEX(SPPR!$E:$X,MATCH($A326,SPPR!$A:$A,0),7)),$C326*INDEX(SPPR!$E:$X,MATCH($A326,SPPR!$A:$A,0),7),""),"")</f>
        <v/>
      </c>
      <c r="K326">
        <f>IFERROR(IF(ISNUMBER(INDEX(SPPR!$E:$X,MATCH($A326,SPPR!$A:$A,0),8)),$C326*INDEX(SPPR!$E:$X,MATCH($A326,SPPR!$A:$A,0),8),""),"")</f>
        <v/>
      </c>
      <c r="L326">
        <f>IFERROR(IF(ISNUMBER(INDEX(SPPR!$E:$X,MATCH($A326,SPPR!$A:$A,0),9)),$C326*INDEX(SPPR!$E:$X,MATCH($A326,SPPR!$A:$A,0),9),""),"")</f>
        <v/>
      </c>
      <c r="M326">
        <f>IFERROR(IF(ISNUMBER(INDEX(SPPR!$E:$X,MATCH($A326,SPPR!$A:$A,0),10)),$C326*INDEX(SPPR!$E:$X,MATCH($A326,SPPR!$A:$A,0),10),""),"")</f>
        <v/>
      </c>
      <c r="N326">
        <f>IFERROR(IF(ISNUMBER(INDEX(SPPR!$E:$X,MATCH($A326,SPPR!$A:$A,0),11)),$C326*INDEX(SPPR!$E:$X,MATCH($A326,SPPR!$A:$A,0),11),""),"")</f>
        <v/>
      </c>
      <c r="O326">
        <f>IFERROR(IF(ISNUMBER(INDEX(SPPR!$E:$X,MATCH($A326,SPPR!$A:$A,0),12)),$C326*INDEX(SPPR!$E:$X,MATCH($A326,SPPR!$A:$A,0),12),""),"")</f>
        <v/>
      </c>
      <c r="P326">
        <f>IFERROR(IF(ISNUMBER(INDEX(SPPR!$E:$X,MATCH($A326,SPPR!$A:$A,0),13)),$C326*INDEX(SPPR!$E:$X,MATCH($A326,SPPR!$A:$A,0),13),""),"")</f>
        <v/>
      </c>
      <c r="Q326">
        <f>IFERROR(IF(ISNUMBER(INDEX(SPPR!$E:$X,MATCH($A326,SPPR!$A:$A,0),14)),$C326*INDEX(SPPR!$E:$X,MATCH($A326,SPPR!$A:$A,0),14),""),"")</f>
        <v/>
      </c>
      <c r="R326">
        <f>IFERROR(IF(ISNUMBER(INDEX(SPPR!$E:$X,MATCH($A326,SPPR!$A:$A,0),15)),$C326*INDEX(SPPR!$E:$X,MATCH($A326,SPPR!$A:$A,0),15),""),"")</f>
        <v/>
      </c>
      <c r="S326">
        <f>IFERROR(IF(ISNUMBER(INDEX(SPPR!$E:$X,MATCH($A326,SPPR!$A:$A,0),16)),$C326*INDEX(SPPR!$E:$X,MATCH($A326,SPPR!$A:$A,0),16),""),"")</f>
        <v/>
      </c>
      <c r="T326">
        <f>IFERROR(IF(ISNUMBER(INDEX(SPPR!$E:$X,MATCH($A326,SPPR!$A:$A,0),17)),$C326*INDEX(SPPR!$E:$X,MATCH($A326,SPPR!$A:$A,0),17),""),"")</f>
        <v/>
      </c>
      <c r="U326">
        <f>IFERROR(IF(ISNUMBER(INDEX(SPPR!$E:$X,MATCH($A326,SPPR!$A:$A,0),18)),$C326*INDEX(SPPR!$E:$X,MATCH($A326,SPPR!$A:$A,0),18),""),"")</f>
        <v/>
      </c>
      <c r="V326">
        <f>IFERROR(IF(ISNUMBER(INDEX(SPPR!$E:$X,MATCH($A326,SPPR!$A:$A,0),19)),$C326*INDEX(SPPR!$E:$X,MATCH($A326,SPPR!$A:$A,0),19),""),"")</f>
        <v/>
      </c>
      <c r="W326">
        <f>IFERROR(IF(ISNUMBER(INDEX(SPPR!$E:$X,MATCH($A326,SPPR!$A:$A,0),20)),$C326*INDEX(SPPR!$E:$X,MATCH($A326,SPPR!$A:$A,0),20),""),"")</f>
        <v/>
      </c>
    </row>
    <row r="327">
      <c r="A327" t="inlineStr">
        <is>
          <t>Centrolophus niger</t>
        </is>
      </c>
      <c r="B327">
        <f>IFERROR(INDEX(SPPR!$D:$D,MATCH($A327,SPPR!$A:$A,0)),"")</f>
        <v/>
      </c>
      <c r="C327">
        <f>IFERROR(INDEX(Catch!$E:$BV,MATCH($A327,Catch!$A:$A,0),MATCH($B$4,Catch!$E$1:$BV$1,0)),0)</f>
        <v/>
      </c>
      <c r="D327">
        <f>IFERROR(IF(ISNUMBER(INDEX(SPPR!$E:$X,MATCH($A327,SPPR!$A:$A,0),1)),$C327*INDEX(SPPR!$E:$X,MATCH($A327,SPPR!$A:$A,0),1),""),"")</f>
        <v/>
      </c>
      <c r="E327">
        <f>IFERROR(IF(ISNUMBER(INDEX(SPPR!$E:$X,MATCH($A327,SPPR!$A:$A,0),2)),$C327*INDEX(SPPR!$E:$X,MATCH($A327,SPPR!$A:$A,0),2),""),"")</f>
        <v/>
      </c>
      <c r="F327">
        <f>IFERROR(IF(ISNUMBER(INDEX(SPPR!$E:$X,MATCH($A327,SPPR!$A:$A,0),3)),$C327*INDEX(SPPR!$E:$X,MATCH($A327,SPPR!$A:$A,0),3),""),"")</f>
        <v/>
      </c>
      <c r="G327">
        <f>IFERROR(IF(ISNUMBER(INDEX(SPPR!$E:$X,MATCH($A327,SPPR!$A:$A,0),4)),$C327*INDEX(SPPR!$E:$X,MATCH($A327,SPPR!$A:$A,0),4),""),"")</f>
        <v/>
      </c>
      <c r="H327">
        <f>IFERROR(IF(ISNUMBER(INDEX(SPPR!$E:$X,MATCH($A327,SPPR!$A:$A,0),5)),$C327*INDEX(SPPR!$E:$X,MATCH($A327,SPPR!$A:$A,0),5),""),"")</f>
        <v/>
      </c>
      <c r="I327">
        <f>IFERROR(IF(ISNUMBER(INDEX(SPPR!$E:$X,MATCH($A327,SPPR!$A:$A,0),6)),$C327*INDEX(SPPR!$E:$X,MATCH($A327,SPPR!$A:$A,0),6),""),"")</f>
        <v/>
      </c>
      <c r="J327">
        <f>IFERROR(IF(ISNUMBER(INDEX(SPPR!$E:$X,MATCH($A327,SPPR!$A:$A,0),7)),$C327*INDEX(SPPR!$E:$X,MATCH($A327,SPPR!$A:$A,0),7),""),"")</f>
        <v/>
      </c>
      <c r="K327">
        <f>IFERROR(IF(ISNUMBER(INDEX(SPPR!$E:$X,MATCH($A327,SPPR!$A:$A,0),8)),$C327*INDEX(SPPR!$E:$X,MATCH($A327,SPPR!$A:$A,0),8),""),"")</f>
        <v/>
      </c>
      <c r="L327">
        <f>IFERROR(IF(ISNUMBER(INDEX(SPPR!$E:$X,MATCH($A327,SPPR!$A:$A,0),9)),$C327*INDEX(SPPR!$E:$X,MATCH($A327,SPPR!$A:$A,0),9),""),"")</f>
        <v/>
      </c>
      <c r="M327">
        <f>IFERROR(IF(ISNUMBER(INDEX(SPPR!$E:$X,MATCH($A327,SPPR!$A:$A,0),10)),$C327*INDEX(SPPR!$E:$X,MATCH($A327,SPPR!$A:$A,0),10),""),"")</f>
        <v/>
      </c>
      <c r="N327">
        <f>IFERROR(IF(ISNUMBER(INDEX(SPPR!$E:$X,MATCH($A327,SPPR!$A:$A,0),11)),$C327*INDEX(SPPR!$E:$X,MATCH($A327,SPPR!$A:$A,0),11),""),"")</f>
        <v/>
      </c>
      <c r="O327">
        <f>IFERROR(IF(ISNUMBER(INDEX(SPPR!$E:$X,MATCH($A327,SPPR!$A:$A,0),12)),$C327*INDEX(SPPR!$E:$X,MATCH($A327,SPPR!$A:$A,0),12),""),"")</f>
        <v/>
      </c>
      <c r="P327">
        <f>IFERROR(IF(ISNUMBER(INDEX(SPPR!$E:$X,MATCH($A327,SPPR!$A:$A,0),13)),$C327*INDEX(SPPR!$E:$X,MATCH($A327,SPPR!$A:$A,0),13),""),"")</f>
        <v/>
      </c>
      <c r="Q327">
        <f>IFERROR(IF(ISNUMBER(INDEX(SPPR!$E:$X,MATCH($A327,SPPR!$A:$A,0),14)),$C327*INDEX(SPPR!$E:$X,MATCH($A327,SPPR!$A:$A,0),14),""),"")</f>
        <v/>
      </c>
      <c r="R327">
        <f>IFERROR(IF(ISNUMBER(INDEX(SPPR!$E:$X,MATCH($A327,SPPR!$A:$A,0),15)),$C327*INDEX(SPPR!$E:$X,MATCH($A327,SPPR!$A:$A,0),15),""),"")</f>
        <v/>
      </c>
      <c r="S327">
        <f>IFERROR(IF(ISNUMBER(INDEX(SPPR!$E:$X,MATCH($A327,SPPR!$A:$A,0),16)),$C327*INDEX(SPPR!$E:$X,MATCH($A327,SPPR!$A:$A,0),16),""),"")</f>
        <v/>
      </c>
      <c r="T327">
        <f>IFERROR(IF(ISNUMBER(INDEX(SPPR!$E:$X,MATCH($A327,SPPR!$A:$A,0),17)),$C327*INDEX(SPPR!$E:$X,MATCH($A327,SPPR!$A:$A,0),17),""),"")</f>
        <v/>
      </c>
      <c r="U327">
        <f>IFERROR(IF(ISNUMBER(INDEX(SPPR!$E:$X,MATCH($A327,SPPR!$A:$A,0),18)),$C327*INDEX(SPPR!$E:$X,MATCH($A327,SPPR!$A:$A,0),18),""),"")</f>
        <v/>
      </c>
      <c r="V327">
        <f>IFERROR(IF(ISNUMBER(INDEX(SPPR!$E:$X,MATCH($A327,SPPR!$A:$A,0),19)),$C327*INDEX(SPPR!$E:$X,MATCH($A327,SPPR!$A:$A,0),19),""),"")</f>
        <v/>
      </c>
      <c r="W327">
        <f>IFERROR(IF(ISNUMBER(INDEX(SPPR!$E:$X,MATCH($A327,SPPR!$A:$A,0),20)),$C327*INDEX(SPPR!$E:$X,MATCH($A327,SPPR!$A:$A,0),20),""),"")</f>
        <v/>
      </c>
    </row>
    <row r="328">
      <c r="A328" t="inlineStr">
        <is>
          <t>Alopias vulpinus</t>
        </is>
      </c>
      <c r="B328">
        <f>IFERROR(INDEX(SPPR!$D:$D,MATCH($A328,SPPR!$A:$A,0)),"")</f>
        <v/>
      </c>
      <c r="C328">
        <f>IFERROR(INDEX(Catch!$E:$BV,MATCH($A328,Catch!$A:$A,0),MATCH($B$4,Catch!$E$1:$BV$1,0)),0)</f>
        <v/>
      </c>
      <c r="D328">
        <f>IFERROR(IF(ISNUMBER(INDEX(SPPR!$E:$X,MATCH($A328,SPPR!$A:$A,0),1)),$C328*INDEX(SPPR!$E:$X,MATCH($A328,SPPR!$A:$A,0),1),""),"")</f>
        <v/>
      </c>
      <c r="E328">
        <f>IFERROR(IF(ISNUMBER(INDEX(SPPR!$E:$X,MATCH($A328,SPPR!$A:$A,0),2)),$C328*INDEX(SPPR!$E:$X,MATCH($A328,SPPR!$A:$A,0),2),""),"")</f>
        <v/>
      </c>
      <c r="F328">
        <f>IFERROR(IF(ISNUMBER(INDEX(SPPR!$E:$X,MATCH($A328,SPPR!$A:$A,0),3)),$C328*INDEX(SPPR!$E:$X,MATCH($A328,SPPR!$A:$A,0),3),""),"")</f>
        <v/>
      </c>
      <c r="G328">
        <f>IFERROR(IF(ISNUMBER(INDEX(SPPR!$E:$X,MATCH($A328,SPPR!$A:$A,0),4)),$C328*INDEX(SPPR!$E:$X,MATCH($A328,SPPR!$A:$A,0),4),""),"")</f>
        <v/>
      </c>
      <c r="H328">
        <f>IFERROR(IF(ISNUMBER(INDEX(SPPR!$E:$X,MATCH($A328,SPPR!$A:$A,0),5)),$C328*INDEX(SPPR!$E:$X,MATCH($A328,SPPR!$A:$A,0),5),""),"")</f>
        <v/>
      </c>
      <c r="I328">
        <f>IFERROR(IF(ISNUMBER(INDEX(SPPR!$E:$X,MATCH($A328,SPPR!$A:$A,0),6)),$C328*INDEX(SPPR!$E:$X,MATCH($A328,SPPR!$A:$A,0),6),""),"")</f>
        <v/>
      </c>
      <c r="J328">
        <f>IFERROR(IF(ISNUMBER(INDEX(SPPR!$E:$X,MATCH($A328,SPPR!$A:$A,0),7)),$C328*INDEX(SPPR!$E:$X,MATCH($A328,SPPR!$A:$A,0),7),""),"")</f>
        <v/>
      </c>
      <c r="K328">
        <f>IFERROR(IF(ISNUMBER(INDEX(SPPR!$E:$X,MATCH($A328,SPPR!$A:$A,0),8)),$C328*INDEX(SPPR!$E:$X,MATCH($A328,SPPR!$A:$A,0),8),""),"")</f>
        <v/>
      </c>
      <c r="L328">
        <f>IFERROR(IF(ISNUMBER(INDEX(SPPR!$E:$X,MATCH($A328,SPPR!$A:$A,0),9)),$C328*INDEX(SPPR!$E:$X,MATCH($A328,SPPR!$A:$A,0),9),""),"")</f>
        <v/>
      </c>
      <c r="M328">
        <f>IFERROR(IF(ISNUMBER(INDEX(SPPR!$E:$X,MATCH($A328,SPPR!$A:$A,0),10)),$C328*INDEX(SPPR!$E:$X,MATCH($A328,SPPR!$A:$A,0),10),""),"")</f>
        <v/>
      </c>
      <c r="N328">
        <f>IFERROR(IF(ISNUMBER(INDEX(SPPR!$E:$X,MATCH($A328,SPPR!$A:$A,0),11)),$C328*INDEX(SPPR!$E:$X,MATCH($A328,SPPR!$A:$A,0),11),""),"")</f>
        <v/>
      </c>
      <c r="O328">
        <f>IFERROR(IF(ISNUMBER(INDEX(SPPR!$E:$X,MATCH($A328,SPPR!$A:$A,0),12)),$C328*INDEX(SPPR!$E:$X,MATCH($A328,SPPR!$A:$A,0),12),""),"")</f>
        <v/>
      </c>
      <c r="P328">
        <f>IFERROR(IF(ISNUMBER(INDEX(SPPR!$E:$X,MATCH($A328,SPPR!$A:$A,0),13)),$C328*INDEX(SPPR!$E:$X,MATCH($A328,SPPR!$A:$A,0),13),""),"")</f>
        <v/>
      </c>
      <c r="Q328">
        <f>IFERROR(IF(ISNUMBER(INDEX(SPPR!$E:$X,MATCH($A328,SPPR!$A:$A,0),14)),$C328*INDEX(SPPR!$E:$X,MATCH($A328,SPPR!$A:$A,0),14),""),"")</f>
        <v/>
      </c>
      <c r="R328">
        <f>IFERROR(IF(ISNUMBER(INDEX(SPPR!$E:$X,MATCH($A328,SPPR!$A:$A,0),15)),$C328*INDEX(SPPR!$E:$X,MATCH($A328,SPPR!$A:$A,0),15),""),"")</f>
        <v/>
      </c>
      <c r="S328">
        <f>IFERROR(IF(ISNUMBER(INDEX(SPPR!$E:$X,MATCH($A328,SPPR!$A:$A,0),16)),$C328*INDEX(SPPR!$E:$X,MATCH($A328,SPPR!$A:$A,0),16),""),"")</f>
        <v/>
      </c>
      <c r="T328">
        <f>IFERROR(IF(ISNUMBER(INDEX(SPPR!$E:$X,MATCH($A328,SPPR!$A:$A,0),17)),$C328*INDEX(SPPR!$E:$X,MATCH($A328,SPPR!$A:$A,0),17),""),"")</f>
        <v/>
      </c>
      <c r="U328">
        <f>IFERROR(IF(ISNUMBER(INDEX(SPPR!$E:$X,MATCH($A328,SPPR!$A:$A,0),18)),$C328*INDEX(SPPR!$E:$X,MATCH($A328,SPPR!$A:$A,0),18),""),"")</f>
        <v/>
      </c>
      <c r="V328">
        <f>IFERROR(IF(ISNUMBER(INDEX(SPPR!$E:$X,MATCH($A328,SPPR!$A:$A,0),19)),$C328*INDEX(SPPR!$E:$X,MATCH($A328,SPPR!$A:$A,0),19),""),"")</f>
        <v/>
      </c>
      <c r="W328">
        <f>IFERROR(IF(ISNUMBER(INDEX(SPPR!$E:$X,MATCH($A328,SPPR!$A:$A,0),20)),$C328*INDEX(SPPR!$E:$X,MATCH($A328,SPPR!$A:$A,0),20),""),"")</f>
        <v/>
      </c>
    </row>
    <row r="329">
      <c r="A329" t="inlineStr">
        <is>
          <t>Venerupis corrugata</t>
        </is>
      </c>
      <c r="B329">
        <f>IFERROR(INDEX(SPPR!$D:$D,MATCH($A329,SPPR!$A:$A,0)),"")</f>
        <v/>
      </c>
      <c r="C329">
        <f>IFERROR(INDEX(Catch!$E:$BV,MATCH($A329,Catch!$A:$A,0),MATCH($B$4,Catch!$E$1:$BV$1,0)),0)</f>
        <v/>
      </c>
      <c r="D329">
        <f>IFERROR(IF(ISNUMBER(INDEX(SPPR!$E:$X,MATCH($A329,SPPR!$A:$A,0),1)),$C329*INDEX(SPPR!$E:$X,MATCH($A329,SPPR!$A:$A,0),1),""),"")</f>
        <v/>
      </c>
      <c r="E329">
        <f>IFERROR(IF(ISNUMBER(INDEX(SPPR!$E:$X,MATCH($A329,SPPR!$A:$A,0),2)),$C329*INDEX(SPPR!$E:$X,MATCH($A329,SPPR!$A:$A,0),2),""),"")</f>
        <v/>
      </c>
      <c r="F329">
        <f>IFERROR(IF(ISNUMBER(INDEX(SPPR!$E:$X,MATCH($A329,SPPR!$A:$A,0),3)),$C329*INDEX(SPPR!$E:$X,MATCH($A329,SPPR!$A:$A,0),3),""),"")</f>
        <v/>
      </c>
      <c r="G329">
        <f>IFERROR(IF(ISNUMBER(INDEX(SPPR!$E:$X,MATCH($A329,SPPR!$A:$A,0),4)),$C329*INDEX(SPPR!$E:$X,MATCH($A329,SPPR!$A:$A,0),4),""),"")</f>
        <v/>
      </c>
      <c r="H329">
        <f>IFERROR(IF(ISNUMBER(INDEX(SPPR!$E:$X,MATCH($A329,SPPR!$A:$A,0),5)),$C329*INDEX(SPPR!$E:$X,MATCH($A329,SPPR!$A:$A,0),5),""),"")</f>
        <v/>
      </c>
      <c r="I329">
        <f>IFERROR(IF(ISNUMBER(INDEX(SPPR!$E:$X,MATCH($A329,SPPR!$A:$A,0),6)),$C329*INDEX(SPPR!$E:$X,MATCH($A329,SPPR!$A:$A,0),6),""),"")</f>
        <v/>
      </c>
      <c r="J329">
        <f>IFERROR(IF(ISNUMBER(INDEX(SPPR!$E:$X,MATCH($A329,SPPR!$A:$A,0),7)),$C329*INDEX(SPPR!$E:$X,MATCH($A329,SPPR!$A:$A,0),7),""),"")</f>
        <v/>
      </c>
      <c r="K329">
        <f>IFERROR(IF(ISNUMBER(INDEX(SPPR!$E:$X,MATCH($A329,SPPR!$A:$A,0),8)),$C329*INDEX(SPPR!$E:$X,MATCH($A329,SPPR!$A:$A,0),8),""),"")</f>
        <v/>
      </c>
      <c r="L329">
        <f>IFERROR(IF(ISNUMBER(INDEX(SPPR!$E:$X,MATCH($A329,SPPR!$A:$A,0),9)),$C329*INDEX(SPPR!$E:$X,MATCH($A329,SPPR!$A:$A,0),9),""),"")</f>
        <v/>
      </c>
      <c r="M329">
        <f>IFERROR(IF(ISNUMBER(INDEX(SPPR!$E:$X,MATCH($A329,SPPR!$A:$A,0),10)),$C329*INDEX(SPPR!$E:$X,MATCH($A329,SPPR!$A:$A,0),10),""),"")</f>
        <v/>
      </c>
      <c r="N329">
        <f>IFERROR(IF(ISNUMBER(INDEX(SPPR!$E:$X,MATCH($A329,SPPR!$A:$A,0),11)),$C329*INDEX(SPPR!$E:$X,MATCH($A329,SPPR!$A:$A,0),11),""),"")</f>
        <v/>
      </c>
      <c r="O329">
        <f>IFERROR(IF(ISNUMBER(INDEX(SPPR!$E:$X,MATCH($A329,SPPR!$A:$A,0),12)),$C329*INDEX(SPPR!$E:$X,MATCH($A329,SPPR!$A:$A,0),12),""),"")</f>
        <v/>
      </c>
      <c r="P329">
        <f>IFERROR(IF(ISNUMBER(INDEX(SPPR!$E:$X,MATCH($A329,SPPR!$A:$A,0),13)),$C329*INDEX(SPPR!$E:$X,MATCH($A329,SPPR!$A:$A,0),13),""),"")</f>
        <v/>
      </c>
      <c r="Q329">
        <f>IFERROR(IF(ISNUMBER(INDEX(SPPR!$E:$X,MATCH($A329,SPPR!$A:$A,0),14)),$C329*INDEX(SPPR!$E:$X,MATCH($A329,SPPR!$A:$A,0),14),""),"")</f>
        <v/>
      </c>
      <c r="R329">
        <f>IFERROR(IF(ISNUMBER(INDEX(SPPR!$E:$X,MATCH($A329,SPPR!$A:$A,0),15)),$C329*INDEX(SPPR!$E:$X,MATCH($A329,SPPR!$A:$A,0),15),""),"")</f>
        <v/>
      </c>
      <c r="S329">
        <f>IFERROR(IF(ISNUMBER(INDEX(SPPR!$E:$X,MATCH($A329,SPPR!$A:$A,0),16)),$C329*INDEX(SPPR!$E:$X,MATCH($A329,SPPR!$A:$A,0),16),""),"")</f>
        <v/>
      </c>
      <c r="T329">
        <f>IFERROR(IF(ISNUMBER(INDEX(SPPR!$E:$X,MATCH($A329,SPPR!$A:$A,0),17)),$C329*INDEX(SPPR!$E:$X,MATCH($A329,SPPR!$A:$A,0),17),""),"")</f>
        <v/>
      </c>
      <c r="U329">
        <f>IFERROR(IF(ISNUMBER(INDEX(SPPR!$E:$X,MATCH($A329,SPPR!$A:$A,0),18)),$C329*INDEX(SPPR!$E:$X,MATCH($A329,SPPR!$A:$A,0),18),""),"")</f>
        <v/>
      </c>
      <c r="V329">
        <f>IFERROR(IF(ISNUMBER(INDEX(SPPR!$E:$X,MATCH($A329,SPPR!$A:$A,0),19)),$C329*INDEX(SPPR!$E:$X,MATCH($A329,SPPR!$A:$A,0),19),""),"")</f>
        <v/>
      </c>
      <c r="W329">
        <f>IFERROR(IF(ISNUMBER(INDEX(SPPR!$E:$X,MATCH($A329,SPPR!$A:$A,0),20)),$C329*INDEX(SPPR!$E:$X,MATCH($A329,SPPR!$A:$A,0),20),""),"")</f>
        <v/>
      </c>
    </row>
    <row r="330">
      <c r="A330" t="inlineStr">
        <is>
          <t>Dentex</t>
        </is>
      </c>
      <c r="B330">
        <f>IFERROR(INDEX(SPPR!$D:$D,MATCH($A330,SPPR!$A:$A,0)),"")</f>
        <v/>
      </c>
      <c r="C330">
        <f>IFERROR(INDEX(Catch!$E:$BV,MATCH($A330,Catch!$A:$A,0),MATCH($B$4,Catch!$E$1:$BV$1,0)),0)</f>
        <v/>
      </c>
      <c r="D330">
        <f>IFERROR(IF(ISNUMBER(INDEX(SPPR!$E:$X,MATCH($A330,SPPR!$A:$A,0),1)),$C330*INDEX(SPPR!$E:$X,MATCH($A330,SPPR!$A:$A,0),1),""),"")</f>
        <v/>
      </c>
      <c r="E330">
        <f>IFERROR(IF(ISNUMBER(INDEX(SPPR!$E:$X,MATCH($A330,SPPR!$A:$A,0),2)),$C330*INDEX(SPPR!$E:$X,MATCH($A330,SPPR!$A:$A,0),2),""),"")</f>
        <v/>
      </c>
      <c r="F330">
        <f>IFERROR(IF(ISNUMBER(INDEX(SPPR!$E:$X,MATCH($A330,SPPR!$A:$A,0),3)),$C330*INDEX(SPPR!$E:$X,MATCH($A330,SPPR!$A:$A,0),3),""),"")</f>
        <v/>
      </c>
      <c r="G330">
        <f>IFERROR(IF(ISNUMBER(INDEX(SPPR!$E:$X,MATCH($A330,SPPR!$A:$A,0),4)),$C330*INDEX(SPPR!$E:$X,MATCH($A330,SPPR!$A:$A,0),4),""),"")</f>
        <v/>
      </c>
      <c r="H330">
        <f>IFERROR(IF(ISNUMBER(INDEX(SPPR!$E:$X,MATCH($A330,SPPR!$A:$A,0),5)),$C330*INDEX(SPPR!$E:$X,MATCH($A330,SPPR!$A:$A,0),5),""),"")</f>
        <v/>
      </c>
      <c r="I330">
        <f>IFERROR(IF(ISNUMBER(INDEX(SPPR!$E:$X,MATCH($A330,SPPR!$A:$A,0),6)),$C330*INDEX(SPPR!$E:$X,MATCH($A330,SPPR!$A:$A,0),6),""),"")</f>
        <v/>
      </c>
      <c r="J330">
        <f>IFERROR(IF(ISNUMBER(INDEX(SPPR!$E:$X,MATCH($A330,SPPR!$A:$A,0),7)),$C330*INDEX(SPPR!$E:$X,MATCH($A330,SPPR!$A:$A,0),7),""),"")</f>
        <v/>
      </c>
      <c r="K330">
        <f>IFERROR(IF(ISNUMBER(INDEX(SPPR!$E:$X,MATCH($A330,SPPR!$A:$A,0),8)),$C330*INDEX(SPPR!$E:$X,MATCH($A330,SPPR!$A:$A,0),8),""),"")</f>
        <v/>
      </c>
      <c r="L330">
        <f>IFERROR(IF(ISNUMBER(INDEX(SPPR!$E:$X,MATCH($A330,SPPR!$A:$A,0),9)),$C330*INDEX(SPPR!$E:$X,MATCH($A330,SPPR!$A:$A,0),9),""),"")</f>
        <v/>
      </c>
      <c r="M330">
        <f>IFERROR(IF(ISNUMBER(INDEX(SPPR!$E:$X,MATCH($A330,SPPR!$A:$A,0),10)),$C330*INDEX(SPPR!$E:$X,MATCH($A330,SPPR!$A:$A,0),10),""),"")</f>
        <v/>
      </c>
      <c r="N330">
        <f>IFERROR(IF(ISNUMBER(INDEX(SPPR!$E:$X,MATCH($A330,SPPR!$A:$A,0),11)),$C330*INDEX(SPPR!$E:$X,MATCH($A330,SPPR!$A:$A,0),11),""),"")</f>
        <v/>
      </c>
      <c r="O330">
        <f>IFERROR(IF(ISNUMBER(INDEX(SPPR!$E:$X,MATCH($A330,SPPR!$A:$A,0),12)),$C330*INDEX(SPPR!$E:$X,MATCH($A330,SPPR!$A:$A,0),12),""),"")</f>
        <v/>
      </c>
      <c r="P330">
        <f>IFERROR(IF(ISNUMBER(INDEX(SPPR!$E:$X,MATCH($A330,SPPR!$A:$A,0),13)),$C330*INDEX(SPPR!$E:$X,MATCH($A330,SPPR!$A:$A,0),13),""),"")</f>
        <v/>
      </c>
      <c r="Q330">
        <f>IFERROR(IF(ISNUMBER(INDEX(SPPR!$E:$X,MATCH($A330,SPPR!$A:$A,0),14)),$C330*INDEX(SPPR!$E:$X,MATCH($A330,SPPR!$A:$A,0),14),""),"")</f>
        <v/>
      </c>
      <c r="R330">
        <f>IFERROR(IF(ISNUMBER(INDEX(SPPR!$E:$X,MATCH($A330,SPPR!$A:$A,0),15)),$C330*INDEX(SPPR!$E:$X,MATCH($A330,SPPR!$A:$A,0),15),""),"")</f>
        <v/>
      </c>
      <c r="S330">
        <f>IFERROR(IF(ISNUMBER(INDEX(SPPR!$E:$X,MATCH($A330,SPPR!$A:$A,0),16)),$C330*INDEX(SPPR!$E:$X,MATCH($A330,SPPR!$A:$A,0),16),""),"")</f>
        <v/>
      </c>
      <c r="T330">
        <f>IFERROR(IF(ISNUMBER(INDEX(SPPR!$E:$X,MATCH($A330,SPPR!$A:$A,0),17)),$C330*INDEX(SPPR!$E:$X,MATCH($A330,SPPR!$A:$A,0),17),""),"")</f>
        <v/>
      </c>
      <c r="U330">
        <f>IFERROR(IF(ISNUMBER(INDEX(SPPR!$E:$X,MATCH($A330,SPPR!$A:$A,0),18)),$C330*INDEX(SPPR!$E:$X,MATCH($A330,SPPR!$A:$A,0),18),""),"")</f>
        <v/>
      </c>
      <c r="V330">
        <f>IFERROR(IF(ISNUMBER(INDEX(SPPR!$E:$X,MATCH($A330,SPPR!$A:$A,0),19)),$C330*INDEX(SPPR!$E:$X,MATCH($A330,SPPR!$A:$A,0),19),""),"")</f>
        <v/>
      </c>
      <c r="W330">
        <f>IFERROR(IF(ISNUMBER(INDEX(SPPR!$E:$X,MATCH($A330,SPPR!$A:$A,0),20)),$C330*INDEX(SPPR!$E:$X,MATCH($A330,SPPR!$A:$A,0),20),""),"")</f>
        <v/>
      </c>
    </row>
    <row r="331">
      <c r="A331" t="inlineStr">
        <is>
          <t>Arctica islandica</t>
        </is>
      </c>
      <c r="B331">
        <f>IFERROR(INDEX(SPPR!$D:$D,MATCH($A331,SPPR!$A:$A,0)),"")</f>
        <v/>
      </c>
      <c r="C331">
        <f>IFERROR(INDEX(Catch!$E:$BV,MATCH($A331,Catch!$A:$A,0),MATCH($B$4,Catch!$E$1:$BV$1,0)),0)</f>
        <v/>
      </c>
      <c r="D331">
        <f>IFERROR(IF(ISNUMBER(INDEX(SPPR!$E:$X,MATCH($A331,SPPR!$A:$A,0),1)),$C331*INDEX(SPPR!$E:$X,MATCH($A331,SPPR!$A:$A,0),1),""),"")</f>
        <v/>
      </c>
      <c r="E331">
        <f>IFERROR(IF(ISNUMBER(INDEX(SPPR!$E:$X,MATCH($A331,SPPR!$A:$A,0),2)),$C331*INDEX(SPPR!$E:$X,MATCH($A331,SPPR!$A:$A,0),2),""),"")</f>
        <v/>
      </c>
      <c r="F331">
        <f>IFERROR(IF(ISNUMBER(INDEX(SPPR!$E:$X,MATCH($A331,SPPR!$A:$A,0),3)),$C331*INDEX(SPPR!$E:$X,MATCH($A331,SPPR!$A:$A,0),3),""),"")</f>
        <v/>
      </c>
      <c r="G331">
        <f>IFERROR(IF(ISNUMBER(INDEX(SPPR!$E:$X,MATCH($A331,SPPR!$A:$A,0),4)),$C331*INDEX(SPPR!$E:$X,MATCH($A331,SPPR!$A:$A,0),4),""),"")</f>
        <v/>
      </c>
      <c r="H331">
        <f>IFERROR(IF(ISNUMBER(INDEX(SPPR!$E:$X,MATCH($A331,SPPR!$A:$A,0),5)),$C331*INDEX(SPPR!$E:$X,MATCH($A331,SPPR!$A:$A,0),5),""),"")</f>
        <v/>
      </c>
      <c r="I331">
        <f>IFERROR(IF(ISNUMBER(INDEX(SPPR!$E:$X,MATCH($A331,SPPR!$A:$A,0),6)),$C331*INDEX(SPPR!$E:$X,MATCH($A331,SPPR!$A:$A,0),6),""),"")</f>
        <v/>
      </c>
      <c r="J331">
        <f>IFERROR(IF(ISNUMBER(INDEX(SPPR!$E:$X,MATCH($A331,SPPR!$A:$A,0),7)),$C331*INDEX(SPPR!$E:$X,MATCH($A331,SPPR!$A:$A,0),7),""),"")</f>
        <v/>
      </c>
      <c r="K331">
        <f>IFERROR(IF(ISNUMBER(INDEX(SPPR!$E:$X,MATCH($A331,SPPR!$A:$A,0),8)),$C331*INDEX(SPPR!$E:$X,MATCH($A331,SPPR!$A:$A,0),8),""),"")</f>
        <v/>
      </c>
      <c r="L331">
        <f>IFERROR(IF(ISNUMBER(INDEX(SPPR!$E:$X,MATCH($A331,SPPR!$A:$A,0),9)),$C331*INDEX(SPPR!$E:$X,MATCH($A331,SPPR!$A:$A,0),9),""),"")</f>
        <v/>
      </c>
      <c r="M331">
        <f>IFERROR(IF(ISNUMBER(INDEX(SPPR!$E:$X,MATCH($A331,SPPR!$A:$A,0),10)),$C331*INDEX(SPPR!$E:$X,MATCH($A331,SPPR!$A:$A,0),10),""),"")</f>
        <v/>
      </c>
      <c r="N331">
        <f>IFERROR(IF(ISNUMBER(INDEX(SPPR!$E:$X,MATCH($A331,SPPR!$A:$A,0),11)),$C331*INDEX(SPPR!$E:$X,MATCH($A331,SPPR!$A:$A,0),11),""),"")</f>
        <v/>
      </c>
      <c r="O331">
        <f>IFERROR(IF(ISNUMBER(INDEX(SPPR!$E:$X,MATCH($A331,SPPR!$A:$A,0),12)),$C331*INDEX(SPPR!$E:$X,MATCH($A331,SPPR!$A:$A,0),12),""),"")</f>
        <v/>
      </c>
      <c r="P331">
        <f>IFERROR(IF(ISNUMBER(INDEX(SPPR!$E:$X,MATCH($A331,SPPR!$A:$A,0),13)),$C331*INDEX(SPPR!$E:$X,MATCH($A331,SPPR!$A:$A,0),13),""),"")</f>
        <v/>
      </c>
      <c r="Q331">
        <f>IFERROR(IF(ISNUMBER(INDEX(SPPR!$E:$X,MATCH($A331,SPPR!$A:$A,0),14)),$C331*INDEX(SPPR!$E:$X,MATCH($A331,SPPR!$A:$A,0),14),""),"")</f>
        <v/>
      </c>
      <c r="R331">
        <f>IFERROR(IF(ISNUMBER(INDEX(SPPR!$E:$X,MATCH($A331,SPPR!$A:$A,0),15)),$C331*INDEX(SPPR!$E:$X,MATCH($A331,SPPR!$A:$A,0),15),""),"")</f>
        <v/>
      </c>
      <c r="S331">
        <f>IFERROR(IF(ISNUMBER(INDEX(SPPR!$E:$X,MATCH($A331,SPPR!$A:$A,0),16)),$C331*INDEX(SPPR!$E:$X,MATCH($A331,SPPR!$A:$A,0),16),""),"")</f>
        <v/>
      </c>
      <c r="T331">
        <f>IFERROR(IF(ISNUMBER(INDEX(SPPR!$E:$X,MATCH($A331,SPPR!$A:$A,0),17)),$C331*INDEX(SPPR!$E:$X,MATCH($A331,SPPR!$A:$A,0),17),""),"")</f>
        <v/>
      </c>
      <c r="U331">
        <f>IFERROR(IF(ISNUMBER(INDEX(SPPR!$E:$X,MATCH($A331,SPPR!$A:$A,0),18)),$C331*INDEX(SPPR!$E:$X,MATCH($A331,SPPR!$A:$A,0),18),""),"")</f>
        <v/>
      </c>
      <c r="V331">
        <f>IFERROR(IF(ISNUMBER(INDEX(SPPR!$E:$X,MATCH($A331,SPPR!$A:$A,0),19)),$C331*INDEX(SPPR!$E:$X,MATCH($A331,SPPR!$A:$A,0),19),""),"")</f>
        <v/>
      </c>
      <c r="W331">
        <f>IFERROR(IF(ISNUMBER(INDEX(SPPR!$E:$X,MATCH($A331,SPPR!$A:$A,0),20)),$C331*INDEX(SPPR!$E:$X,MATCH($A331,SPPR!$A:$A,0),20),""),"")</f>
        <v/>
      </c>
    </row>
    <row r="332">
      <c r="A332" t="inlineStr">
        <is>
          <t>Molva macrophthalma</t>
        </is>
      </c>
      <c r="B332">
        <f>IFERROR(INDEX(SPPR!$D:$D,MATCH($A332,SPPR!$A:$A,0)),"")</f>
        <v/>
      </c>
      <c r="C332">
        <f>IFERROR(INDEX(Catch!$E:$BV,MATCH($A332,Catch!$A:$A,0),MATCH($B$4,Catch!$E$1:$BV$1,0)),0)</f>
        <v/>
      </c>
      <c r="D332">
        <f>IFERROR(IF(ISNUMBER(INDEX(SPPR!$E:$X,MATCH($A332,SPPR!$A:$A,0),1)),$C332*INDEX(SPPR!$E:$X,MATCH($A332,SPPR!$A:$A,0),1),""),"")</f>
        <v/>
      </c>
      <c r="E332">
        <f>IFERROR(IF(ISNUMBER(INDEX(SPPR!$E:$X,MATCH($A332,SPPR!$A:$A,0),2)),$C332*INDEX(SPPR!$E:$X,MATCH($A332,SPPR!$A:$A,0),2),""),"")</f>
        <v/>
      </c>
      <c r="F332">
        <f>IFERROR(IF(ISNUMBER(INDEX(SPPR!$E:$X,MATCH($A332,SPPR!$A:$A,0),3)),$C332*INDEX(SPPR!$E:$X,MATCH($A332,SPPR!$A:$A,0),3),""),"")</f>
        <v/>
      </c>
      <c r="G332">
        <f>IFERROR(IF(ISNUMBER(INDEX(SPPR!$E:$X,MATCH($A332,SPPR!$A:$A,0),4)),$C332*INDEX(SPPR!$E:$X,MATCH($A332,SPPR!$A:$A,0),4),""),"")</f>
        <v/>
      </c>
      <c r="H332">
        <f>IFERROR(IF(ISNUMBER(INDEX(SPPR!$E:$X,MATCH($A332,SPPR!$A:$A,0),5)),$C332*INDEX(SPPR!$E:$X,MATCH($A332,SPPR!$A:$A,0),5),""),"")</f>
        <v/>
      </c>
      <c r="I332">
        <f>IFERROR(IF(ISNUMBER(INDEX(SPPR!$E:$X,MATCH($A332,SPPR!$A:$A,0),6)),$C332*INDEX(SPPR!$E:$X,MATCH($A332,SPPR!$A:$A,0),6),""),"")</f>
        <v/>
      </c>
      <c r="J332">
        <f>IFERROR(IF(ISNUMBER(INDEX(SPPR!$E:$X,MATCH($A332,SPPR!$A:$A,0),7)),$C332*INDEX(SPPR!$E:$X,MATCH($A332,SPPR!$A:$A,0),7),""),"")</f>
        <v/>
      </c>
      <c r="K332">
        <f>IFERROR(IF(ISNUMBER(INDEX(SPPR!$E:$X,MATCH($A332,SPPR!$A:$A,0),8)),$C332*INDEX(SPPR!$E:$X,MATCH($A332,SPPR!$A:$A,0),8),""),"")</f>
        <v/>
      </c>
      <c r="L332">
        <f>IFERROR(IF(ISNUMBER(INDEX(SPPR!$E:$X,MATCH($A332,SPPR!$A:$A,0),9)),$C332*INDEX(SPPR!$E:$X,MATCH($A332,SPPR!$A:$A,0),9),""),"")</f>
        <v/>
      </c>
      <c r="M332">
        <f>IFERROR(IF(ISNUMBER(INDEX(SPPR!$E:$X,MATCH($A332,SPPR!$A:$A,0),10)),$C332*INDEX(SPPR!$E:$X,MATCH($A332,SPPR!$A:$A,0),10),""),"")</f>
        <v/>
      </c>
      <c r="N332">
        <f>IFERROR(IF(ISNUMBER(INDEX(SPPR!$E:$X,MATCH($A332,SPPR!$A:$A,0),11)),$C332*INDEX(SPPR!$E:$X,MATCH($A332,SPPR!$A:$A,0),11),""),"")</f>
        <v/>
      </c>
      <c r="O332">
        <f>IFERROR(IF(ISNUMBER(INDEX(SPPR!$E:$X,MATCH($A332,SPPR!$A:$A,0),12)),$C332*INDEX(SPPR!$E:$X,MATCH($A332,SPPR!$A:$A,0),12),""),"")</f>
        <v/>
      </c>
      <c r="P332">
        <f>IFERROR(IF(ISNUMBER(INDEX(SPPR!$E:$X,MATCH($A332,SPPR!$A:$A,0),13)),$C332*INDEX(SPPR!$E:$X,MATCH($A332,SPPR!$A:$A,0),13),""),"")</f>
        <v/>
      </c>
      <c r="Q332">
        <f>IFERROR(IF(ISNUMBER(INDEX(SPPR!$E:$X,MATCH($A332,SPPR!$A:$A,0),14)),$C332*INDEX(SPPR!$E:$X,MATCH($A332,SPPR!$A:$A,0),14),""),"")</f>
        <v/>
      </c>
      <c r="R332">
        <f>IFERROR(IF(ISNUMBER(INDEX(SPPR!$E:$X,MATCH($A332,SPPR!$A:$A,0),15)),$C332*INDEX(SPPR!$E:$X,MATCH($A332,SPPR!$A:$A,0),15),""),"")</f>
        <v/>
      </c>
      <c r="S332">
        <f>IFERROR(IF(ISNUMBER(INDEX(SPPR!$E:$X,MATCH($A332,SPPR!$A:$A,0),16)),$C332*INDEX(SPPR!$E:$X,MATCH($A332,SPPR!$A:$A,0),16),""),"")</f>
        <v/>
      </c>
      <c r="T332">
        <f>IFERROR(IF(ISNUMBER(INDEX(SPPR!$E:$X,MATCH($A332,SPPR!$A:$A,0),17)),$C332*INDEX(SPPR!$E:$X,MATCH($A332,SPPR!$A:$A,0),17),""),"")</f>
        <v/>
      </c>
      <c r="U332">
        <f>IFERROR(IF(ISNUMBER(INDEX(SPPR!$E:$X,MATCH($A332,SPPR!$A:$A,0),18)),$C332*INDEX(SPPR!$E:$X,MATCH($A332,SPPR!$A:$A,0),18),""),"")</f>
        <v/>
      </c>
      <c r="V332">
        <f>IFERROR(IF(ISNUMBER(INDEX(SPPR!$E:$X,MATCH($A332,SPPR!$A:$A,0),19)),$C332*INDEX(SPPR!$E:$X,MATCH($A332,SPPR!$A:$A,0),19),""),"")</f>
        <v/>
      </c>
      <c r="W332">
        <f>IFERROR(IF(ISNUMBER(INDEX(SPPR!$E:$X,MATCH($A332,SPPR!$A:$A,0),20)),$C332*INDEX(SPPR!$E:$X,MATCH($A332,SPPR!$A:$A,0),20),""),"")</f>
        <v/>
      </c>
    </row>
    <row r="333">
      <c r="A333" t="inlineStr">
        <is>
          <t>Squatina squatina</t>
        </is>
      </c>
      <c r="B333">
        <f>IFERROR(INDEX(SPPR!$D:$D,MATCH($A333,SPPR!$A:$A,0)),"")</f>
        <v/>
      </c>
      <c r="C333">
        <f>IFERROR(INDEX(Catch!$E:$BV,MATCH($A333,Catch!$A:$A,0),MATCH($B$4,Catch!$E$1:$BV$1,0)),0)</f>
        <v/>
      </c>
      <c r="D333">
        <f>IFERROR(IF(ISNUMBER(INDEX(SPPR!$E:$X,MATCH($A333,SPPR!$A:$A,0),1)),$C333*INDEX(SPPR!$E:$X,MATCH($A333,SPPR!$A:$A,0),1),""),"")</f>
        <v/>
      </c>
      <c r="E333">
        <f>IFERROR(IF(ISNUMBER(INDEX(SPPR!$E:$X,MATCH($A333,SPPR!$A:$A,0),2)),$C333*INDEX(SPPR!$E:$X,MATCH($A333,SPPR!$A:$A,0),2),""),"")</f>
        <v/>
      </c>
      <c r="F333">
        <f>IFERROR(IF(ISNUMBER(INDEX(SPPR!$E:$X,MATCH($A333,SPPR!$A:$A,0),3)),$C333*INDEX(SPPR!$E:$X,MATCH($A333,SPPR!$A:$A,0),3),""),"")</f>
        <v/>
      </c>
      <c r="G333">
        <f>IFERROR(IF(ISNUMBER(INDEX(SPPR!$E:$X,MATCH($A333,SPPR!$A:$A,0),4)),$C333*INDEX(SPPR!$E:$X,MATCH($A333,SPPR!$A:$A,0),4),""),"")</f>
        <v/>
      </c>
      <c r="H333">
        <f>IFERROR(IF(ISNUMBER(INDEX(SPPR!$E:$X,MATCH($A333,SPPR!$A:$A,0),5)),$C333*INDEX(SPPR!$E:$X,MATCH($A333,SPPR!$A:$A,0),5),""),"")</f>
        <v/>
      </c>
      <c r="I333">
        <f>IFERROR(IF(ISNUMBER(INDEX(SPPR!$E:$X,MATCH($A333,SPPR!$A:$A,0),6)),$C333*INDEX(SPPR!$E:$X,MATCH($A333,SPPR!$A:$A,0),6),""),"")</f>
        <v/>
      </c>
      <c r="J333">
        <f>IFERROR(IF(ISNUMBER(INDEX(SPPR!$E:$X,MATCH($A333,SPPR!$A:$A,0),7)),$C333*INDEX(SPPR!$E:$X,MATCH($A333,SPPR!$A:$A,0),7),""),"")</f>
        <v/>
      </c>
      <c r="K333">
        <f>IFERROR(IF(ISNUMBER(INDEX(SPPR!$E:$X,MATCH($A333,SPPR!$A:$A,0),8)),$C333*INDEX(SPPR!$E:$X,MATCH($A333,SPPR!$A:$A,0),8),""),"")</f>
        <v/>
      </c>
      <c r="L333">
        <f>IFERROR(IF(ISNUMBER(INDEX(SPPR!$E:$X,MATCH($A333,SPPR!$A:$A,0),9)),$C333*INDEX(SPPR!$E:$X,MATCH($A333,SPPR!$A:$A,0),9),""),"")</f>
        <v/>
      </c>
      <c r="M333">
        <f>IFERROR(IF(ISNUMBER(INDEX(SPPR!$E:$X,MATCH($A333,SPPR!$A:$A,0),10)),$C333*INDEX(SPPR!$E:$X,MATCH($A333,SPPR!$A:$A,0),10),""),"")</f>
        <v/>
      </c>
      <c r="N333">
        <f>IFERROR(IF(ISNUMBER(INDEX(SPPR!$E:$X,MATCH($A333,SPPR!$A:$A,0),11)),$C333*INDEX(SPPR!$E:$X,MATCH($A333,SPPR!$A:$A,0),11),""),"")</f>
        <v/>
      </c>
      <c r="O333">
        <f>IFERROR(IF(ISNUMBER(INDEX(SPPR!$E:$X,MATCH($A333,SPPR!$A:$A,0),12)),$C333*INDEX(SPPR!$E:$X,MATCH($A333,SPPR!$A:$A,0),12),""),"")</f>
        <v/>
      </c>
      <c r="P333">
        <f>IFERROR(IF(ISNUMBER(INDEX(SPPR!$E:$X,MATCH($A333,SPPR!$A:$A,0),13)),$C333*INDEX(SPPR!$E:$X,MATCH($A333,SPPR!$A:$A,0),13),""),"")</f>
        <v/>
      </c>
      <c r="Q333">
        <f>IFERROR(IF(ISNUMBER(INDEX(SPPR!$E:$X,MATCH($A333,SPPR!$A:$A,0),14)),$C333*INDEX(SPPR!$E:$X,MATCH($A333,SPPR!$A:$A,0),14),""),"")</f>
        <v/>
      </c>
      <c r="R333">
        <f>IFERROR(IF(ISNUMBER(INDEX(SPPR!$E:$X,MATCH($A333,SPPR!$A:$A,0),15)),$C333*INDEX(SPPR!$E:$X,MATCH($A333,SPPR!$A:$A,0),15),""),"")</f>
        <v/>
      </c>
      <c r="S333">
        <f>IFERROR(IF(ISNUMBER(INDEX(SPPR!$E:$X,MATCH($A333,SPPR!$A:$A,0),16)),$C333*INDEX(SPPR!$E:$X,MATCH($A333,SPPR!$A:$A,0),16),""),"")</f>
        <v/>
      </c>
      <c r="T333">
        <f>IFERROR(IF(ISNUMBER(INDEX(SPPR!$E:$X,MATCH($A333,SPPR!$A:$A,0),17)),$C333*INDEX(SPPR!$E:$X,MATCH($A333,SPPR!$A:$A,0),17),""),"")</f>
        <v/>
      </c>
      <c r="U333">
        <f>IFERROR(IF(ISNUMBER(INDEX(SPPR!$E:$X,MATCH($A333,SPPR!$A:$A,0),18)),$C333*INDEX(SPPR!$E:$X,MATCH($A333,SPPR!$A:$A,0),18),""),"")</f>
        <v/>
      </c>
      <c r="V333">
        <f>IFERROR(IF(ISNUMBER(INDEX(SPPR!$E:$X,MATCH($A333,SPPR!$A:$A,0),19)),$C333*INDEX(SPPR!$E:$X,MATCH($A333,SPPR!$A:$A,0),19),""),"")</f>
        <v/>
      </c>
      <c r="W333">
        <f>IFERROR(IF(ISNUMBER(INDEX(SPPR!$E:$X,MATCH($A333,SPPR!$A:$A,0),20)),$C333*INDEX(SPPR!$E:$X,MATCH($A333,SPPR!$A:$A,0),20),""),"")</f>
        <v/>
      </c>
    </row>
    <row r="334">
      <c r="A334" t="inlineStr">
        <is>
          <t>Gaidropsarus</t>
        </is>
      </c>
      <c r="B334">
        <f>IFERROR(INDEX(SPPR!$D:$D,MATCH($A334,SPPR!$A:$A,0)),"")</f>
        <v/>
      </c>
      <c r="C334">
        <f>IFERROR(INDEX(Catch!$E:$BV,MATCH($A334,Catch!$A:$A,0),MATCH($B$4,Catch!$E$1:$BV$1,0)),0)</f>
        <v/>
      </c>
      <c r="D334">
        <f>IFERROR(IF(ISNUMBER(INDEX(SPPR!$E:$X,MATCH($A334,SPPR!$A:$A,0),1)),$C334*INDEX(SPPR!$E:$X,MATCH($A334,SPPR!$A:$A,0),1),""),"")</f>
        <v/>
      </c>
      <c r="E334">
        <f>IFERROR(IF(ISNUMBER(INDEX(SPPR!$E:$X,MATCH($A334,SPPR!$A:$A,0),2)),$C334*INDEX(SPPR!$E:$X,MATCH($A334,SPPR!$A:$A,0),2),""),"")</f>
        <v/>
      </c>
      <c r="F334">
        <f>IFERROR(IF(ISNUMBER(INDEX(SPPR!$E:$X,MATCH($A334,SPPR!$A:$A,0),3)),$C334*INDEX(SPPR!$E:$X,MATCH($A334,SPPR!$A:$A,0),3),""),"")</f>
        <v/>
      </c>
      <c r="G334">
        <f>IFERROR(IF(ISNUMBER(INDEX(SPPR!$E:$X,MATCH($A334,SPPR!$A:$A,0),4)),$C334*INDEX(SPPR!$E:$X,MATCH($A334,SPPR!$A:$A,0),4),""),"")</f>
        <v/>
      </c>
      <c r="H334">
        <f>IFERROR(IF(ISNUMBER(INDEX(SPPR!$E:$X,MATCH($A334,SPPR!$A:$A,0),5)),$C334*INDEX(SPPR!$E:$X,MATCH($A334,SPPR!$A:$A,0),5),""),"")</f>
        <v/>
      </c>
      <c r="I334">
        <f>IFERROR(IF(ISNUMBER(INDEX(SPPR!$E:$X,MATCH($A334,SPPR!$A:$A,0),6)),$C334*INDEX(SPPR!$E:$X,MATCH($A334,SPPR!$A:$A,0),6),""),"")</f>
        <v/>
      </c>
      <c r="J334">
        <f>IFERROR(IF(ISNUMBER(INDEX(SPPR!$E:$X,MATCH($A334,SPPR!$A:$A,0),7)),$C334*INDEX(SPPR!$E:$X,MATCH($A334,SPPR!$A:$A,0),7),""),"")</f>
        <v/>
      </c>
      <c r="K334">
        <f>IFERROR(IF(ISNUMBER(INDEX(SPPR!$E:$X,MATCH($A334,SPPR!$A:$A,0),8)),$C334*INDEX(SPPR!$E:$X,MATCH($A334,SPPR!$A:$A,0),8),""),"")</f>
        <v/>
      </c>
      <c r="L334">
        <f>IFERROR(IF(ISNUMBER(INDEX(SPPR!$E:$X,MATCH($A334,SPPR!$A:$A,0),9)),$C334*INDEX(SPPR!$E:$X,MATCH($A334,SPPR!$A:$A,0),9),""),"")</f>
        <v/>
      </c>
      <c r="M334">
        <f>IFERROR(IF(ISNUMBER(INDEX(SPPR!$E:$X,MATCH($A334,SPPR!$A:$A,0),10)),$C334*INDEX(SPPR!$E:$X,MATCH($A334,SPPR!$A:$A,0),10),""),"")</f>
        <v/>
      </c>
      <c r="N334">
        <f>IFERROR(IF(ISNUMBER(INDEX(SPPR!$E:$X,MATCH($A334,SPPR!$A:$A,0),11)),$C334*INDEX(SPPR!$E:$X,MATCH($A334,SPPR!$A:$A,0),11),""),"")</f>
        <v/>
      </c>
      <c r="O334">
        <f>IFERROR(IF(ISNUMBER(INDEX(SPPR!$E:$X,MATCH($A334,SPPR!$A:$A,0),12)),$C334*INDEX(SPPR!$E:$X,MATCH($A334,SPPR!$A:$A,0),12),""),"")</f>
        <v/>
      </c>
      <c r="P334">
        <f>IFERROR(IF(ISNUMBER(INDEX(SPPR!$E:$X,MATCH($A334,SPPR!$A:$A,0),13)),$C334*INDEX(SPPR!$E:$X,MATCH($A334,SPPR!$A:$A,0),13),""),"")</f>
        <v/>
      </c>
      <c r="Q334">
        <f>IFERROR(IF(ISNUMBER(INDEX(SPPR!$E:$X,MATCH($A334,SPPR!$A:$A,0),14)),$C334*INDEX(SPPR!$E:$X,MATCH($A334,SPPR!$A:$A,0),14),""),"")</f>
        <v/>
      </c>
      <c r="R334">
        <f>IFERROR(IF(ISNUMBER(INDEX(SPPR!$E:$X,MATCH($A334,SPPR!$A:$A,0),15)),$C334*INDEX(SPPR!$E:$X,MATCH($A334,SPPR!$A:$A,0),15),""),"")</f>
        <v/>
      </c>
      <c r="S334">
        <f>IFERROR(IF(ISNUMBER(INDEX(SPPR!$E:$X,MATCH($A334,SPPR!$A:$A,0),16)),$C334*INDEX(SPPR!$E:$X,MATCH($A334,SPPR!$A:$A,0),16),""),"")</f>
        <v/>
      </c>
      <c r="T334">
        <f>IFERROR(IF(ISNUMBER(INDEX(SPPR!$E:$X,MATCH($A334,SPPR!$A:$A,0),17)),$C334*INDEX(SPPR!$E:$X,MATCH($A334,SPPR!$A:$A,0),17),""),"")</f>
        <v/>
      </c>
      <c r="U334">
        <f>IFERROR(IF(ISNUMBER(INDEX(SPPR!$E:$X,MATCH($A334,SPPR!$A:$A,0),18)),$C334*INDEX(SPPR!$E:$X,MATCH($A334,SPPR!$A:$A,0),18),""),"")</f>
        <v/>
      </c>
      <c r="V334">
        <f>IFERROR(IF(ISNUMBER(INDEX(SPPR!$E:$X,MATCH($A334,SPPR!$A:$A,0),19)),$C334*INDEX(SPPR!$E:$X,MATCH($A334,SPPR!$A:$A,0),19),""),"")</f>
        <v/>
      </c>
      <c r="W334">
        <f>IFERROR(IF(ISNUMBER(INDEX(SPPR!$E:$X,MATCH($A334,SPPR!$A:$A,0),20)),$C334*INDEX(SPPR!$E:$X,MATCH($A334,SPPR!$A:$A,0),20),""),"")</f>
        <v/>
      </c>
    </row>
    <row r="335">
      <c r="A335" t="inlineStr">
        <is>
          <t>Liocarcinus depurator</t>
        </is>
      </c>
      <c r="B335">
        <f>IFERROR(INDEX(SPPR!$D:$D,MATCH($A335,SPPR!$A:$A,0)),"")</f>
        <v/>
      </c>
      <c r="C335">
        <f>IFERROR(INDEX(Catch!$E:$BV,MATCH($A335,Catch!$A:$A,0),MATCH($B$4,Catch!$E$1:$BV$1,0)),0)</f>
        <v/>
      </c>
      <c r="D335">
        <f>IFERROR(IF(ISNUMBER(INDEX(SPPR!$E:$X,MATCH($A335,SPPR!$A:$A,0),1)),$C335*INDEX(SPPR!$E:$X,MATCH($A335,SPPR!$A:$A,0),1),""),"")</f>
        <v/>
      </c>
      <c r="E335">
        <f>IFERROR(IF(ISNUMBER(INDEX(SPPR!$E:$X,MATCH($A335,SPPR!$A:$A,0),2)),$C335*INDEX(SPPR!$E:$X,MATCH($A335,SPPR!$A:$A,0),2),""),"")</f>
        <v/>
      </c>
      <c r="F335">
        <f>IFERROR(IF(ISNUMBER(INDEX(SPPR!$E:$X,MATCH($A335,SPPR!$A:$A,0),3)),$C335*INDEX(SPPR!$E:$X,MATCH($A335,SPPR!$A:$A,0),3),""),"")</f>
        <v/>
      </c>
      <c r="G335">
        <f>IFERROR(IF(ISNUMBER(INDEX(SPPR!$E:$X,MATCH($A335,SPPR!$A:$A,0),4)),$C335*INDEX(SPPR!$E:$X,MATCH($A335,SPPR!$A:$A,0),4),""),"")</f>
        <v/>
      </c>
      <c r="H335">
        <f>IFERROR(IF(ISNUMBER(INDEX(SPPR!$E:$X,MATCH($A335,SPPR!$A:$A,0),5)),$C335*INDEX(SPPR!$E:$X,MATCH($A335,SPPR!$A:$A,0),5),""),"")</f>
        <v/>
      </c>
      <c r="I335">
        <f>IFERROR(IF(ISNUMBER(INDEX(SPPR!$E:$X,MATCH($A335,SPPR!$A:$A,0),6)),$C335*INDEX(SPPR!$E:$X,MATCH($A335,SPPR!$A:$A,0),6),""),"")</f>
        <v/>
      </c>
      <c r="J335">
        <f>IFERROR(IF(ISNUMBER(INDEX(SPPR!$E:$X,MATCH($A335,SPPR!$A:$A,0),7)),$C335*INDEX(SPPR!$E:$X,MATCH($A335,SPPR!$A:$A,0),7),""),"")</f>
        <v/>
      </c>
      <c r="K335">
        <f>IFERROR(IF(ISNUMBER(INDEX(SPPR!$E:$X,MATCH($A335,SPPR!$A:$A,0),8)),$C335*INDEX(SPPR!$E:$X,MATCH($A335,SPPR!$A:$A,0),8),""),"")</f>
        <v/>
      </c>
      <c r="L335">
        <f>IFERROR(IF(ISNUMBER(INDEX(SPPR!$E:$X,MATCH($A335,SPPR!$A:$A,0),9)),$C335*INDEX(SPPR!$E:$X,MATCH($A335,SPPR!$A:$A,0),9),""),"")</f>
        <v/>
      </c>
      <c r="M335">
        <f>IFERROR(IF(ISNUMBER(INDEX(SPPR!$E:$X,MATCH($A335,SPPR!$A:$A,0),10)),$C335*INDEX(SPPR!$E:$X,MATCH($A335,SPPR!$A:$A,0),10),""),"")</f>
        <v/>
      </c>
      <c r="N335">
        <f>IFERROR(IF(ISNUMBER(INDEX(SPPR!$E:$X,MATCH($A335,SPPR!$A:$A,0),11)),$C335*INDEX(SPPR!$E:$X,MATCH($A335,SPPR!$A:$A,0),11),""),"")</f>
        <v/>
      </c>
      <c r="O335">
        <f>IFERROR(IF(ISNUMBER(INDEX(SPPR!$E:$X,MATCH($A335,SPPR!$A:$A,0),12)),$C335*INDEX(SPPR!$E:$X,MATCH($A335,SPPR!$A:$A,0),12),""),"")</f>
        <v/>
      </c>
      <c r="P335">
        <f>IFERROR(IF(ISNUMBER(INDEX(SPPR!$E:$X,MATCH($A335,SPPR!$A:$A,0),13)),$C335*INDEX(SPPR!$E:$X,MATCH($A335,SPPR!$A:$A,0),13),""),"")</f>
        <v/>
      </c>
      <c r="Q335">
        <f>IFERROR(IF(ISNUMBER(INDEX(SPPR!$E:$X,MATCH($A335,SPPR!$A:$A,0),14)),$C335*INDEX(SPPR!$E:$X,MATCH($A335,SPPR!$A:$A,0),14),""),"")</f>
        <v/>
      </c>
      <c r="R335">
        <f>IFERROR(IF(ISNUMBER(INDEX(SPPR!$E:$X,MATCH($A335,SPPR!$A:$A,0),15)),$C335*INDEX(SPPR!$E:$X,MATCH($A335,SPPR!$A:$A,0),15),""),"")</f>
        <v/>
      </c>
      <c r="S335">
        <f>IFERROR(IF(ISNUMBER(INDEX(SPPR!$E:$X,MATCH($A335,SPPR!$A:$A,0),16)),$C335*INDEX(SPPR!$E:$X,MATCH($A335,SPPR!$A:$A,0),16),""),"")</f>
        <v/>
      </c>
      <c r="T335">
        <f>IFERROR(IF(ISNUMBER(INDEX(SPPR!$E:$X,MATCH($A335,SPPR!$A:$A,0),17)),$C335*INDEX(SPPR!$E:$X,MATCH($A335,SPPR!$A:$A,0),17),""),"")</f>
        <v/>
      </c>
      <c r="U335">
        <f>IFERROR(IF(ISNUMBER(INDEX(SPPR!$E:$X,MATCH($A335,SPPR!$A:$A,0),18)),$C335*INDEX(SPPR!$E:$X,MATCH($A335,SPPR!$A:$A,0),18),""),"")</f>
        <v/>
      </c>
      <c r="V335">
        <f>IFERROR(IF(ISNUMBER(INDEX(SPPR!$E:$X,MATCH($A335,SPPR!$A:$A,0),19)),$C335*INDEX(SPPR!$E:$X,MATCH($A335,SPPR!$A:$A,0),19),""),"")</f>
        <v/>
      </c>
      <c r="W335">
        <f>IFERROR(IF(ISNUMBER(INDEX(SPPR!$E:$X,MATCH($A335,SPPR!$A:$A,0),20)),$C335*INDEX(SPPR!$E:$X,MATCH($A335,SPPR!$A:$A,0),20),""),"")</f>
        <v/>
      </c>
    </row>
    <row r="336">
      <c r="A336" t="inlineStr">
        <is>
          <t>Hypophthalmichthys nobilis</t>
        </is>
      </c>
      <c r="B336">
        <f>IFERROR(INDEX(SPPR!$D:$D,MATCH($A336,SPPR!$A:$A,0)),"")</f>
        <v/>
      </c>
      <c r="C336">
        <f>IFERROR(INDEX(Catch!$E:$BV,MATCH($A336,Catch!$A:$A,0),MATCH($B$4,Catch!$E$1:$BV$1,0)),0)</f>
        <v/>
      </c>
      <c r="D336">
        <f>IFERROR(IF(ISNUMBER(INDEX(SPPR!$E:$X,MATCH($A336,SPPR!$A:$A,0),1)),$C336*INDEX(SPPR!$E:$X,MATCH($A336,SPPR!$A:$A,0),1),""),"")</f>
        <v/>
      </c>
      <c r="E336">
        <f>IFERROR(IF(ISNUMBER(INDEX(SPPR!$E:$X,MATCH($A336,SPPR!$A:$A,0),2)),$C336*INDEX(SPPR!$E:$X,MATCH($A336,SPPR!$A:$A,0),2),""),"")</f>
        <v/>
      </c>
      <c r="F336">
        <f>IFERROR(IF(ISNUMBER(INDEX(SPPR!$E:$X,MATCH($A336,SPPR!$A:$A,0),3)),$C336*INDEX(SPPR!$E:$X,MATCH($A336,SPPR!$A:$A,0),3),""),"")</f>
        <v/>
      </c>
      <c r="G336">
        <f>IFERROR(IF(ISNUMBER(INDEX(SPPR!$E:$X,MATCH($A336,SPPR!$A:$A,0),4)),$C336*INDEX(SPPR!$E:$X,MATCH($A336,SPPR!$A:$A,0),4),""),"")</f>
        <v/>
      </c>
      <c r="H336">
        <f>IFERROR(IF(ISNUMBER(INDEX(SPPR!$E:$X,MATCH($A336,SPPR!$A:$A,0),5)),$C336*INDEX(SPPR!$E:$X,MATCH($A336,SPPR!$A:$A,0),5),""),"")</f>
        <v/>
      </c>
      <c r="I336">
        <f>IFERROR(IF(ISNUMBER(INDEX(SPPR!$E:$X,MATCH($A336,SPPR!$A:$A,0),6)),$C336*INDEX(SPPR!$E:$X,MATCH($A336,SPPR!$A:$A,0),6),""),"")</f>
        <v/>
      </c>
      <c r="J336">
        <f>IFERROR(IF(ISNUMBER(INDEX(SPPR!$E:$X,MATCH($A336,SPPR!$A:$A,0),7)),$C336*INDEX(SPPR!$E:$X,MATCH($A336,SPPR!$A:$A,0),7),""),"")</f>
        <v/>
      </c>
      <c r="K336">
        <f>IFERROR(IF(ISNUMBER(INDEX(SPPR!$E:$X,MATCH($A336,SPPR!$A:$A,0),8)),$C336*INDEX(SPPR!$E:$X,MATCH($A336,SPPR!$A:$A,0),8),""),"")</f>
        <v/>
      </c>
      <c r="L336">
        <f>IFERROR(IF(ISNUMBER(INDEX(SPPR!$E:$X,MATCH($A336,SPPR!$A:$A,0),9)),$C336*INDEX(SPPR!$E:$X,MATCH($A336,SPPR!$A:$A,0),9),""),"")</f>
        <v/>
      </c>
      <c r="M336">
        <f>IFERROR(IF(ISNUMBER(INDEX(SPPR!$E:$X,MATCH($A336,SPPR!$A:$A,0),10)),$C336*INDEX(SPPR!$E:$X,MATCH($A336,SPPR!$A:$A,0),10),""),"")</f>
        <v/>
      </c>
      <c r="N336">
        <f>IFERROR(IF(ISNUMBER(INDEX(SPPR!$E:$X,MATCH($A336,SPPR!$A:$A,0),11)),$C336*INDEX(SPPR!$E:$X,MATCH($A336,SPPR!$A:$A,0),11),""),"")</f>
        <v/>
      </c>
      <c r="O336">
        <f>IFERROR(IF(ISNUMBER(INDEX(SPPR!$E:$X,MATCH($A336,SPPR!$A:$A,0),12)),$C336*INDEX(SPPR!$E:$X,MATCH($A336,SPPR!$A:$A,0),12),""),"")</f>
        <v/>
      </c>
      <c r="P336">
        <f>IFERROR(IF(ISNUMBER(INDEX(SPPR!$E:$X,MATCH($A336,SPPR!$A:$A,0),13)),$C336*INDEX(SPPR!$E:$X,MATCH($A336,SPPR!$A:$A,0),13),""),"")</f>
        <v/>
      </c>
      <c r="Q336">
        <f>IFERROR(IF(ISNUMBER(INDEX(SPPR!$E:$X,MATCH($A336,SPPR!$A:$A,0),14)),$C336*INDEX(SPPR!$E:$X,MATCH($A336,SPPR!$A:$A,0),14),""),"")</f>
        <v/>
      </c>
      <c r="R336">
        <f>IFERROR(IF(ISNUMBER(INDEX(SPPR!$E:$X,MATCH($A336,SPPR!$A:$A,0),15)),$C336*INDEX(SPPR!$E:$X,MATCH($A336,SPPR!$A:$A,0),15),""),"")</f>
        <v/>
      </c>
      <c r="S336">
        <f>IFERROR(IF(ISNUMBER(INDEX(SPPR!$E:$X,MATCH($A336,SPPR!$A:$A,0),16)),$C336*INDEX(SPPR!$E:$X,MATCH($A336,SPPR!$A:$A,0),16),""),"")</f>
        <v/>
      </c>
      <c r="T336">
        <f>IFERROR(IF(ISNUMBER(INDEX(SPPR!$E:$X,MATCH($A336,SPPR!$A:$A,0),17)),$C336*INDEX(SPPR!$E:$X,MATCH($A336,SPPR!$A:$A,0),17),""),"")</f>
        <v/>
      </c>
      <c r="U336">
        <f>IFERROR(IF(ISNUMBER(INDEX(SPPR!$E:$X,MATCH($A336,SPPR!$A:$A,0),18)),$C336*INDEX(SPPR!$E:$X,MATCH($A336,SPPR!$A:$A,0),18),""),"")</f>
        <v/>
      </c>
      <c r="V336">
        <f>IFERROR(IF(ISNUMBER(INDEX(SPPR!$E:$X,MATCH($A336,SPPR!$A:$A,0),19)),$C336*INDEX(SPPR!$E:$X,MATCH($A336,SPPR!$A:$A,0),19),""),"")</f>
        <v/>
      </c>
      <c r="W336">
        <f>IFERROR(IF(ISNUMBER(INDEX(SPPR!$E:$X,MATCH($A336,SPPR!$A:$A,0),20)),$C336*INDEX(SPPR!$E:$X,MATCH($A336,SPPR!$A:$A,0),20),""),"")</f>
        <v/>
      </c>
    </row>
    <row r="337">
      <c r="A337" t="inlineStr">
        <is>
          <t>Somniosus microcephalus</t>
        </is>
      </c>
      <c r="B337">
        <f>IFERROR(INDEX(SPPR!$D:$D,MATCH($A337,SPPR!$A:$A,0)),"")</f>
        <v/>
      </c>
      <c r="C337">
        <f>IFERROR(INDEX(Catch!$E:$BV,MATCH($A337,Catch!$A:$A,0),MATCH($B$4,Catch!$E$1:$BV$1,0)),0)</f>
        <v/>
      </c>
      <c r="D337">
        <f>IFERROR(IF(ISNUMBER(INDEX(SPPR!$E:$X,MATCH($A337,SPPR!$A:$A,0),1)),$C337*INDEX(SPPR!$E:$X,MATCH($A337,SPPR!$A:$A,0),1),""),"")</f>
        <v/>
      </c>
      <c r="E337">
        <f>IFERROR(IF(ISNUMBER(INDEX(SPPR!$E:$X,MATCH($A337,SPPR!$A:$A,0),2)),$C337*INDEX(SPPR!$E:$X,MATCH($A337,SPPR!$A:$A,0),2),""),"")</f>
        <v/>
      </c>
      <c r="F337">
        <f>IFERROR(IF(ISNUMBER(INDEX(SPPR!$E:$X,MATCH($A337,SPPR!$A:$A,0),3)),$C337*INDEX(SPPR!$E:$X,MATCH($A337,SPPR!$A:$A,0),3),""),"")</f>
        <v/>
      </c>
      <c r="G337">
        <f>IFERROR(IF(ISNUMBER(INDEX(SPPR!$E:$X,MATCH($A337,SPPR!$A:$A,0),4)),$C337*INDEX(SPPR!$E:$X,MATCH($A337,SPPR!$A:$A,0),4),""),"")</f>
        <v/>
      </c>
      <c r="H337">
        <f>IFERROR(IF(ISNUMBER(INDEX(SPPR!$E:$X,MATCH($A337,SPPR!$A:$A,0),5)),$C337*INDEX(SPPR!$E:$X,MATCH($A337,SPPR!$A:$A,0),5),""),"")</f>
        <v/>
      </c>
      <c r="I337">
        <f>IFERROR(IF(ISNUMBER(INDEX(SPPR!$E:$X,MATCH($A337,SPPR!$A:$A,0),6)),$C337*INDEX(SPPR!$E:$X,MATCH($A337,SPPR!$A:$A,0),6),""),"")</f>
        <v/>
      </c>
      <c r="J337">
        <f>IFERROR(IF(ISNUMBER(INDEX(SPPR!$E:$X,MATCH($A337,SPPR!$A:$A,0),7)),$C337*INDEX(SPPR!$E:$X,MATCH($A337,SPPR!$A:$A,0),7),""),"")</f>
        <v/>
      </c>
      <c r="K337">
        <f>IFERROR(IF(ISNUMBER(INDEX(SPPR!$E:$X,MATCH($A337,SPPR!$A:$A,0),8)),$C337*INDEX(SPPR!$E:$X,MATCH($A337,SPPR!$A:$A,0),8),""),"")</f>
        <v/>
      </c>
      <c r="L337">
        <f>IFERROR(IF(ISNUMBER(INDEX(SPPR!$E:$X,MATCH($A337,SPPR!$A:$A,0),9)),$C337*INDEX(SPPR!$E:$X,MATCH($A337,SPPR!$A:$A,0),9),""),"")</f>
        <v/>
      </c>
      <c r="M337">
        <f>IFERROR(IF(ISNUMBER(INDEX(SPPR!$E:$X,MATCH($A337,SPPR!$A:$A,0),10)),$C337*INDEX(SPPR!$E:$X,MATCH($A337,SPPR!$A:$A,0),10),""),"")</f>
        <v/>
      </c>
      <c r="N337">
        <f>IFERROR(IF(ISNUMBER(INDEX(SPPR!$E:$X,MATCH($A337,SPPR!$A:$A,0),11)),$C337*INDEX(SPPR!$E:$X,MATCH($A337,SPPR!$A:$A,0),11),""),"")</f>
        <v/>
      </c>
      <c r="O337">
        <f>IFERROR(IF(ISNUMBER(INDEX(SPPR!$E:$X,MATCH($A337,SPPR!$A:$A,0),12)),$C337*INDEX(SPPR!$E:$X,MATCH($A337,SPPR!$A:$A,0),12),""),"")</f>
        <v/>
      </c>
      <c r="P337">
        <f>IFERROR(IF(ISNUMBER(INDEX(SPPR!$E:$X,MATCH($A337,SPPR!$A:$A,0),13)),$C337*INDEX(SPPR!$E:$X,MATCH($A337,SPPR!$A:$A,0),13),""),"")</f>
        <v/>
      </c>
      <c r="Q337">
        <f>IFERROR(IF(ISNUMBER(INDEX(SPPR!$E:$X,MATCH($A337,SPPR!$A:$A,0),14)),$C337*INDEX(SPPR!$E:$X,MATCH($A337,SPPR!$A:$A,0),14),""),"")</f>
        <v/>
      </c>
      <c r="R337">
        <f>IFERROR(IF(ISNUMBER(INDEX(SPPR!$E:$X,MATCH($A337,SPPR!$A:$A,0),15)),$C337*INDEX(SPPR!$E:$X,MATCH($A337,SPPR!$A:$A,0),15),""),"")</f>
        <v/>
      </c>
      <c r="S337">
        <f>IFERROR(IF(ISNUMBER(INDEX(SPPR!$E:$X,MATCH($A337,SPPR!$A:$A,0),16)),$C337*INDEX(SPPR!$E:$X,MATCH($A337,SPPR!$A:$A,0),16),""),"")</f>
        <v/>
      </c>
      <c r="T337">
        <f>IFERROR(IF(ISNUMBER(INDEX(SPPR!$E:$X,MATCH($A337,SPPR!$A:$A,0),17)),$C337*INDEX(SPPR!$E:$X,MATCH($A337,SPPR!$A:$A,0),17),""),"")</f>
        <v/>
      </c>
      <c r="U337">
        <f>IFERROR(IF(ISNUMBER(INDEX(SPPR!$E:$X,MATCH($A337,SPPR!$A:$A,0),18)),$C337*INDEX(SPPR!$E:$X,MATCH($A337,SPPR!$A:$A,0),18),""),"")</f>
        <v/>
      </c>
      <c r="V337">
        <f>IFERROR(IF(ISNUMBER(INDEX(SPPR!$E:$X,MATCH($A337,SPPR!$A:$A,0),19)),$C337*INDEX(SPPR!$E:$X,MATCH($A337,SPPR!$A:$A,0),19),""),"")</f>
        <v/>
      </c>
      <c r="W337">
        <f>IFERROR(IF(ISNUMBER(INDEX(SPPR!$E:$X,MATCH($A337,SPPR!$A:$A,0),20)),$C337*INDEX(SPPR!$E:$X,MATCH($A337,SPPR!$A:$A,0),20),""),"")</f>
        <v/>
      </c>
    </row>
    <row r="338">
      <c r="A338" t="inlineStr">
        <is>
          <t>Venus verrucosa</t>
        </is>
      </c>
      <c r="B338">
        <f>IFERROR(INDEX(SPPR!$D:$D,MATCH($A338,SPPR!$A:$A,0)),"")</f>
        <v/>
      </c>
      <c r="C338">
        <f>IFERROR(INDEX(Catch!$E:$BV,MATCH($A338,Catch!$A:$A,0),MATCH($B$4,Catch!$E$1:$BV$1,0)),0)</f>
        <v/>
      </c>
      <c r="D338">
        <f>IFERROR(IF(ISNUMBER(INDEX(SPPR!$E:$X,MATCH($A338,SPPR!$A:$A,0),1)),$C338*INDEX(SPPR!$E:$X,MATCH($A338,SPPR!$A:$A,0),1),""),"")</f>
        <v/>
      </c>
      <c r="E338">
        <f>IFERROR(IF(ISNUMBER(INDEX(SPPR!$E:$X,MATCH($A338,SPPR!$A:$A,0),2)),$C338*INDEX(SPPR!$E:$X,MATCH($A338,SPPR!$A:$A,0),2),""),"")</f>
        <v/>
      </c>
      <c r="F338">
        <f>IFERROR(IF(ISNUMBER(INDEX(SPPR!$E:$X,MATCH($A338,SPPR!$A:$A,0),3)),$C338*INDEX(SPPR!$E:$X,MATCH($A338,SPPR!$A:$A,0),3),""),"")</f>
        <v/>
      </c>
      <c r="G338">
        <f>IFERROR(IF(ISNUMBER(INDEX(SPPR!$E:$X,MATCH($A338,SPPR!$A:$A,0),4)),$C338*INDEX(SPPR!$E:$X,MATCH($A338,SPPR!$A:$A,0),4),""),"")</f>
        <v/>
      </c>
      <c r="H338">
        <f>IFERROR(IF(ISNUMBER(INDEX(SPPR!$E:$X,MATCH($A338,SPPR!$A:$A,0),5)),$C338*INDEX(SPPR!$E:$X,MATCH($A338,SPPR!$A:$A,0),5),""),"")</f>
        <v/>
      </c>
      <c r="I338">
        <f>IFERROR(IF(ISNUMBER(INDEX(SPPR!$E:$X,MATCH($A338,SPPR!$A:$A,0),6)),$C338*INDEX(SPPR!$E:$X,MATCH($A338,SPPR!$A:$A,0),6),""),"")</f>
        <v/>
      </c>
      <c r="J338">
        <f>IFERROR(IF(ISNUMBER(INDEX(SPPR!$E:$X,MATCH($A338,SPPR!$A:$A,0),7)),$C338*INDEX(SPPR!$E:$X,MATCH($A338,SPPR!$A:$A,0),7),""),"")</f>
        <v/>
      </c>
      <c r="K338">
        <f>IFERROR(IF(ISNUMBER(INDEX(SPPR!$E:$X,MATCH($A338,SPPR!$A:$A,0),8)),$C338*INDEX(SPPR!$E:$X,MATCH($A338,SPPR!$A:$A,0),8),""),"")</f>
        <v/>
      </c>
      <c r="L338">
        <f>IFERROR(IF(ISNUMBER(INDEX(SPPR!$E:$X,MATCH($A338,SPPR!$A:$A,0),9)),$C338*INDEX(SPPR!$E:$X,MATCH($A338,SPPR!$A:$A,0),9),""),"")</f>
        <v/>
      </c>
      <c r="M338">
        <f>IFERROR(IF(ISNUMBER(INDEX(SPPR!$E:$X,MATCH($A338,SPPR!$A:$A,0),10)),$C338*INDEX(SPPR!$E:$X,MATCH($A338,SPPR!$A:$A,0),10),""),"")</f>
        <v/>
      </c>
      <c r="N338">
        <f>IFERROR(IF(ISNUMBER(INDEX(SPPR!$E:$X,MATCH($A338,SPPR!$A:$A,0),11)),$C338*INDEX(SPPR!$E:$X,MATCH($A338,SPPR!$A:$A,0),11),""),"")</f>
        <v/>
      </c>
      <c r="O338">
        <f>IFERROR(IF(ISNUMBER(INDEX(SPPR!$E:$X,MATCH($A338,SPPR!$A:$A,0),12)),$C338*INDEX(SPPR!$E:$X,MATCH($A338,SPPR!$A:$A,0),12),""),"")</f>
        <v/>
      </c>
      <c r="P338">
        <f>IFERROR(IF(ISNUMBER(INDEX(SPPR!$E:$X,MATCH($A338,SPPR!$A:$A,0),13)),$C338*INDEX(SPPR!$E:$X,MATCH($A338,SPPR!$A:$A,0),13),""),"")</f>
        <v/>
      </c>
      <c r="Q338">
        <f>IFERROR(IF(ISNUMBER(INDEX(SPPR!$E:$X,MATCH($A338,SPPR!$A:$A,0),14)),$C338*INDEX(SPPR!$E:$X,MATCH($A338,SPPR!$A:$A,0),14),""),"")</f>
        <v/>
      </c>
      <c r="R338">
        <f>IFERROR(IF(ISNUMBER(INDEX(SPPR!$E:$X,MATCH($A338,SPPR!$A:$A,0),15)),$C338*INDEX(SPPR!$E:$X,MATCH($A338,SPPR!$A:$A,0),15),""),"")</f>
        <v/>
      </c>
      <c r="S338">
        <f>IFERROR(IF(ISNUMBER(INDEX(SPPR!$E:$X,MATCH($A338,SPPR!$A:$A,0),16)),$C338*INDEX(SPPR!$E:$X,MATCH($A338,SPPR!$A:$A,0),16),""),"")</f>
        <v/>
      </c>
      <c r="T338">
        <f>IFERROR(IF(ISNUMBER(INDEX(SPPR!$E:$X,MATCH($A338,SPPR!$A:$A,0),17)),$C338*INDEX(SPPR!$E:$X,MATCH($A338,SPPR!$A:$A,0),17),""),"")</f>
        <v/>
      </c>
      <c r="U338">
        <f>IFERROR(IF(ISNUMBER(INDEX(SPPR!$E:$X,MATCH($A338,SPPR!$A:$A,0),18)),$C338*INDEX(SPPR!$E:$X,MATCH($A338,SPPR!$A:$A,0),18),""),"")</f>
        <v/>
      </c>
      <c r="V338">
        <f>IFERROR(IF(ISNUMBER(INDEX(SPPR!$E:$X,MATCH($A338,SPPR!$A:$A,0),19)),$C338*INDEX(SPPR!$E:$X,MATCH($A338,SPPR!$A:$A,0),19),""),"")</f>
        <v/>
      </c>
      <c r="W338">
        <f>IFERROR(IF(ISNUMBER(INDEX(SPPR!$E:$X,MATCH($A338,SPPR!$A:$A,0),20)),$C338*INDEX(SPPR!$E:$X,MATCH($A338,SPPR!$A:$A,0),20),""),"")</f>
        <v/>
      </c>
    </row>
    <row r="339">
      <c r="A339" t="inlineStr">
        <is>
          <t>Scorpaena scrofa</t>
        </is>
      </c>
      <c r="B339">
        <f>IFERROR(INDEX(SPPR!$D:$D,MATCH($A339,SPPR!$A:$A,0)),"")</f>
        <v/>
      </c>
      <c r="C339">
        <f>IFERROR(INDEX(Catch!$E:$BV,MATCH($A339,Catch!$A:$A,0),MATCH($B$4,Catch!$E$1:$BV$1,0)),0)</f>
        <v/>
      </c>
      <c r="D339">
        <f>IFERROR(IF(ISNUMBER(INDEX(SPPR!$E:$X,MATCH($A339,SPPR!$A:$A,0),1)),$C339*INDEX(SPPR!$E:$X,MATCH($A339,SPPR!$A:$A,0),1),""),"")</f>
        <v/>
      </c>
      <c r="E339">
        <f>IFERROR(IF(ISNUMBER(INDEX(SPPR!$E:$X,MATCH($A339,SPPR!$A:$A,0),2)),$C339*INDEX(SPPR!$E:$X,MATCH($A339,SPPR!$A:$A,0),2),""),"")</f>
        <v/>
      </c>
      <c r="F339">
        <f>IFERROR(IF(ISNUMBER(INDEX(SPPR!$E:$X,MATCH($A339,SPPR!$A:$A,0),3)),$C339*INDEX(SPPR!$E:$X,MATCH($A339,SPPR!$A:$A,0),3),""),"")</f>
        <v/>
      </c>
      <c r="G339">
        <f>IFERROR(IF(ISNUMBER(INDEX(SPPR!$E:$X,MATCH($A339,SPPR!$A:$A,0),4)),$C339*INDEX(SPPR!$E:$X,MATCH($A339,SPPR!$A:$A,0),4),""),"")</f>
        <v/>
      </c>
      <c r="H339">
        <f>IFERROR(IF(ISNUMBER(INDEX(SPPR!$E:$X,MATCH($A339,SPPR!$A:$A,0),5)),$C339*INDEX(SPPR!$E:$X,MATCH($A339,SPPR!$A:$A,0),5),""),"")</f>
        <v/>
      </c>
      <c r="I339">
        <f>IFERROR(IF(ISNUMBER(INDEX(SPPR!$E:$X,MATCH($A339,SPPR!$A:$A,0),6)),$C339*INDEX(SPPR!$E:$X,MATCH($A339,SPPR!$A:$A,0),6),""),"")</f>
        <v/>
      </c>
      <c r="J339">
        <f>IFERROR(IF(ISNUMBER(INDEX(SPPR!$E:$X,MATCH($A339,SPPR!$A:$A,0),7)),$C339*INDEX(SPPR!$E:$X,MATCH($A339,SPPR!$A:$A,0),7),""),"")</f>
        <v/>
      </c>
      <c r="K339">
        <f>IFERROR(IF(ISNUMBER(INDEX(SPPR!$E:$X,MATCH($A339,SPPR!$A:$A,0),8)),$C339*INDEX(SPPR!$E:$X,MATCH($A339,SPPR!$A:$A,0),8),""),"")</f>
        <v/>
      </c>
      <c r="L339">
        <f>IFERROR(IF(ISNUMBER(INDEX(SPPR!$E:$X,MATCH($A339,SPPR!$A:$A,0),9)),$C339*INDEX(SPPR!$E:$X,MATCH($A339,SPPR!$A:$A,0),9),""),"")</f>
        <v/>
      </c>
      <c r="M339">
        <f>IFERROR(IF(ISNUMBER(INDEX(SPPR!$E:$X,MATCH($A339,SPPR!$A:$A,0),10)),$C339*INDEX(SPPR!$E:$X,MATCH($A339,SPPR!$A:$A,0),10),""),"")</f>
        <v/>
      </c>
      <c r="N339">
        <f>IFERROR(IF(ISNUMBER(INDEX(SPPR!$E:$X,MATCH($A339,SPPR!$A:$A,0),11)),$C339*INDEX(SPPR!$E:$X,MATCH($A339,SPPR!$A:$A,0),11),""),"")</f>
        <v/>
      </c>
      <c r="O339">
        <f>IFERROR(IF(ISNUMBER(INDEX(SPPR!$E:$X,MATCH($A339,SPPR!$A:$A,0),12)),$C339*INDEX(SPPR!$E:$X,MATCH($A339,SPPR!$A:$A,0),12),""),"")</f>
        <v/>
      </c>
      <c r="P339">
        <f>IFERROR(IF(ISNUMBER(INDEX(SPPR!$E:$X,MATCH($A339,SPPR!$A:$A,0),13)),$C339*INDEX(SPPR!$E:$X,MATCH($A339,SPPR!$A:$A,0),13),""),"")</f>
        <v/>
      </c>
      <c r="Q339">
        <f>IFERROR(IF(ISNUMBER(INDEX(SPPR!$E:$X,MATCH($A339,SPPR!$A:$A,0),14)),$C339*INDEX(SPPR!$E:$X,MATCH($A339,SPPR!$A:$A,0),14),""),"")</f>
        <v/>
      </c>
      <c r="R339">
        <f>IFERROR(IF(ISNUMBER(INDEX(SPPR!$E:$X,MATCH($A339,SPPR!$A:$A,0),15)),$C339*INDEX(SPPR!$E:$X,MATCH($A339,SPPR!$A:$A,0),15),""),"")</f>
        <v/>
      </c>
      <c r="S339">
        <f>IFERROR(IF(ISNUMBER(INDEX(SPPR!$E:$X,MATCH($A339,SPPR!$A:$A,0),16)),$C339*INDEX(SPPR!$E:$X,MATCH($A339,SPPR!$A:$A,0),16),""),"")</f>
        <v/>
      </c>
      <c r="T339">
        <f>IFERROR(IF(ISNUMBER(INDEX(SPPR!$E:$X,MATCH($A339,SPPR!$A:$A,0),17)),$C339*INDEX(SPPR!$E:$X,MATCH($A339,SPPR!$A:$A,0),17),""),"")</f>
        <v/>
      </c>
      <c r="U339">
        <f>IFERROR(IF(ISNUMBER(INDEX(SPPR!$E:$X,MATCH($A339,SPPR!$A:$A,0),18)),$C339*INDEX(SPPR!$E:$X,MATCH($A339,SPPR!$A:$A,0),18),""),"")</f>
        <v/>
      </c>
      <c r="V339">
        <f>IFERROR(IF(ISNUMBER(INDEX(SPPR!$E:$X,MATCH($A339,SPPR!$A:$A,0),19)),$C339*INDEX(SPPR!$E:$X,MATCH($A339,SPPR!$A:$A,0),19),""),"")</f>
        <v/>
      </c>
      <c r="W339">
        <f>IFERROR(IF(ISNUMBER(INDEX(SPPR!$E:$X,MATCH($A339,SPPR!$A:$A,0),20)),$C339*INDEX(SPPR!$E:$X,MATCH($A339,SPPR!$A:$A,0),20),""),"")</f>
        <v/>
      </c>
    </row>
    <row r="340">
      <c r="A340" t="inlineStr">
        <is>
          <t>Ostrea</t>
        </is>
      </c>
      <c r="B340">
        <f>IFERROR(INDEX(SPPR!$D:$D,MATCH($A340,SPPR!$A:$A,0)),"")</f>
        <v/>
      </c>
      <c r="C340">
        <f>IFERROR(INDEX(Catch!$E:$BV,MATCH($A340,Catch!$A:$A,0),MATCH($B$4,Catch!$E$1:$BV$1,0)),0)</f>
        <v/>
      </c>
      <c r="D340">
        <f>IFERROR(IF(ISNUMBER(INDEX(SPPR!$E:$X,MATCH($A340,SPPR!$A:$A,0),1)),$C340*INDEX(SPPR!$E:$X,MATCH($A340,SPPR!$A:$A,0),1),""),"")</f>
        <v/>
      </c>
      <c r="E340">
        <f>IFERROR(IF(ISNUMBER(INDEX(SPPR!$E:$X,MATCH($A340,SPPR!$A:$A,0),2)),$C340*INDEX(SPPR!$E:$X,MATCH($A340,SPPR!$A:$A,0),2),""),"")</f>
        <v/>
      </c>
      <c r="F340">
        <f>IFERROR(IF(ISNUMBER(INDEX(SPPR!$E:$X,MATCH($A340,SPPR!$A:$A,0),3)),$C340*INDEX(SPPR!$E:$X,MATCH($A340,SPPR!$A:$A,0),3),""),"")</f>
        <v/>
      </c>
      <c r="G340">
        <f>IFERROR(IF(ISNUMBER(INDEX(SPPR!$E:$X,MATCH($A340,SPPR!$A:$A,0),4)),$C340*INDEX(SPPR!$E:$X,MATCH($A340,SPPR!$A:$A,0),4),""),"")</f>
        <v/>
      </c>
      <c r="H340">
        <f>IFERROR(IF(ISNUMBER(INDEX(SPPR!$E:$X,MATCH($A340,SPPR!$A:$A,0),5)),$C340*INDEX(SPPR!$E:$X,MATCH($A340,SPPR!$A:$A,0),5),""),"")</f>
        <v/>
      </c>
      <c r="I340">
        <f>IFERROR(IF(ISNUMBER(INDEX(SPPR!$E:$X,MATCH($A340,SPPR!$A:$A,0),6)),$C340*INDEX(SPPR!$E:$X,MATCH($A340,SPPR!$A:$A,0),6),""),"")</f>
        <v/>
      </c>
      <c r="J340">
        <f>IFERROR(IF(ISNUMBER(INDEX(SPPR!$E:$X,MATCH($A340,SPPR!$A:$A,0),7)),$C340*INDEX(SPPR!$E:$X,MATCH($A340,SPPR!$A:$A,0),7),""),"")</f>
        <v/>
      </c>
      <c r="K340">
        <f>IFERROR(IF(ISNUMBER(INDEX(SPPR!$E:$X,MATCH($A340,SPPR!$A:$A,0),8)),$C340*INDEX(SPPR!$E:$X,MATCH($A340,SPPR!$A:$A,0),8),""),"")</f>
        <v/>
      </c>
      <c r="L340">
        <f>IFERROR(IF(ISNUMBER(INDEX(SPPR!$E:$X,MATCH($A340,SPPR!$A:$A,0),9)),$C340*INDEX(SPPR!$E:$X,MATCH($A340,SPPR!$A:$A,0),9),""),"")</f>
        <v/>
      </c>
      <c r="M340">
        <f>IFERROR(IF(ISNUMBER(INDEX(SPPR!$E:$X,MATCH($A340,SPPR!$A:$A,0),10)),$C340*INDEX(SPPR!$E:$X,MATCH($A340,SPPR!$A:$A,0),10),""),"")</f>
        <v/>
      </c>
      <c r="N340">
        <f>IFERROR(IF(ISNUMBER(INDEX(SPPR!$E:$X,MATCH($A340,SPPR!$A:$A,0),11)),$C340*INDEX(SPPR!$E:$X,MATCH($A340,SPPR!$A:$A,0),11),""),"")</f>
        <v/>
      </c>
      <c r="O340">
        <f>IFERROR(IF(ISNUMBER(INDEX(SPPR!$E:$X,MATCH($A340,SPPR!$A:$A,0),12)),$C340*INDEX(SPPR!$E:$X,MATCH($A340,SPPR!$A:$A,0),12),""),"")</f>
        <v/>
      </c>
      <c r="P340">
        <f>IFERROR(IF(ISNUMBER(INDEX(SPPR!$E:$X,MATCH($A340,SPPR!$A:$A,0),13)),$C340*INDEX(SPPR!$E:$X,MATCH($A340,SPPR!$A:$A,0),13),""),"")</f>
        <v/>
      </c>
      <c r="Q340">
        <f>IFERROR(IF(ISNUMBER(INDEX(SPPR!$E:$X,MATCH($A340,SPPR!$A:$A,0),14)),$C340*INDEX(SPPR!$E:$X,MATCH($A340,SPPR!$A:$A,0),14),""),"")</f>
        <v/>
      </c>
      <c r="R340">
        <f>IFERROR(IF(ISNUMBER(INDEX(SPPR!$E:$X,MATCH($A340,SPPR!$A:$A,0),15)),$C340*INDEX(SPPR!$E:$X,MATCH($A340,SPPR!$A:$A,0),15),""),"")</f>
        <v/>
      </c>
      <c r="S340">
        <f>IFERROR(IF(ISNUMBER(INDEX(SPPR!$E:$X,MATCH($A340,SPPR!$A:$A,0),16)),$C340*INDEX(SPPR!$E:$X,MATCH($A340,SPPR!$A:$A,0),16),""),"")</f>
        <v/>
      </c>
      <c r="T340">
        <f>IFERROR(IF(ISNUMBER(INDEX(SPPR!$E:$X,MATCH($A340,SPPR!$A:$A,0),17)),$C340*INDEX(SPPR!$E:$X,MATCH($A340,SPPR!$A:$A,0),17),""),"")</f>
        <v/>
      </c>
      <c r="U340">
        <f>IFERROR(IF(ISNUMBER(INDEX(SPPR!$E:$X,MATCH($A340,SPPR!$A:$A,0),18)),$C340*INDEX(SPPR!$E:$X,MATCH($A340,SPPR!$A:$A,0),18),""),"")</f>
        <v/>
      </c>
      <c r="V340">
        <f>IFERROR(IF(ISNUMBER(INDEX(SPPR!$E:$X,MATCH($A340,SPPR!$A:$A,0),19)),$C340*INDEX(SPPR!$E:$X,MATCH($A340,SPPR!$A:$A,0),19),""),"")</f>
        <v/>
      </c>
      <c r="W340">
        <f>IFERROR(IF(ISNUMBER(INDEX(SPPR!$E:$X,MATCH($A340,SPPR!$A:$A,0),20)),$C340*INDEX(SPPR!$E:$X,MATCH($A340,SPPR!$A:$A,0),20),""),"")</f>
        <v/>
      </c>
    </row>
    <row r="341">
      <c r="A341" t="inlineStr">
        <is>
          <t>Acanthocardia tuberculata</t>
        </is>
      </c>
      <c r="B341">
        <f>IFERROR(INDEX(SPPR!$D:$D,MATCH($A341,SPPR!$A:$A,0)),"")</f>
        <v/>
      </c>
      <c r="C341">
        <f>IFERROR(INDEX(Catch!$E:$BV,MATCH($A341,Catch!$A:$A,0),MATCH($B$4,Catch!$E$1:$BV$1,0)),0)</f>
        <v/>
      </c>
      <c r="D341">
        <f>IFERROR(IF(ISNUMBER(INDEX(SPPR!$E:$X,MATCH($A341,SPPR!$A:$A,0),1)),$C341*INDEX(SPPR!$E:$X,MATCH($A341,SPPR!$A:$A,0),1),""),"")</f>
        <v/>
      </c>
      <c r="E341">
        <f>IFERROR(IF(ISNUMBER(INDEX(SPPR!$E:$X,MATCH($A341,SPPR!$A:$A,0),2)),$C341*INDEX(SPPR!$E:$X,MATCH($A341,SPPR!$A:$A,0),2),""),"")</f>
        <v/>
      </c>
      <c r="F341">
        <f>IFERROR(IF(ISNUMBER(INDEX(SPPR!$E:$X,MATCH($A341,SPPR!$A:$A,0),3)),$C341*INDEX(SPPR!$E:$X,MATCH($A341,SPPR!$A:$A,0),3),""),"")</f>
        <v/>
      </c>
      <c r="G341">
        <f>IFERROR(IF(ISNUMBER(INDEX(SPPR!$E:$X,MATCH($A341,SPPR!$A:$A,0),4)),$C341*INDEX(SPPR!$E:$X,MATCH($A341,SPPR!$A:$A,0),4),""),"")</f>
        <v/>
      </c>
      <c r="H341">
        <f>IFERROR(IF(ISNUMBER(INDEX(SPPR!$E:$X,MATCH($A341,SPPR!$A:$A,0),5)),$C341*INDEX(SPPR!$E:$X,MATCH($A341,SPPR!$A:$A,0),5),""),"")</f>
        <v/>
      </c>
      <c r="I341">
        <f>IFERROR(IF(ISNUMBER(INDEX(SPPR!$E:$X,MATCH($A341,SPPR!$A:$A,0),6)),$C341*INDEX(SPPR!$E:$X,MATCH($A341,SPPR!$A:$A,0),6),""),"")</f>
        <v/>
      </c>
      <c r="J341">
        <f>IFERROR(IF(ISNUMBER(INDEX(SPPR!$E:$X,MATCH($A341,SPPR!$A:$A,0),7)),$C341*INDEX(SPPR!$E:$X,MATCH($A341,SPPR!$A:$A,0),7),""),"")</f>
        <v/>
      </c>
      <c r="K341">
        <f>IFERROR(IF(ISNUMBER(INDEX(SPPR!$E:$X,MATCH($A341,SPPR!$A:$A,0),8)),$C341*INDEX(SPPR!$E:$X,MATCH($A341,SPPR!$A:$A,0),8),""),"")</f>
        <v/>
      </c>
      <c r="L341">
        <f>IFERROR(IF(ISNUMBER(INDEX(SPPR!$E:$X,MATCH($A341,SPPR!$A:$A,0),9)),$C341*INDEX(SPPR!$E:$X,MATCH($A341,SPPR!$A:$A,0),9),""),"")</f>
        <v/>
      </c>
      <c r="M341">
        <f>IFERROR(IF(ISNUMBER(INDEX(SPPR!$E:$X,MATCH($A341,SPPR!$A:$A,0),10)),$C341*INDEX(SPPR!$E:$X,MATCH($A341,SPPR!$A:$A,0),10),""),"")</f>
        <v/>
      </c>
      <c r="N341">
        <f>IFERROR(IF(ISNUMBER(INDEX(SPPR!$E:$X,MATCH($A341,SPPR!$A:$A,0),11)),$C341*INDEX(SPPR!$E:$X,MATCH($A341,SPPR!$A:$A,0),11),""),"")</f>
        <v/>
      </c>
      <c r="O341">
        <f>IFERROR(IF(ISNUMBER(INDEX(SPPR!$E:$X,MATCH($A341,SPPR!$A:$A,0),12)),$C341*INDEX(SPPR!$E:$X,MATCH($A341,SPPR!$A:$A,0),12),""),"")</f>
        <v/>
      </c>
      <c r="P341">
        <f>IFERROR(IF(ISNUMBER(INDEX(SPPR!$E:$X,MATCH($A341,SPPR!$A:$A,0),13)),$C341*INDEX(SPPR!$E:$X,MATCH($A341,SPPR!$A:$A,0),13),""),"")</f>
        <v/>
      </c>
      <c r="Q341">
        <f>IFERROR(IF(ISNUMBER(INDEX(SPPR!$E:$X,MATCH($A341,SPPR!$A:$A,0),14)),$C341*INDEX(SPPR!$E:$X,MATCH($A341,SPPR!$A:$A,0),14),""),"")</f>
        <v/>
      </c>
      <c r="R341">
        <f>IFERROR(IF(ISNUMBER(INDEX(SPPR!$E:$X,MATCH($A341,SPPR!$A:$A,0),15)),$C341*INDEX(SPPR!$E:$X,MATCH($A341,SPPR!$A:$A,0),15),""),"")</f>
        <v/>
      </c>
      <c r="S341">
        <f>IFERROR(IF(ISNUMBER(INDEX(SPPR!$E:$X,MATCH($A341,SPPR!$A:$A,0),16)),$C341*INDEX(SPPR!$E:$X,MATCH($A341,SPPR!$A:$A,0),16),""),"")</f>
        <v/>
      </c>
      <c r="T341">
        <f>IFERROR(IF(ISNUMBER(INDEX(SPPR!$E:$X,MATCH($A341,SPPR!$A:$A,0),17)),$C341*INDEX(SPPR!$E:$X,MATCH($A341,SPPR!$A:$A,0),17),""),"")</f>
        <v/>
      </c>
      <c r="U341">
        <f>IFERROR(IF(ISNUMBER(INDEX(SPPR!$E:$X,MATCH($A341,SPPR!$A:$A,0),18)),$C341*INDEX(SPPR!$E:$X,MATCH($A341,SPPR!$A:$A,0),18),""),"")</f>
        <v/>
      </c>
      <c r="V341">
        <f>IFERROR(IF(ISNUMBER(INDEX(SPPR!$E:$X,MATCH($A341,SPPR!$A:$A,0),19)),$C341*INDEX(SPPR!$E:$X,MATCH($A341,SPPR!$A:$A,0),19),""),"")</f>
        <v/>
      </c>
      <c r="W341">
        <f>IFERROR(IF(ISNUMBER(INDEX(SPPR!$E:$X,MATCH($A341,SPPR!$A:$A,0),20)),$C341*INDEX(SPPR!$E:$X,MATCH($A341,SPPR!$A:$A,0),20),""),"")</f>
        <v/>
      </c>
    </row>
    <row r="342">
      <c r="A342" t="inlineStr">
        <is>
          <t>Galeus</t>
        </is>
      </c>
      <c r="B342">
        <f>IFERROR(INDEX(SPPR!$D:$D,MATCH($A342,SPPR!$A:$A,0)),"")</f>
        <v/>
      </c>
      <c r="C342">
        <f>IFERROR(INDEX(Catch!$E:$BV,MATCH($A342,Catch!$A:$A,0),MATCH($B$4,Catch!$E$1:$BV$1,0)),0)</f>
        <v/>
      </c>
      <c r="D342">
        <f>IFERROR(IF(ISNUMBER(INDEX(SPPR!$E:$X,MATCH($A342,SPPR!$A:$A,0),1)),$C342*INDEX(SPPR!$E:$X,MATCH($A342,SPPR!$A:$A,0),1),""),"")</f>
        <v/>
      </c>
      <c r="E342">
        <f>IFERROR(IF(ISNUMBER(INDEX(SPPR!$E:$X,MATCH($A342,SPPR!$A:$A,0),2)),$C342*INDEX(SPPR!$E:$X,MATCH($A342,SPPR!$A:$A,0),2),""),"")</f>
        <v/>
      </c>
      <c r="F342">
        <f>IFERROR(IF(ISNUMBER(INDEX(SPPR!$E:$X,MATCH($A342,SPPR!$A:$A,0),3)),$C342*INDEX(SPPR!$E:$X,MATCH($A342,SPPR!$A:$A,0),3),""),"")</f>
        <v/>
      </c>
      <c r="G342">
        <f>IFERROR(IF(ISNUMBER(INDEX(SPPR!$E:$X,MATCH($A342,SPPR!$A:$A,0),4)),$C342*INDEX(SPPR!$E:$X,MATCH($A342,SPPR!$A:$A,0),4),""),"")</f>
        <v/>
      </c>
      <c r="H342">
        <f>IFERROR(IF(ISNUMBER(INDEX(SPPR!$E:$X,MATCH($A342,SPPR!$A:$A,0),5)),$C342*INDEX(SPPR!$E:$X,MATCH($A342,SPPR!$A:$A,0),5),""),"")</f>
        <v/>
      </c>
      <c r="I342">
        <f>IFERROR(IF(ISNUMBER(INDEX(SPPR!$E:$X,MATCH($A342,SPPR!$A:$A,0),6)),$C342*INDEX(SPPR!$E:$X,MATCH($A342,SPPR!$A:$A,0),6),""),"")</f>
        <v/>
      </c>
      <c r="J342">
        <f>IFERROR(IF(ISNUMBER(INDEX(SPPR!$E:$X,MATCH($A342,SPPR!$A:$A,0),7)),$C342*INDEX(SPPR!$E:$X,MATCH($A342,SPPR!$A:$A,0),7),""),"")</f>
        <v/>
      </c>
      <c r="K342">
        <f>IFERROR(IF(ISNUMBER(INDEX(SPPR!$E:$X,MATCH($A342,SPPR!$A:$A,0),8)),$C342*INDEX(SPPR!$E:$X,MATCH($A342,SPPR!$A:$A,0),8),""),"")</f>
        <v/>
      </c>
      <c r="L342">
        <f>IFERROR(IF(ISNUMBER(INDEX(SPPR!$E:$X,MATCH($A342,SPPR!$A:$A,0),9)),$C342*INDEX(SPPR!$E:$X,MATCH($A342,SPPR!$A:$A,0),9),""),"")</f>
        <v/>
      </c>
      <c r="M342">
        <f>IFERROR(IF(ISNUMBER(INDEX(SPPR!$E:$X,MATCH($A342,SPPR!$A:$A,0),10)),$C342*INDEX(SPPR!$E:$X,MATCH($A342,SPPR!$A:$A,0),10),""),"")</f>
        <v/>
      </c>
      <c r="N342">
        <f>IFERROR(IF(ISNUMBER(INDEX(SPPR!$E:$X,MATCH($A342,SPPR!$A:$A,0),11)),$C342*INDEX(SPPR!$E:$X,MATCH($A342,SPPR!$A:$A,0),11),""),"")</f>
        <v/>
      </c>
      <c r="O342">
        <f>IFERROR(IF(ISNUMBER(INDEX(SPPR!$E:$X,MATCH($A342,SPPR!$A:$A,0),12)),$C342*INDEX(SPPR!$E:$X,MATCH($A342,SPPR!$A:$A,0),12),""),"")</f>
        <v/>
      </c>
      <c r="P342">
        <f>IFERROR(IF(ISNUMBER(INDEX(SPPR!$E:$X,MATCH($A342,SPPR!$A:$A,0),13)),$C342*INDEX(SPPR!$E:$X,MATCH($A342,SPPR!$A:$A,0),13),""),"")</f>
        <v/>
      </c>
      <c r="Q342">
        <f>IFERROR(IF(ISNUMBER(INDEX(SPPR!$E:$X,MATCH($A342,SPPR!$A:$A,0),14)),$C342*INDEX(SPPR!$E:$X,MATCH($A342,SPPR!$A:$A,0),14),""),"")</f>
        <v/>
      </c>
      <c r="R342">
        <f>IFERROR(IF(ISNUMBER(INDEX(SPPR!$E:$X,MATCH($A342,SPPR!$A:$A,0),15)),$C342*INDEX(SPPR!$E:$X,MATCH($A342,SPPR!$A:$A,0),15),""),"")</f>
        <v/>
      </c>
      <c r="S342">
        <f>IFERROR(IF(ISNUMBER(INDEX(SPPR!$E:$X,MATCH($A342,SPPR!$A:$A,0),16)),$C342*INDEX(SPPR!$E:$X,MATCH($A342,SPPR!$A:$A,0),16),""),"")</f>
        <v/>
      </c>
      <c r="T342">
        <f>IFERROR(IF(ISNUMBER(INDEX(SPPR!$E:$X,MATCH($A342,SPPR!$A:$A,0),17)),$C342*INDEX(SPPR!$E:$X,MATCH($A342,SPPR!$A:$A,0),17),""),"")</f>
        <v/>
      </c>
      <c r="U342">
        <f>IFERROR(IF(ISNUMBER(INDEX(SPPR!$E:$X,MATCH($A342,SPPR!$A:$A,0),18)),$C342*INDEX(SPPR!$E:$X,MATCH($A342,SPPR!$A:$A,0),18),""),"")</f>
        <v/>
      </c>
      <c r="V342">
        <f>IFERROR(IF(ISNUMBER(INDEX(SPPR!$E:$X,MATCH($A342,SPPR!$A:$A,0),19)),$C342*INDEX(SPPR!$E:$X,MATCH($A342,SPPR!$A:$A,0),19),""),"")</f>
        <v/>
      </c>
      <c r="W342">
        <f>IFERROR(IF(ISNUMBER(INDEX(SPPR!$E:$X,MATCH($A342,SPPR!$A:$A,0),20)),$C342*INDEX(SPPR!$E:$X,MATCH($A342,SPPR!$A:$A,0),20),""),"")</f>
        <v/>
      </c>
    </row>
    <row r="343">
      <c r="A343" t="inlineStr">
        <is>
          <t>Dendrobranchiata</t>
        </is>
      </c>
      <c r="B343">
        <f>IFERROR(INDEX(SPPR!$D:$D,MATCH($A343,SPPR!$A:$A,0)),"")</f>
        <v/>
      </c>
      <c r="C343">
        <f>IFERROR(INDEX(Catch!$E:$BV,MATCH($A343,Catch!$A:$A,0),MATCH($B$4,Catch!$E$1:$BV$1,0)),0)</f>
        <v/>
      </c>
      <c r="D343">
        <f>IFERROR(IF(ISNUMBER(INDEX(SPPR!$E:$X,MATCH($A343,SPPR!$A:$A,0),1)),$C343*INDEX(SPPR!$E:$X,MATCH($A343,SPPR!$A:$A,0),1),""),"")</f>
        <v/>
      </c>
      <c r="E343">
        <f>IFERROR(IF(ISNUMBER(INDEX(SPPR!$E:$X,MATCH($A343,SPPR!$A:$A,0),2)),$C343*INDEX(SPPR!$E:$X,MATCH($A343,SPPR!$A:$A,0),2),""),"")</f>
        <v/>
      </c>
      <c r="F343">
        <f>IFERROR(IF(ISNUMBER(INDEX(SPPR!$E:$X,MATCH($A343,SPPR!$A:$A,0),3)),$C343*INDEX(SPPR!$E:$X,MATCH($A343,SPPR!$A:$A,0),3),""),"")</f>
        <v/>
      </c>
      <c r="G343">
        <f>IFERROR(IF(ISNUMBER(INDEX(SPPR!$E:$X,MATCH($A343,SPPR!$A:$A,0),4)),$C343*INDEX(SPPR!$E:$X,MATCH($A343,SPPR!$A:$A,0),4),""),"")</f>
        <v/>
      </c>
      <c r="H343">
        <f>IFERROR(IF(ISNUMBER(INDEX(SPPR!$E:$X,MATCH($A343,SPPR!$A:$A,0),5)),$C343*INDEX(SPPR!$E:$X,MATCH($A343,SPPR!$A:$A,0),5),""),"")</f>
        <v/>
      </c>
      <c r="I343">
        <f>IFERROR(IF(ISNUMBER(INDEX(SPPR!$E:$X,MATCH($A343,SPPR!$A:$A,0),6)),$C343*INDEX(SPPR!$E:$X,MATCH($A343,SPPR!$A:$A,0),6),""),"")</f>
        <v/>
      </c>
      <c r="J343">
        <f>IFERROR(IF(ISNUMBER(INDEX(SPPR!$E:$X,MATCH($A343,SPPR!$A:$A,0),7)),$C343*INDEX(SPPR!$E:$X,MATCH($A343,SPPR!$A:$A,0),7),""),"")</f>
        <v/>
      </c>
      <c r="K343">
        <f>IFERROR(IF(ISNUMBER(INDEX(SPPR!$E:$X,MATCH($A343,SPPR!$A:$A,0),8)),$C343*INDEX(SPPR!$E:$X,MATCH($A343,SPPR!$A:$A,0),8),""),"")</f>
        <v/>
      </c>
      <c r="L343">
        <f>IFERROR(IF(ISNUMBER(INDEX(SPPR!$E:$X,MATCH($A343,SPPR!$A:$A,0),9)),$C343*INDEX(SPPR!$E:$X,MATCH($A343,SPPR!$A:$A,0),9),""),"")</f>
        <v/>
      </c>
      <c r="M343">
        <f>IFERROR(IF(ISNUMBER(INDEX(SPPR!$E:$X,MATCH($A343,SPPR!$A:$A,0),10)),$C343*INDEX(SPPR!$E:$X,MATCH($A343,SPPR!$A:$A,0),10),""),"")</f>
        <v/>
      </c>
      <c r="N343">
        <f>IFERROR(IF(ISNUMBER(INDEX(SPPR!$E:$X,MATCH($A343,SPPR!$A:$A,0),11)),$C343*INDEX(SPPR!$E:$X,MATCH($A343,SPPR!$A:$A,0),11),""),"")</f>
        <v/>
      </c>
      <c r="O343">
        <f>IFERROR(IF(ISNUMBER(INDEX(SPPR!$E:$X,MATCH($A343,SPPR!$A:$A,0),12)),$C343*INDEX(SPPR!$E:$X,MATCH($A343,SPPR!$A:$A,0),12),""),"")</f>
        <v/>
      </c>
      <c r="P343">
        <f>IFERROR(IF(ISNUMBER(INDEX(SPPR!$E:$X,MATCH($A343,SPPR!$A:$A,0),13)),$C343*INDEX(SPPR!$E:$X,MATCH($A343,SPPR!$A:$A,0),13),""),"")</f>
        <v/>
      </c>
      <c r="Q343">
        <f>IFERROR(IF(ISNUMBER(INDEX(SPPR!$E:$X,MATCH($A343,SPPR!$A:$A,0),14)),$C343*INDEX(SPPR!$E:$X,MATCH($A343,SPPR!$A:$A,0),14),""),"")</f>
        <v/>
      </c>
      <c r="R343">
        <f>IFERROR(IF(ISNUMBER(INDEX(SPPR!$E:$X,MATCH($A343,SPPR!$A:$A,0),15)),$C343*INDEX(SPPR!$E:$X,MATCH($A343,SPPR!$A:$A,0),15),""),"")</f>
        <v/>
      </c>
      <c r="S343">
        <f>IFERROR(IF(ISNUMBER(INDEX(SPPR!$E:$X,MATCH($A343,SPPR!$A:$A,0),16)),$C343*INDEX(SPPR!$E:$X,MATCH($A343,SPPR!$A:$A,0),16),""),"")</f>
        <v/>
      </c>
      <c r="T343">
        <f>IFERROR(IF(ISNUMBER(INDEX(SPPR!$E:$X,MATCH($A343,SPPR!$A:$A,0),17)),$C343*INDEX(SPPR!$E:$X,MATCH($A343,SPPR!$A:$A,0),17),""),"")</f>
        <v/>
      </c>
      <c r="U343">
        <f>IFERROR(IF(ISNUMBER(INDEX(SPPR!$E:$X,MATCH($A343,SPPR!$A:$A,0),18)),$C343*INDEX(SPPR!$E:$X,MATCH($A343,SPPR!$A:$A,0),18),""),"")</f>
        <v/>
      </c>
      <c r="V343">
        <f>IFERROR(IF(ISNUMBER(INDEX(SPPR!$E:$X,MATCH($A343,SPPR!$A:$A,0),19)),$C343*INDEX(SPPR!$E:$X,MATCH($A343,SPPR!$A:$A,0),19),""),"")</f>
        <v/>
      </c>
      <c r="W343">
        <f>IFERROR(IF(ISNUMBER(INDEX(SPPR!$E:$X,MATCH($A343,SPPR!$A:$A,0),20)),$C343*INDEX(SPPR!$E:$X,MATCH($A343,SPPR!$A:$A,0),20),""),"")</f>
        <v/>
      </c>
    </row>
    <row r="344">
      <c r="A344" t="inlineStr">
        <is>
          <t>Nephropidae</t>
        </is>
      </c>
      <c r="B344">
        <f>IFERROR(INDEX(SPPR!$D:$D,MATCH($A344,SPPR!$A:$A,0)),"")</f>
        <v/>
      </c>
      <c r="C344">
        <f>IFERROR(INDEX(Catch!$E:$BV,MATCH($A344,Catch!$A:$A,0),MATCH($B$4,Catch!$E$1:$BV$1,0)),0)</f>
        <v/>
      </c>
      <c r="D344">
        <f>IFERROR(IF(ISNUMBER(INDEX(SPPR!$E:$X,MATCH($A344,SPPR!$A:$A,0),1)),$C344*INDEX(SPPR!$E:$X,MATCH($A344,SPPR!$A:$A,0),1),""),"")</f>
        <v/>
      </c>
      <c r="E344">
        <f>IFERROR(IF(ISNUMBER(INDEX(SPPR!$E:$X,MATCH($A344,SPPR!$A:$A,0),2)),$C344*INDEX(SPPR!$E:$X,MATCH($A344,SPPR!$A:$A,0),2),""),"")</f>
        <v/>
      </c>
      <c r="F344">
        <f>IFERROR(IF(ISNUMBER(INDEX(SPPR!$E:$X,MATCH($A344,SPPR!$A:$A,0),3)),$C344*INDEX(SPPR!$E:$X,MATCH($A344,SPPR!$A:$A,0),3),""),"")</f>
        <v/>
      </c>
      <c r="G344">
        <f>IFERROR(IF(ISNUMBER(INDEX(SPPR!$E:$X,MATCH($A344,SPPR!$A:$A,0),4)),$C344*INDEX(SPPR!$E:$X,MATCH($A344,SPPR!$A:$A,0),4),""),"")</f>
        <v/>
      </c>
      <c r="H344">
        <f>IFERROR(IF(ISNUMBER(INDEX(SPPR!$E:$X,MATCH($A344,SPPR!$A:$A,0),5)),$C344*INDEX(SPPR!$E:$X,MATCH($A344,SPPR!$A:$A,0),5),""),"")</f>
        <v/>
      </c>
      <c r="I344">
        <f>IFERROR(IF(ISNUMBER(INDEX(SPPR!$E:$X,MATCH($A344,SPPR!$A:$A,0),6)),$C344*INDEX(SPPR!$E:$X,MATCH($A344,SPPR!$A:$A,0),6),""),"")</f>
        <v/>
      </c>
      <c r="J344">
        <f>IFERROR(IF(ISNUMBER(INDEX(SPPR!$E:$X,MATCH($A344,SPPR!$A:$A,0),7)),$C344*INDEX(SPPR!$E:$X,MATCH($A344,SPPR!$A:$A,0),7),""),"")</f>
        <v/>
      </c>
      <c r="K344">
        <f>IFERROR(IF(ISNUMBER(INDEX(SPPR!$E:$X,MATCH($A344,SPPR!$A:$A,0),8)),$C344*INDEX(SPPR!$E:$X,MATCH($A344,SPPR!$A:$A,0),8),""),"")</f>
        <v/>
      </c>
      <c r="L344">
        <f>IFERROR(IF(ISNUMBER(INDEX(SPPR!$E:$X,MATCH($A344,SPPR!$A:$A,0),9)),$C344*INDEX(SPPR!$E:$X,MATCH($A344,SPPR!$A:$A,0),9),""),"")</f>
        <v/>
      </c>
      <c r="M344">
        <f>IFERROR(IF(ISNUMBER(INDEX(SPPR!$E:$X,MATCH($A344,SPPR!$A:$A,0),10)),$C344*INDEX(SPPR!$E:$X,MATCH($A344,SPPR!$A:$A,0),10),""),"")</f>
        <v/>
      </c>
      <c r="N344">
        <f>IFERROR(IF(ISNUMBER(INDEX(SPPR!$E:$X,MATCH($A344,SPPR!$A:$A,0),11)),$C344*INDEX(SPPR!$E:$X,MATCH($A344,SPPR!$A:$A,0),11),""),"")</f>
        <v/>
      </c>
      <c r="O344">
        <f>IFERROR(IF(ISNUMBER(INDEX(SPPR!$E:$X,MATCH($A344,SPPR!$A:$A,0),12)),$C344*INDEX(SPPR!$E:$X,MATCH($A344,SPPR!$A:$A,0),12),""),"")</f>
        <v/>
      </c>
      <c r="P344">
        <f>IFERROR(IF(ISNUMBER(INDEX(SPPR!$E:$X,MATCH($A344,SPPR!$A:$A,0),13)),$C344*INDEX(SPPR!$E:$X,MATCH($A344,SPPR!$A:$A,0),13),""),"")</f>
        <v/>
      </c>
      <c r="Q344">
        <f>IFERROR(IF(ISNUMBER(INDEX(SPPR!$E:$X,MATCH($A344,SPPR!$A:$A,0),14)),$C344*INDEX(SPPR!$E:$X,MATCH($A344,SPPR!$A:$A,0),14),""),"")</f>
        <v/>
      </c>
      <c r="R344">
        <f>IFERROR(IF(ISNUMBER(INDEX(SPPR!$E:$X,MATCH($A344,SPPR!$A:$A,0),15)),$C344*INDEX(SPPR!$E:$X,MATCH($A344,SPPR!$A:$A,0),15),""),"")</f>
        <v/>
      </c>
      <c r="S344">
        <f>IFERROR(IF(ISNUMBER(INDEX(SPPR!$E:$X,MATCH($A344,SPPR!$A:$A,0),16)),$C344*INDEX(SPPR!$E:$X,MATCH($A344,SPPR!$A:$A,0),16),""),"")</f>
        <v/>
      </c>
      <c r="T344">
        <f>IFERROR(IF(ISNUMBER(INDEX(SPPR!$E:$X,MATCH($A344,SPPR!$A:$A,0),17)),$C344*INDEX(SPPR!$E:$X,MATCH($A344,SPPR!$A:$A,0),17),""),"")</f>
        <v/>
      </c>
      <c r="U344">
        <f>IFERROR(IF(ISNUMBER(INDEX(SPPR!$E:$X,MATCH($A344,SPPR!$A:$A,0),18)),$C344*INDEX(SPPR!$E:$X,MATCH($A344,SPPR!$A:$A,0),18),""),"")</f>
        <v/>
      </c>
      <c r="V344">
        <f>IFERROR(IF(ISNUMBER(INDEX(SPPR!$E:$X,MATCH($A344,SPPR!$A:$A,0),19)),$C344*INDEX(SPPR!$E:$X,MATCH($A344,SPPR!$A:$A,0),19),""),"")</f>
        <v/>
      </c>
      <c r="W344">
        <f>IFERROR(IF(ISNUMBER(INDEX(SPPR!$E:$X,MATCH($A344,SPPR!$A:$A,0),20)),$C344*INDEX(SPPR!$E:$X,MATCH($A344,SPPR!$A:$A,0),20),""),"")</f>
        <v/>
      </c>
    </row>
    <row r="345">
      <c r="A345" t="inlineStr">
        <is>
          <t>Auxis</t>
        </is>
      </c>
      <c r="B345">
        <f>IFERROR(INDEX(SPPR!$D:$D,MATCH($A345,SPPR!$A:$A,0)),"")</f>
        <v/>
      </c>
      <c r="C345">
        <f>IFERROR(INDEX(Catch!$E:$BV,MATCH($A345,Catch!$A:$A,0),MATCH($B$4,Catch!$E$1:$BV$1,0)),0)</f>
        <v/>
      </c>
      <c r="D345">
        <f>IFERROR(IF(ISNUMBER(INDEX(SPPR!$E:$X,MATCH($A345,SPPR!$A:$A,0),1)),$C345*INDEX(SPPR!$E:$X,MATCH($A345,SPPR!$A:$A,0),1),""),"")</f>
        <v/>
      </c>
      <c r="E345">
        <f>IFERROR(IF(ISNUMBER(INDEX(SPPR!$E:$X,MATCH($A345,SPPR!$A:$A,0),2)),$C345*INDEX(SPPR!$E:$X,MATCH($A345,SPPR!$A:$A,0),2),""),"")</f>
        <v/>
      </c>
      <c r="F345">
        <f>IFERROR(IF(ISNUMBER(INDEX(SPPR!$E:$X,MATCH($A345,SPPR!$A:$A,0),3)),$C345*INDEX(SPPR!$E:$X,MATCH($A345,SPPR!$A:$A,0),3),""),"")</f>
        <v/>
      </c>
      <c r="G345">
        <f>IFERROR(IF(ISNUMBER(INDEX(SPPR!$E:$X,MATCH($A345,SPPR!$A:$A,0),4)),$C345*INDEX(SPPR!$E:$X,MATCH($A345,SPPR!$A:$A,0),4),""),"")</f>
        <v/>
      </c>
      <c r="H345">
        <f>IFERROR(IF(ISNUMBER(INDEX(SPPR!$E:$X,MATCH($A345,SPPR!$A:$A,0),5)),$C345*INDEX(SPPR!$E:$X,MATCH($A345,SPPR!$A:$A,0),5),""),"")</f>
        <v/>
      </c>
      <c r="I345">
        <f>IFERROR(IF(ISNUMBER(INDEX(SPPR!$E:$X,MATCH($A345,SPPR!$A:$A,0),6)),$C345*INDEX(SPPR!$E:$X,MATCH($A345,SPPR!$A:$A,0),6),""),"")</f>
        <v/>
      </c>
      <c r="J345">
        <f>IFERROR(IF(ISNUMBER(INDEX(SPPR!$E:$X,MATCH($A345,SPPR!$A:$A,0),7)),$C345*INDEX(SPPR!$E:$X,MATCH($A345,SPPR!$A:$A,0),7),""),"")</f>
        <v/>
      </c>
      <c r="K345">
        <f>IFERROR(IF(ISNUMBER(INDEX(SPPR!$E:$X,MATCH($A345,SPPR!$A:$A,0),8)),$C345*INDEX(SPPR!$E:$X,MATCH($A345,SPPR!$A:$A,0),8),""),"")</f>
        <v/>
      </c>
      <c r="L345">
        <f>IFERROR(IF(ISNUMBER(INDEX(SPPR!$E:$X,MATCH($A345,SPPR!$A:$A,0),9)),$C345*INDEX(SPPR!$E:$X,MATCH($A345,SPPR!$A:$A,0),9),""),"")</f>
        <v/>
      </c>
      <c r="M345">
        <f>IFERROR(IF(ISNUMBER(INDEX(SPPR!$E:$X,MATCH($A345,SPPR!$A:$A,0),10)),$C345*INDEX(SPPR!$E:$X,MATCH($A345,SPPR!$A:$A,0),10),""),"")</f>
        <v/>
      </c>
      <c r="N345">
        <f>IFERROR(IF(ISNUMBER(INDEX(SPPR!$E:$X,MATCH($A345,SPPR!$A:$A,0),11)),$C345*INDEX(SPPR!$E:$X,MATCH($A345,SPPR!$A:$A,0),11),""),"")</f>
        <v/>
      </c>
      <c r="O345">
        <f>IFERROR(IF(ISNUMBER(INDEX(SPPR!$E:$X,MATCH($A345,SPPR!$A:$A,0),12)),$C345*INDEX(SPPR!$E:$X,MATCH($A345,SPPR!$A:$A,0),12),""),"")</f>
        <v/>
      </c>
      <c r="P345">
        <f>IFERROR(IF(ISNUMBER(INDEX(SPPR!$E:$X,MATCH($A345,SPPR!$A:$A,0),13)),$C345*INDEX(SPPR!$E:$X,MATCH($A345,SPPR!$A:$A,0),13),""),"")</f>
        <v/>
      </c>
      <c r="Q345">
        <f>IFERROR(IF(ISNUMBER(INDEX(SPPR!$E:$X,MATCH($A345,SPPR!$A:$A,0),14)),$C345*INDEX(SPPR!$E:$X,MATCH($A345,SPPR!$A:$A,0),14),""),"")</f>
        <v/>
      </c>
      <c r="R345">
        <f>IFERROR(IF(ISNUMBER(INDEX(SPPR!$E:$X,MATCH($A345,SPPR!$A:$A,0),15)),$C345*INDEX(SPPR!$E:$X,MATCH($A345,SPPR!$A:$A,0),15),""),"")</f>
        <v/>
      </c>
      <c r="S345">
        <f>IFERROR(IF(ISNUMBER(INDEX(SPPR!$E:$X,MATCH($A345,SPPR!$A:$A,0),16)),$C345*INDEX(SPPR!$E:$X,MATCH($A345,SPPR!$A:$A,0),16),""),"")</f>
        <v/>
      </c>
      <c r="T345">
        <f>IFERROR(IF(ISNUMBER(INDEX(SPPR!$E:$X,MATCH($A345,SPPR!$A:$A,0),17)),$C345*INDEX(SPPR!$E:$X,MATCH($A345,SPPR!$A:$A,0),17),""),"")</f>
        <v/>
      </c>
      <c r="U345">
        <f>IFERROR(IF(ISNUMBER(INDEX(SPPR!$E:$X,MATCH($A345,SPPR!$A:$A,0),18)),$C345*INDEX(SPPR!$E:$X,MATCH($A345,SPPR!$A:$A,0),18),""),"")</f>
        <v/>
      </c>
      <c r="V345">
        <f>IFERROR(IF(ISNUMBER(INDEX(SPPR!$E:$X,MATCH($A345,SPPR!$A:$A,0),19)),$C345*INDEX(SPPR!$E:$X,MATCH($A345,SPPR!$A:$A,0),19),""),"")</f>
        <v/>
      </c>
      <c r="W345">
        <f>IFERROR(IF(ISNUMBER(INDEX(SPPR!$E:$X,MATCH($A345,SPPR!$A:$A,0),20)),$C345*INDEX(SPPR!$E:$X,MATCH($A345,SPPR!$A:$A,0),20),""),"")</f>
        <v/>
      </c>
    </row>
    <row r="346">
      <c r="A346" t="inlineStr">
        <is>
          <t>Salvelinus</t>
        </is>
      </c>
      <c r="B346">
        <f>IFERROR(INDEX(SPPR!$D:$D,MATCH($A346,SPPR!$A:$A,0)),"")</f>
        <v/>
      </c>
      <c r="C346">
        <f>IFERROR(INDEX(Catch!$E:$BV,MATCH($A346,Catch!$A:$A,0),MATCH($B$4,Catch!$E$1:$BV$1,0)),0)</f>
        <v/>
      </c>
      <c r="D346">
        <f>IFERROR(IF(ISNUMBER(INDEX(SPPR!$E:$X,MATCH($A346,SPPR!$A:$A,0),1)),$C346*INDEX(SPPR!$E:$X,MATCH($A346,SPPR!$A:$A,0),1),""),"")</f>
        <v/>
      </c>
      <c r="E346">
        <f>IFERROR(IF(ISNUMBER(INDEX(SPPR!$E:$X,MATCH($A346,SPPR!$A:$A,0),2)),$C346*INDEX(SPPR!$E:$X,MATCH($A346,SPPR!$A:$A,0),2),""),"")</f>
        <v/>
      </c>
      <c r="F346">
        <f>IFERROR(IF(ISNUMBER(INDEX(SPPR!$E:$X,MATCH($A346,SPPR!$A:$A,0),3)),$C346*INDEX(SPPR!$E:$X,MATCH($A346,SPPR!$A:$A,0),3),""),"")</f>
        <v/>
      </c>
      <c r="G346">
        <f>IFERROR(IF(ISNUMBER(INDEX(SPPR!$E:$X,MATCH($A346,SPPR!$A:$A,0),4)),$C346*INDEX(SPPR!$E:$X,MATCH($A346,SPPR!$A:$A,0),4),""),"")</f>
        <v/>
      </c>
      <c r="H346">
        <f>IFERROR(IF(ISNUMBER(INDEX(SPPR!$E:$X,MATCH($A346,SPPR!$A:$A,0),5)),$C346*INDEX(SPPR!$E:$X,MATCH($A346,SPPR!$A:$A,0),5),""),"")</f>
        <v/>
      </c>
      <c r="I346">
        <f>IFERROR(IF(ISNUMBER(INDEX(SPPR!$E:$X,MATCH($A346,SPPR!$A:$A,0),6)),$C346*INDEX(SPPR!$E:$X,MATCH($A346,SPPR!$A:$A,0),6),""),"")</f>
        <v/>
      </c>
      <c r="J346">
        <f>IFERROR(IF(ISNUMBER(INDEX(SPPR!$E:$X,MATCH($A346,SPPR!$A:$A,0),7)),$C346*INDEX(SPPR!$E:$X,MATCH($A346,SPPR!$A:$A,0),7),""),"")</f>
        <v/>
      </c>
      <c r="K346">
        <f>IFERROR(IF(ISNUMBER(INDEX(SPPR!$E:$X,MATCH($A346,SPPR!$A:$A,0),8)),$C346*INDEX(SPPR!$E:$X,MATCH($A346,SPPR!$A:$A,0),8),""),"")</f>
        <v/>
      </c>
      <c r="L346">
        <f>IFERROR(IF(ISNUMBER(INDEX(SPPR!$E:$X,MATCH($A346,SPPR!$A:$A,0),9)),$C346*INDEX(SPPR!$E:$X,MATCH($A346,SPPR!$A:$A,0),9),""),"")</f>
        <v/>
      </c>
      <c r="M346">
        <f>IFERROR(IF(ISNUMBER(INDEX(SPPR!$E:$X,MATCH($A346,SPPR!$A:$A,0),10)),$C346*INDEX(SPPR!$E:$X,MATCH($A346,SPPR!$A:$A,0),10),""),"")</f>
        <v/>
      </c>
      <c r="N346">
        <f>IFERROR(IF(ISNUMBER(INDEX(SPPR!$E:$X,MATCH($A346,SPPR!$A:$A,0),11)),$C346*INDEX(SPPR!$E:$X,MATCH($A346,SPPR!$A:$A,0),11),""),"")</f>
        <v/>
      </c>
      <c r="O346">
        <f>IFERROR(IF(ISNUMBER(INDEX(SPPR!$E:$X,MATCH($A346,SPPR!$A:$A,0),12)),$C346*INDEX(SPPR!$E:$X,MATCH($A346,SPPR!$A:$A,0),12),""),"")</f>
        <v/>
      </c>
      <c r="P346">
        <f>IFERROR(IF(ISNUMBER(INDEX(SPPR!$E:$X,MATCH($A346,SPPR!$A:$A,0),13)),$C346*INDEX(SPPR!$E:$X,MATCH($A346,SPPR!$A:$A,0),13),""),"")</f>
        <v/>
      </c>
      <c r="Q346">
        <f>IFERROR(IF(ISNUMBER(INDEX(SPPR!$E:$X,MATCH($A346,SPPR!$A:$A,0),14)),$C346*INDEX(SPPR!$E:$X,MATCH($A346,SPPR!$A:$A,0),14),""),"")</f>
        <v/>
      </c>
      <c r="R346">
        <f>IFERROR(IF(ISNUMBER(INDEX(SPPR!$E:$X,MATCH($A346,SPPR!$A:$A,0),15)),$C346*INDEX(SPPR!$E:$X,MATCH($A346,SPPR!$A:$A,0),15),""),"")</f>
        <v/>
      </c>
      <c r="S346">
        <f>IFERROR(IF(ISNUMBER(INDEX(SPPR!$E:$X,MATCH($A346,SPPR!$A:$A,0),16)),$C346*INDEX(SPPR!$E:$X,MATCH($A346,SPPR!$A:$A,0),16),""),"")</f>
        <v/>
      </c>
      <c r="T346">
        <f>IFERROR(IF(ISNUMBER(INDEX(SPPR!$E:$X,MATCH($A346,SPPR!$A:$A,0),17)),$C346*INDEX(SPPR!$E:$X,MATCH($A346,SPPR!$A:$A,0),17),""),"")</f>
        <v/>
      </c>
      <c r="U346">
        <f>IFERROR(IF(ISNUMBER(INDEX(SPPR!$E:$X,MATCH($A346,SPPR!$A:$A,0),18)),$C346*INDEX(SPPR!$E:$X,MATCH($A346,SPPR!$A:$A,0),18),""),"")</f>
        <v/>
      </c>
      <c r="V346">
        <f>IFERROR(IF(ISNUMBER(INDEX(SPPR!$E:$X,MATCH($A346,SPPR!$A:$A,0),19)),$C346*INDEX(SPPR!$E:$X,MATCH($A346,SPPR!$A:$A,0),19),""),"")</f>
        <v/>
      </c>
      <c r="W346">
        <f>IFERROR(IF(ISNUMBER(INDEX(SPPR!$E:$X,MATCH($A346,SPPR!$A:$A,0),20)),$C346*INDEX(SPPR!$E:$X,MATCH($A346,SPPR!$A:$A,0),20),""),"")</f>
        <v/>
      </c>
    </row>
    <row r="347">
      <c r="A347" t="inlineStr">
        <is>
          <t>Carcharhinidae</t>
        </is>
      </c>
      <c r="B347">
        <f>IFERROR(INDEX(SPPR!$D:$D,MATCH($A347,SPPR!$A:$A,0)),"")</f>
        <v/>
      </c>
      <c r="C347">
        <f>IFERROR(INDEX(Catch!$E:$BV,MATCH($A347,Catch!$A:$A,0),MATCH($B$4,Catch!$E$1:$BV$1,0)),0)</f>
        <v/>
      </c>
      <c r="D347">
        <f>IFERROR(IF(ISNUMBER(INDEX(SPPR!$E:$X,MATCH($A347,SPPR!$A:$A,0),1)),$C347*INDEX(SPPR!$E:$X,MATCH($A347,SPPR!$A:$A,0),1),""),"")</f>
        <v/>
      </c>
      <c r="E347">
        <f>IFERROR(IF(ISNUMBER(INDEX(SPPR!$E:$X,MATCH($A347,SPPR!$A:$A,0),2)),$C347*INDEX(SPPR!$E:$X,MATCH($A347,SPPR!$A:$A,0),2),""),"")</f>
        <v/>
      </c>
      <c r="F347">
        <f>IFERROR(IF(ISNUMBER(INDEX(SPPR!$E:$X,MATCH($A347,SPPR!$A:$A,0),3)),$C347*INDEX(SPPR!$E:$X,MATCH($A347,SPPR!$A:$A,0),3),""),"")</f>
        <v/>
      </c>
      <c r="G347">
        <f>IFERROR(IF(ISNUMBER(INDEX(SPPR!$E:$X,MATCH($A347,SPPR!$A:$A,0),4)),$C347*INDEX(SPPR!$E:$X,MATCH($A347,SPPR!$A:$A,0),4),""),"")</f>
        <v/>
      </c>
      <c r="H347">
        <f>IFERROR(IF(ISNUMBER(INDEX(SPPR!$E:$X,MATCH($A347,SPPR!$A:$A,0),5)),$C347*INDEX(SPPR!$E:$X,MATCH($A347,SPPR!$A:$A,0),5),""),"")</f>
        <v/>
      </c>
      <c r="I347">
        <f>IFERROR(IF(ISNUMBER(INDEX(SPPR!$E:$X,MATCH($A347,SPPR!$A:$A,0),6)),$C347*INDEX(SPPR!$E:$X,MATCH($A347,SPPR!$A:$A,0),6),""),"")</f>
        <v/>
      </c>
      <c r="J347">
        <f>IFERROR(IF(ISNUMBER(INDEX(SPPR!$E:$X,MATCH($A347,SPPR!$A:$A,0),7)),$C347*INDEX(SPPR!$E:$X,MATCH($A347,SPPR!$A:$A,0),7),""),"")</f>
        <v/>
      </c>
      <c r="K347">
        <f>IFERROR(IF(ISNUMBER(INDEX(SPPR!$E:$X,MATCH($A347,SPPR!$A:$A,0),8)),$C347*INDEX(SPPR!$E:$X,MATCH($A347,SPPR!$A:$A,0),8),""),"")</f>
        <v/>
      </c>
      <c r="L347">
        <f>IFERROR(IF(ISNUMBER(INDEX(SPPR!$E:$X,MATCH($A347,SPPR!$A:$A,0),9)),$C347*INDEX(SPPR!$E:$X,MATCH($A347,SPPR!$A:$A,0),9),""),"")</f>
        <v/>
      </c>
      <c r="M347">
        <f>IFERROR(IF(ISNUMBER(INDEX(SPPR!$E:$X,MATCH($A347,SPPR!$A:$A,0),10)),$C347*INDEX(SPPR!$E:$X,MATCH($A347,SPPR!$A:$A,0),10),""),"")</f>
        <v/>
      </c>
      <c r="N347">
        <f>IFERROR(IF(ISNUMBER(INDEX(SPPR!$E:$X,MATCH($A347,SPPR!$A:$A,0),11)),$C347*INDEX(SPPR!$E:$X,MATCH($A347,SPPR!$A:$A,0),11),""),"")</f>
        <v/>
      </c>
      <c r="O347">
        <f>IFERROR(IF(ISNUMBER(INDEX(SPPR!$E:$X,MATCH($A347,SPPR!$A:$A,0),12)),$C347*INDEX(SPPR!$E:$X,MATCH($A347,SPPR!$A:$A,0),12),""),"")</f>
        <v/>
      </c>
      <c r="P347">
        <f>IFERROR(IF(ISNUMBER(INDEX(SPPR!$E:$X,MATCH($A347,SPPR!$A:$A,0),13)),$C347*INDEX(SPPR!$E:$X,MATCH($A347,SPPR!$A:$A,0),13),""),"")</f>
        <v/>
      </c>
      <c r="Q347">
        <f>IFERROR(IF(ISNUMBER(INDEX(SPPR!$E:$X,MATCH($A347,SPPR!$A:$A,0),14)),$C347*INDEX(SPPR!$E:$X,MATCH($A347,SPPR!$A:$A,0),14),""),"")</f>
        <v/>
      </c>
      <c r="R347">
        <f>IFERROR(IF(ISNUMBER(INDEX(SPPR!$E:$X,MATCH($A347,SPPR!$A:$A,0),15)),$C347*INDEX(SPPR!$E:$X,MATCH($A347,SPPR!$A:$A,0),15),""),"")</f>
        <v/>
      </c>
      <c r="S347">
        <f>IFERROR(IF(ISNUMBER(INDEX(SPPR!$E:$X,MATCH($A347,SPPR!$A:$A,0),16)),$C347*INDEX(SPPR!$E:$X,MATCH($A347,SPPR!$A:$A,0),16),""),"")</f>
        <v/>
      </c>
      <c r="T347">
        <f>IFERROR(IF(ISNUMBER(INDEX(SPPR!$E:$X,MATCH($A347,SPPR!$A:$A,0),17)),$C347*INDEX(SPPR!$E:$X,MATCH($A347,SPPR!$A:$A,0),17),""),"")</f>
        <v/>
      </c>
      <c r="U347">
        <f>IFERROR(IF(ISNUMBER(INDEX(SPPR!$E:$X,MATCH($A347,SPPR!$A:$A,0),18)),$C347*INDEX(SPPR!$E:$X,MATCH($A347,SPPR!$A:$A,0),18),""),"")</f>
        <v/>
      </c>
      <c r="V347">
        <f>IFERROR(IF(ISNUMBER(INDEX(SPPR!$E:$X,MATCH($A347,SPPR!$A:$A,0),19)),$C347*INDEX(SPPR!$E:$X,MATCH($A347,SPPR!$A:$A,0),19),""),"")</f>
        <v/>
      </c>
      <c r="W347">
        <f>IFERROR(IF(ISNUMBER(INDEX(SPPR!$E:$X,MATCH($A347,SPPR!$A:$A,0),20)),$C347*INDEX(SPPR!$E:$X,MATCH($A347,SPPR!$A:$A,0),20),""),"")</f>
        <v/>
      </c>
    </row>
    <row r="348">
      <c r="A348" t="inlineStr">
        <is>
          <t>Lithodes maja</t>
        </is>
      </c>
      <c r="B348">
        <f>IFERROR(INDEX(SPPR!$D:$D,MATCH($A348,SPPR!$A:$A,0)),"")</f>
        <v/>
      </c>
      <c r="C348">
        <f>IFERROR(INDEX(Catch!$E:$BV,MATCH($A348,Catch!$A:$A,0),MATCH($B$4,Catch!$E$1:$BV$1,0)),0)</f>
        <v/>
      </c>
      <c r="D348">
        <f>IFERROR(IF(ISNUMBER(INDEX(SPPR!$E:$X,MATCH($A348,SPPR!$A:$A,0),1)),$C348*INDEX(SPPR!$E:$X,MATCH($A348,SPPR!$A:$A,0),1),""),"")</f>
        <v/>
      </c>
      <c r="E348">
        <f>IFERROR(IF(ISNUMBER(INDEX(SPPR!$E:$X,MATCH($A348,SPPR!$A:$A,0),2)),$C348*INDEX(SPPR!$E:$X,MATCH($A348,SPPR!$A:$A,0),2),""),"")</f>
        <v/>
      </c>
      <c r="F348">
        <f>IFERROR(IF(ISNUMBER(INDEX(SPPR!$E:$X,MATCH($A348,SPPR!$A:$A,0),3)),$C348*INDEX(SPPR!$E:$X,MATCH($A348,SPPR!$A:$A,0),3),""),"")</f>
        <v/>
      </c>
      <c r="G348">
        <f>IFERROR(IF(ISNUMBER(INDEX(SPPR!$E:$X,MATCH($A348,SPPR!$A:$A,0),4)),$C348*INDEX(SPPR!$E:$X,MATCH($A348,SPPR!$A:$A,0),4),""),"")</f>
        <v/>
      </c>
      <c r="H348">
        <f>IFERROR(IF(ISNUMBER(INDEX(SPPR!$E:$X,MATCH($A348,SPPR!$A:$A,0),5)),$C348*INDEX(SPPR!$E:$X,MATCH($A348,SPPR!$A:$A,0),5),""),"")</f>
        <v/>
      </c>
      <c r="I348">
        <f>IFERROR(IF(ISNUMBER(INDEX(SPPR!$E:$X,MATCH($A348,SPPR!$A:$A,0),6)),$C348*INDEX(SPPR!$E:$X,MATCH($A348,SPPR!$A:$A,0),6),""),"")</f>
        <v/>
      </c>
      <c r="J348">
        <f>IFERROR(IF(ISNUMBER(INDEX(SPPR!$E:$X,MATCH($A348,SPPR!$A:$A,0),7)),$C348*INDEX(SPPR!$E:$X,MATCH($A348,SPPR!$A:$A,0),7),""),"")</f>
        <v/>
      </c>
      <c r="K348">
        <f>IFERROR(IF(ISNUMBER(INDEX(SPPR!$E:$X,MATCH($A348,SPPR!$A:$A,0),8)),$C348*INDEX(SPPR!$E:$X,MATCH($A348,SPPR!$A:$A,0),8),""),"")</f>
        <v/>
      </c>
      <c r="L348">
        <f>IFERROR(IF(ISNUMBER(INDEX(SPPR!$E:$X,MATCH($A348,SPPR!$A:$A,0),9)),$C348*INDEX(SPPR!$E:$X,MATCH($A348,SPPR!$A:$A,0),9),""),"")</f>
        <v/>
      </c>
      <c r="M348">
        <f>IFERROR(IF(ISNUMBER(INDEX(SPPR!$E:$X,MATCH($A348,SPPR!$A:$A,0),10)),$C348*INDEX(SPPR!$E:$X,MATCH($A348,SPPR!$A:$A,0),10),""),"")</f>
        <v/>
      </c>
      <c r="N348">
        <f>IFERROR(IF(ISNUMBER(INDEX(SPPR!$E:$X,MATCH($A348,SPPR!$A:$A,0),11)),$C348*INDEX(SPPR!$E:$X,MATCH($A348,SPPR!$A:$A,0),11),""),"")</f>
        <v/>
      </c>
      <c r="O348">
        <f>IFERROR(IF(ISNUMBER(INDEX(SPPR!$E:$X,MATCH($A348,SPPR!$A:$A,0),12)),$C348*INDEX(SPPR!$E:$X,MATCH($A348,SPPR!$A:$A,0),12),""),"")</f>
        <v/>
      </c>
      <c r="P348">
        <f>IFERROR(IF(ISNUMBER(INDEX(SPPR!$E:$X,MATCH($A348,SPPR!$A:$A,0),13)),$C348*INDEX(SPPR!$E:$X,MATCH($A348,SPPR!$A:$A,0),13),""),"")</f>
        <v/>
      </c>
      <c r="Q348">
        <f>IFERROR(IF(ISNUMBER(INDEX(SPPR!$E:$X,MATCH($A348,SPPR!$A:$A,0),14)),$C348*INDEX(SPPR!$E:$X,MATCH($A348,SPPR!$A:$A,0),14),""),"")</f>
        <v/>
      </c>
      <c r="R348">
        <f>IFERROR(IF(ISNUMBER(INDEX(SPPR!$E:$X,MATCH($A348,SPPR!$A:$A,0),15)),$C348*INDEX(SPPR!$E:$X,MATCH($A348,SPPR!$A:$A,0),15),""),"")</f>
        <v/>
      </c>
      <c r="S348">
        <f>IFERROR(IF(ISNUMBER(INDEX(SPPR!$E:$X,MATCH($A348,SPPR!$A:$A,0),16)),$C348*INDEX(SPPR!$E:$X,MATCH($A348,SPPR!$A:$A,0),16),""),"")</f>
        <v/>
      </c>
      <c r="T348">
        <f>IFERROR(IF(ISNUMBER(INDEX(SPPR!$E:$X,MATCH($A348,SPPR!$A:$A,0),17)),$C348*INDEX(SPPR!$E:$X,MATCH($A348,SPPR!$A:$A,0),17),""),"")</f>
        <v/>
      </c>
      <c r="U348">
        <f>IFERROR(IF(ISNUMBER(INDEX(SPPR!$E:$X,MATCH($A348,SPPR!$A:$A,0),18)),$C348*INDEX(SPPR!$E:$X,MATCH($A348,SPPR!$A:$A,0),18),""),"")</f>
        <v/>
      </c>
      <c r="V348">
        <f>IFERROR(IF(ISNUMBER(INDEX(SPPR!$E:$X,MATCH($A348,SPPR!$A:$A,0),19)),$C348*INDEX(SPPR!$E:$X,MATCH($A348,SPPR!$A:$A,0),19),""),"")</f>
        <v/>
      </c>
      <c r="W348">
        <f>IFERROR(IF(ISNUMBER(INDEX(SPPR!$E:$X,MATCH($A348,SPPR!$A:$A,0),20)),$C348*INDEX(SPPR!$E:$X,MATCH($A348,SPPR!$A:$A,0),20),""),"")</f>
        <v/>
      </c>
    </row>
    <row r="349">
      <c r="A349" t="inlineStr">
        <is>
          <t>Mactridae</t>
        </is>
      </c>
      <c r="B349">
        <f>IFERROR(INDEX(SPPR!$D:$D,MATCH($A349,SPPR!$A:$A,0)),"")</f>
        <v/>
      </c>
      <c r="C349">
        <f>IFERROR(INDEX(Catch!$E:$BV,MATCH($A349,Catch!$A:$A,0),MATCH($B$4,Catch!$E$1:$BV$1,0)),0)</f>
        <v/>
      </c>
      <c r="D349">
        <f>IFERROR(IF(ISNUMBER(INDEX(SPPR!$E:$X,MATCH($A349,SPPR!$A:$A,0),1)),$C349*INDEX(SPPR!$E:$X,MATCH($A349,SPPR!$A:$A,0),1),""),"")</f>
        <v/>
      </c>
      <c r="E349">
        <f>IFERROR(IF(ISNUMBER(INDEX(SPPR!$E:$X,MATCH($A349,SPPR!$A:$A,0),2)),$C349*INDEX(SPPR!$E:$X,MATCH($A349,SPPR!$A:$A,0),2),""),"")</f>
        <v/>
      </c>
      <c r="F349">
        <f>IFERROR(IF(ISNUMBER(INDEX(SPPR!$E:$X,MATCH($A349,SPPR!$A:$A,0),3)),$C349*INDEX(SPPR!$E:$X,MATCH($A349,SPPR!$A:$A,0),3),""),"")</f>
        <v/>
      </c>
      <c r="G349">
        <f>IFERROR(IF(ISNUMBER(INDEX(SPPR!$E:$X,MATCH($A349,SPPR!$A:$A,0),4)),$C349*INDEX(SPPR!$E:$X,MATCH($A349,SPPR!$A:$A,0),4),""),"")</f>
        <v/>
      </c>
      <c r="H349">
        <f>IFERROR(IF(ISNUMBER(INDEX(SPPR!$E:$X,MATCH($A349,SPPR!$A:$A,0),5)),$C349*INDEX(SPPR!$E:$X,MATCH($A349,SPPR!$A:$A,0),5),""),"")</f>
        <v/>
      </c>
      <c r="I349">
        <f>IFERROR(IF(ISNUMBER(INDEX(SPPR!$E:$X,MATCH($A349,SPPR!$A:$A,0),6)),$C349*INDEX(SPPR!$E:$X,MATCH($A349,SPPR!$A:$A,0),6),""),"")</f>
        <v/>
      </c>
      <c r="J349">
        <f>IFERROR(IF(ISNUMBER(INDEX(SPPR!$E:$X,MATCH($A349,SPPR!$A:$A,0),7)),$C349*INDEX(SPPR!$E:$X,MATCH($A349,SPPR!$A:$A,0),7),""),"")</f>
        <v/>
      </c>
      <c r="K349">
        <f>IFERROR(IF(ISNUMBER(INDEX(SPPR!$E:$X,MATCH($A349,SPPR!$A:$A,0),8)),$C349*INDEX(SPPR!$E:$X,MATCH($A349,SPPR!$A:$A,0),8),""),"")</f>
        <v/>
      </c>
      <c r="L349">
        <f>IFERROR(IF(ISNUMBER(INDEX(SPPR!$E:$X,MATCH($A349,SPPR!$A:$A,0),9)),$C349*INDEX(SPPR!$E:$X,MATCH($A349,SPPR!$A:$A,0),9),""),"")</f>
        <v/>
      </c>
      <c r="M349">
        <f>IFERROR(IF(ISNUMBER(INDEX(SPPR!$E:$X,MATCH($A349,SPPR!$A:$A,0),10)),$C349*INDEX(SPPR!$E:$X,MATCH($A349,SPPR!$A:$A,0),10),""),"")</f>
        <v/>
      </c>
      <c r="N349">
        <f>IFERROR(IF(ISNUMBER(INDEX(SPPR!$E:$X,MATCH($A349,SPPR!$A:$A,0),11)),$C349*INDEX(SPPR!$E:$X,MATCH($A349,SPPR!$A:$A,0),11),""),"")</f>
        <v/>
      </c>
      <c r="O349">
        <f>IFERROR(IF(ISNUMBER(INDEX(SPPR!$E:$X,MATCH($A349,SPPR!$A:$A,0),12)),$C349*INDEX(SPPR!$E:$X,MATCH($A349,SPPR!$A:$A,0),12),""),"")</f>
        <v/>
      </c>
      <c r="P349">
        <f>IFERROR(IF(ISNUMBER(INDEX(SPPR!$E:$X,MATCH($A349,SPPR!$A:$A,0),13)),$C349*INDEX(SPPR!$E:$X,MATCH($A349,SPPR!$A:$A,0),13),""),"")</f>
        <v/>
      </c>
      <c r="Q349">
        <f>IFERROR(IF(ISNUMBER(INDEX(SPPR!$E:$X,MATCH($A349,SPPR!$A:$A,0),14)),$C349*INDEX(SPPR!$E:$X,MATCH($A349,SPPR!$A:$A,0),14),""),"")</f>
        <v/>
      </c>
      <c r="R349">
        <f>IFERROR(IF(ISNUMBER(INDEX(SPPR!$E:$X,MATCH($A349,SPPR!$A:$A,0),15)),$C349*INDEX(SPPR!$E:$X,MATCH($A349,SPPR!$A:$A,0),15),""),"")</f>
        <v/>
      </c>
      <c r="S349">
        <f>IFERROR(IF(ISNUMBER(INDEX(SPPR!$E:$X,MATCH($A349,SPPR!$A:$A,0),16)),$C349*INDEX(SPPR!$E:$X,MATCH($A349,SPPR!$A:$A,0),16),""),"")</f>
        <v/>
      </c>
      <c r="T349">
        <f>IFERROR(IF(ISNUMBER(INDEX(SPPR!$E:$X,MATCH($A349,SPPR!$A:$A,0),17)),$C349*INDEX(SPPR!$E:$X,MATCH($A349,SPPR!$A:$A,0),17),""),"")</f>
        <v/>
      </c>
      <c r="U349">
        <f>IFERROR(IF(ISNUMBER(INDEX(SPPR!$E:$X,MATCH($A349,SPPR!$A:$A,0),18)),$C349*INDEX(SPPR!$E:$X,MATCH($A349,SPPR!$A:$A,0),18),""),"")</f>
        <v/>
      </c>
      <c r="V349">
        <f>IFERROR(IF(ISNUMBER(INDEX(SPPR!$E:$X,MATCH($A349,SPPR!$A:$A,0),19)),$C349*INDEX(SPPR!$E:$X,MATCH($A349,SPPR!$A:$A,0),19),""),"")</f>
        <v/>
      </c>
      <c r="W349">
        <f>IFERROR(IF(ISNUMBER(INDEX(SPPR!$E:$X,MATCH($A349,SPPR!$A:$A,0),20)),$C349*INDEX(SPPR!$E:$X,MATCH($A349,SPPR!$A:$A,0),20),""),"")</f>
        <v/>
      </c>
    </row>
    <row r="350">
      <c r="A350" t="inlineStr">
        <is>
          <t>Scomber</t>
        </is>
      </c>
      <c r="B350">
        <f>IFERROR(INDEX(SPPR!$D:$D,MATCH($A350,SPPR!$A:$A,0)),"")</f>
        <v/>
      </c>
      <c r="C350">
        <f>IFERROR(INDEX(Catch!$E:$BV,MATCH($A350,Catch!$A:$A,0),MATCH($B$4,Catch!$E$1:$BV$1,0)),0)</f>
        <v/>
      </c>
      <c r="D350">
        <f>IFERROR(IF(ISNUMBER(INDEX(SPPR!$E:$X,MATCH($A350,SPPR!$A:$A,0),1)),$C350*INDEX(SPPR!$E:$X,MATCH($A350,SPPR!$A:$A,0),1),""),"")</f>
        <v/>
      </c>
      <c r="E350">
        <f>IFERROR(IF(ISNUMBER(INDEX(SPPR!$E:$X,MATCH($A350,SPPR!$A:$A,0),2)),$C350*INDEX(SPPR!$E:$X,MATCH($A350,SPPR!$A:$A,0),2),""),"")</f>
        <v/>
      </c>
      <c r="F350">
        <f>IFERROR(IF(ISNUMBER(INDEX(SPPR!$E:$X,MATCH($A350,SPPR!$A:$A,0),3)),$C350*INDEX(SPPR!$E:$X,MATCH($A350,SPPR!$A:$A,0),3),""),"")</f>
        <v/>
      </c>
      <c r="G350">
        <f>IFERROR(IF(ISNUMBER(INDEX(SPPR!$E:$X,MATCH($A350,SPPR!$A:$A,0),4)),$C350*INDEX(SPPR!$E:$X,MATCH($A350,SPPR!$A:$A,0),4),""),"")</f>
        <v/>
      </c>
      <c r="H350">
        <f>IFERROR(IF(ISNUMBER(INDEX(SPPR!$E:$X,MATCH($A350,SPPR!$A:$A,0),5)),$C350*INDEX(SPPR!$E:$X,MATCH($A350,SPPR!$A:$A,0),5),""),"")</f>
        <v/>
      </c>
      <c r="I350">
        <f>IFERROR(IF(ISNUMBER(INDEX(SPPR!$E:$X,MATCH($A350,SPPR!$A:$A,0),6)),$C350*INDEX(SPPR!$E:$X,MATCH($A350,SPPR!$A:$A,0),6),""),"")</f>
        <v/>
      </c>
      <c r="J350">
        <f>IFERROR(IF(ISNUMBER(INDEX(SPPR!$E:$X,MATCH($A350,SPPR!$A:$A,0),7)),$C350*INDEX(SPPR!$E:$X,MATCH($A350,SPPR!$A:$A,0),7),""),"")</f>
        <v/>
      </c>
      <c r="K350">
        <f>IFERROR(IF(ISNUMBER(INDEX(SPPR!$E:$X,MATCH($A350,SPPR!$A:$A,0),8)),$C350*INDEX(SPPR!$E:$X,MATCH($A350,SPPR!$A:$A,0),8),""),"")</f>
        <v/>
      </c>
      <c r="L350">
        <f>IFERROR(IF(ISNUMBER(INDEX(SPPR!$E:$X,MATCH($A350,SPPR!$A:$A,0),9)),$C350*INDEX(SPPR!$E:$X,MATCH($A350,SPPR!$A:$A,0),9),""),"")</f>
        <v/>
      </c>
      <c r="M350">
        <f>IFERROR(IF(ISNUMBER(INDEX(SPPR!$E:$X,MATCH($A350,SPPR!$A:$A,0),10)),$C350*INDEX(SPPR!$E:$X,MATCH($A350,SPPR!$A:$A,0),10),""),"")</f>
        <v/>
      </c>
      <c r="N350">
        <f>IFERROR(IF(ISNUMBER(INDEX(SPPR!$E:$X,MATCH($A350,SPPR!$A:$A,0),11)),$C350*INDEX(SPPR!$E:$X,MATCH($A350,SPPR!$A:$A,0),11),""),"")</f>
        <v/>
      </c>
      <c r="O350">
        <f>IFERROR(IF(ISNUMBER(INDEX(SPPR!$E:$X,MATCH($A350,SPPR!$A:$A,0),12)),$C350*INDEX(SPPR!$E:$X,MATCH($A350,SPPR!$A:$A,0),12),""),"")</f>
        <v/>
      </c>
      <c r="P350">
        <f>IFERROR(IF(ISNUMBER(INDEX(SPPR!$E:$X,MATCH($A350,SPPR!$A:$A,0),13)),$C350*INDEX(SPPR!$E:$X,MATCH($A350,SPPR!$A:$A,0),13),""),"")</f>
        <v/>
      </c>
      <c r="Q350">
        <f>IFERROR(IF(ISNUMBER(INDEX(SPPR!$E:$X,MATCH($A350,SPPR!$A:$A,0),14)),$C350*INDEX(SPPR!$E:$X,MATCH($A350,SPPR!$A:$A,0),14),""),"")</f>
        <v/>
      </c>
      <c r="R350">
        <f>IFERROR(IF(ISNUMBER(INDEX(SPPR!$E:$X,MATCH($A350,SPPR!$A:$A,0),15)),$C350*INDEX(SPPR!$E:$X,MATCH($A350,SPPR!$A:$A,0),15),""),"")</f>
        <v/>
      </c>
      <c r="S350">
        <f>IFERROR(IF(ISNUMBER(INDEX(SPPR!$E:$X,MATCH($A350,SPPR!$A:$A,0),16)),$C350*INDEX(SPPR!$E:$X,MATCH($A350,SPPR!$A:$A,0),16),""),"")</f>
        <v/>
      </c>
      <c r="T350">
        <f>IFERROR(IF(ISNUMBER(INDEX(SPPR!$E:$X,MATCH($A350,SPPR!$A:$A,0),17)),$C350*INDEX(SPPR!$E:$X,MATCH($A350,SPPR!$A:$A,0),17),""),"")</f>
        <v/>
      </c>
      <c r="U350">
        <f>IFERROR(IF(ISNUMBER(INDEX(SPPR!$E:$X,MATCH($A350,SPPR!$A:$A,0),18)),$C350*INDEX(SPPR!$E:$X,MATCH($A350,SPPR!$A:$A,0),18),""),"")</f>
        <v/>
      </c>
      <c r="V350">
        <f>IFERROR(IF(ISNUMBER(INDEX(SPPR!$E:$X,MATCH($A350,SPPR!$A:$A,0),19)),$C350*INDEX(SPPR!$E:$X,MATCH($A350,SPPR!$A:$A,0),19),""),"")</f>
        <v/>
      </c>
      <c r="W350">
        <f>IFERROR(IF(ISNUMBER(INDEX(SPPR!$E:$X,MATCH($A350,SPPR!$A:$A,0),20)),$C350*INDEX(SPPR!$E:$X,MATCH($A350,SPPR!$A:$A,0),20),""),"")</f>
        <v/>
      </c>
    </row>
    <row r="351">
      <c r="A351" t="inlineStr">
        <is>
          <t>Polititapes rhomboides</t>
        </is>
      </c>
      <c r="B351">
        <f>IFERROR(INDEX(SPPR!$D:$D,MATCH($A351,SPPR!$A:$A,0)),"")</f>
        <v/>
      </c>
      <c r="C351">
        <f>IFERROR(INDEX(Catch!$E:$BV,MATCH($A351,Catch!$A:$A,0),MATCH($B$4,Catch!$E$1:$BV$1,0)),0)</f>
        <v/>
      </c>
      <c r="D351">
        <f>IFERROR(IF(ISNUMBER(INDEX(SPPR!$E:$X,MATCH($A351,SPPR!$A:$A,0),1)),$C351*INDEX(SPPR!$E:$X,MATCH($A351,SPPR!$A:$A,0),1),""),"")</f>
        <v/>
      </c>
      <c r="E351">
        <f>IFERROR(IF(ISNUMBER(INDEX(SPPR!$E:$X,MATCH($A351,SPPR!$A:$A,0),2)),$C351*INDEX(SPPR!$E:$X,MATCH($A351,SPPR!$A:$A,0),2),""),"")</f>
        <v/>
      </c>
      <c r="F351">
        <f>IFERROR(IF(ISNUMBER(INDEX(SPPR!$E:$X,MATCH($A351,SPPR!$A:$A,0),3)),$C351*INDEX(SPPR!$E:$X,MATCH($A351,SPPR!$A:$A,0),3),""),"")</f>
        <v/>
      </c>
      <c r="G351">
        <f>IFERROR(IF(ISNUMBER(INDEX(SPPR!$E:$X,MATCH($A351,SPPR!$A:$A,0),4)),$C351*INDEX(SPPR!$E:$X,MATCH($A351,SPPR!$A:$A,0),4),""),"")</f>
        <v/>
      </c>
      <c r="H351">
        <f>IFERROR(IF(ISNUMBER(INDEX(SPPR!$E:$X,MATCH($A351,SPPR!$A:$A,0),5)),$C351*INDEX(SPPR!$E:$X,MATCH($A351,SPPR!$A:$A,0),5),""),"")</f>
        <v/>
      </c>
      <c r="I351">
        <f>IFERROR(IF(ISNUMBER(INDEX(SPPR!$E:$X,MATCH($A351,SPPR!$A:$A,0),6)),$C351*INDEX(SPPR!$E:$X,MATCH($A351,SPPR!$A:$A,0),6),""),"")</f>
        <v/>
      </c>
      <c r="J351">
        <f>IFERROR(IF(ISNUMBER(INDEX(SPPR!$E:$X,MATCH($A351,SPPR!$A:$A,0),7)),$C351*INDEX(SPPR!$E:$X,MATCH($A351,SPPR!$A:$A,0),7),""),"")</f>
        <v/>
      </c>
      <c r="K351">
        <f>IFERROR(IF(ISNUMBER(INDEX(SPPR!$E:$X,MATCH($A351,SPPR!$A:$A,0),8)),$C351*INDEX(SPPR!$E:$X,MATCH($A351,SPPR!$A:$A,0),8),""),"")</f>
        <v/>
      </c>
      <c r="L351">
        <f>IFERROR(IF(ISNUMBER(INDEX(SPPR!$E:$X,MATCH($A351,SPPR!$A:$A,0),9)),$C351*INDEX(SPPR!$E:$X,MATCH($A351,SPPR!$A:$A,0),9),""),"")</f>
        <v/>
      </c>
      <c r="M351">
        <f>IFERROR(IF(ISNUMBER(INDEX(SPPR!$E:$X,MATCH($A351,SPPR!$A:$A,0),10)),$C351*INDEX(SPPR!$E:$X,MATCH($A351,SPPR!$A:$A,0),10),""),"")</f>
        <v/>
      </c>
      <c r="N351">
        <f>IFERROR(IF(ISNUMBER(INDEX(SPPR!$E:$X,MATCH($A351,SPPR!$A:$A,0),11)),$C351*INDEX(SPPR!$E:$X,MATCH($A351,SPPR!$A:$A,0),11),""),"")</f>
        <v/>
      </c>
      <c r="O351">
        <f>IFERROR(IF(ISNUMBER(INDEX(SPPR!$E:$X,MATCH($A351,SPPR!$A:$A,0),12)),$C351*INDEX(SPPR!$E:$X,MATCH($A351,SPPR!$A:$A,0),12),""),"")</f>
        <v/>
      </c>
      <c r="P351">
        <f>IFERROR(IF(ISNUMBER(INDEX(SPPR!$E:$X,MATCH($A351,SPPR!$A:$A,0),13)),$C351*INDEX(SPPR!$E:$X,MATCH($A351,SPPR!$A:$A,0),13),""),"")</f>
        <v/>
      </c>
      <c r="Q351">
        <f>IFERROR(IF(ISNUMBER(INDEX(SPPR!$E:$X,MATCH($A351,SPPR!$A:$A,0),14)),$C351*INDEX(SPPR!$E:$X,MATCH($A351,SPPR!$A:$A,0),14),""),"")</f>
        <v/>
      </c>
      <c r="R351">
        <f>IFERROR(IF(ISNUMBER(INDEX(SPPR!$E:$X,MATCH($A351,SPPR!$A:$A,0),15)),$C351*INDEX(SPPR!$E:$X,MATCH($A351,SPPR!$A:$A,0),15),""),"")</f>
        <v/>
      </c>
      <c r="S351">
        <f>IFERROR(IF(ISNUMBER(INDEX(SPPR!$E:$X,MATCH($A351,SPPR!$A:$A,0),16)),$C351*INDEX(SPPR!$E:$X,MATCH($A351,SPPR!$A:$A,0),16),""),"")</f>
        <v/>
      </c>
      <c r="T351">
        <f>IFERROR(IF(ISNUMBER(INDEX(SPPR!$E:$X,MATCH($A351,SPPR!$A:$A,0),17)),$C351*INDEX(SPPR!$E:$X,MATCH($A351,SPPR!$A:$A,0),17),""),"")</f>
        <v/>
      </c>
      <c r="U351">
        <f>IFERROR(IF(ISNUMBER(INDEX(SPPR!$E:$X,MATCH($A351,SPPR!$A:$A,0),18)),$C351*INDEX(SPPR!$E:$X,MATCH($A351,SPPR!$A:$A,0),18),""),"")</f>
        <v/>
      </c>
      <c r="V351">
        <f>IFERROR(IF(ISNUMBER(INDEX(SPPR!$E:$X,MATCH($A351,SPPR!$A:$A,0),19)),$C351*INDEX(SPPR!$E:$X,MATCH($A351,SPPR!$A:$A,0),19),""),"")</f>
        <v/>
      </c>
      <c r="W351">
        <f>IFERROR(IF(ISNUMBER(INDEX(SPPR!$E:$X,MATCH($A351,SPPR!$A:$A,0),20)),$C351*INDEX(SPPR!$E:$X,MATCH($A351,SPPR!$A:$A,0),20),""),"")</f>
        <v/>
      </c>
    </row>
    <row r="352">
      <c r="A352" t="inlineStr">
        <is>
          <t>Acipenser sturio</t>
        </is>
      </c>
      <c r="B352">
        <f>IFERROR(INDEX(SPPR!$D:$D,MATCH($A352,SPPR!$A:$A,0)),"")</f>
        <v/>
      </c>
      <c r="C352">
        <f>IFERROR(INDEX(Catch!$E:$BV,MATCH($A352,Catch!$A:$A,0),MATCH($B$4,Catch!$E$1:$BV$1,0)),0)</f>
        <v/>
      </c>
      <c r="D352">
        <f>IFERROR(IF(ISNUMBER(INDEX(SPPR!$E:$X,MATCH($A352,SPPR!$A:$A,0),1)),$C352*INDEX(SPPR!$E:$X,MATCH($A352,SPPR!$A:$A,0),1),""),"")</f>
        <v/>
      </c>
      <c r="E352">
        <f>IFERROR(IF(ISNUMBER(INDEX(SPPR!$E:$X,MATCH($A352,SPPR!$A:$A,0),2)),$C352*INDEX(SPPR!$E:$X,MATCH($A352,SPPR!$A:$A,0),2),""),"")</f>
        <v/>
      </c>
      <c r="F352">
        <f>IFERROR(IF(ISNUMBER(INDEX(SPPR!$E:$X,MATCH($A352,SPPR!$A:$A,0),3)),$C352*INDEX(SPPR!$E:$X,MATCH($A352,SPPR!$A:$A,0),3),""),"")</f>
        <v/>
      </c>
      <c r="G352">
        <f>IFERROR(IF(ISNUMBER(INDEX(SPPR!$E:$X,MATCH($A352,SPPR!$A:$A,0),4)),$C352*INDEX(SPPR!$E:$X,MATCH($A352,SPPR!$A:$A,0),4),""),"")</f>
        <v/>
      </c>
      <c r="H352">
        <f>IFERROR(IF(ISNUMBER(INDEX(SPPR!$E:$X,MATCH($A352,SPPR!$A:$A,0),5)),$C352*INDEX(SPPR!$E:$X,MATCH($A352,SPPR!$A:$A,0),5),""),"")</f>
        <v/>
      </c>
      <c r="I352">
        <f>IFERROR(IF(ISNUMBER(INDEX(SPPR!$E:$X,MATCH($A352,SPPR!$A:$A,0),6)),$C352*INDEX(SPPR!$E:$X,MATCH($A352,SPPR!$A:$A,0),6),""),"")</f>
        <v/>
      </c>
      <c r="J352">
        <f>IFERROR(IF(ISNUMBER(INDEX(SPPR!$E:$X,MATCH($A352,SPPR!$A:$A,0),7)),$C352*INDEX(SPPR!$E:$X,MATCH($A352,SPPR!$A:$A,0),7),""),"")</f>
        <v/>
      </c>
      <c r="K352">
        <f>IFERROR(IF(ISNUMBER(INDEX(SPPR!$E:$X,MATCH($A352,SPPR!$A:$A,0),8)),$C352*INDEX(SPPR!$E:$X,MATCH($A352,SPPR!$A:$A,0),8),""),"")</f>
        <v/>
      </c>
      <c r="L352">
        <f>IFERROR(IF(ISNUMBER(INDEX(SPPR!$E:$X,MATCH($A352,SPPR!$A:$A,0),9)),$C352*INDEX(SPPR!$E:$X,MATCH($A352,SPPR!$A:$A,0),9),""),"")</f>
        <v/>
      </c>
      <c r="M352">
        <f>IFERROR(IF(ISNUMBER(INDEX(SPPR!$E:$X,MATCH($A352,SPPR!$A:$A,0),10)),$C352*INDEX(SPPR!$E:$X,MATCH($A352,SPPR!$A:$A,0),10),""),"")</f>
        <v/>
      </c>
      <c r="N352">
        <f>IFERROR(IF(ISNUMBER(INDEX(SPPR!$E:$X,MATCH($A352,SPPR!$A:$A,0),11)),$C352*INDEX(SPPR!$E:$X,MATCH($A352,SPPR!$A:$A,0),11),""),"")</f>
        <v/>
      </c>
      <c r="O352">
        <f>IFERROR(IF(ISNUMBER(INDEX(SPPR!$E:$X,MATCH($A352,SPPR!$A:$A,0),12)),$C352*INDEX(SPPR!$E:$X,MATCH($A352,SPPR!$A:$A,0),12),""),"")</f>
        <v/>
      </c>
      <c r="P352">
        <f>IFERROR(IF(ISNUMBER(INDEX(SPPR!$E:$X,MATCH($A352,SPPR!$A:$A,0),13)),$C352*INDEX(SPPR!$E:$X,MATCH($A352,SPPR!$A:$A,0),13),""),"")</f>
        <v/>
      </c>
      <c r="Q352">
        <f>IFERROR(IF(ISNUMBER(INDEX(SPPR!$E:$X,MATCH($A352,SPPR!$A:$A,0),14)),$C352*INDEX(SPPR!$E:$X,MATCH($A352,SPPR!$A:$A,0),14),""),"")</f>
        <v/>
      </c>
      <c r="R352">
        <f>IFERROR(IF(ISNUMBER(INDEX(SPPR!$E:$X,MATCH($A352,SPPR!$A:$A,0),15)),$C352*INDEX(SPPR!$E:$X,MATCH($A352,SPPR!$A:$A,0),15),""),"")</f>
        <v/>
      </c>
      <c r="S352">
        <f>IFERROR(IF(ISNUMBER(INDEX(SPPR!$E:$X,MATCH($A352,SPPR!$A:$A,0),16)),$C352*INDEX(SPPR!$E:$X,MATCH($A352,SPPR!$A:$A,0),16),""),"")</f>
        <v/>
      </c>
      <c r="T352">
        <f>IFERROR(IF(ISNUMBER(INDEX(SPPR!$E:$X,MATCH($A352,SPPR!$A:$A,0),17)),$C352*INDEX(SPPR!$E:$X,MATCH($A352,SPPR!$A:$A,0),17),""),"")</f>
        <v/>
      </c>
      <c r="U352">
        <f>IFERROR(IF(ISNUMBER(INDEX(SPPR!$E:$X,MATCH($A352,SPPR!$A:$A,0),18)),$C352*INDEX(SPPR!$E:$X,MATCH($A352,SPPR!$A:$A,0),18),""),"")</f>
        <v/>
      </c>
      <c r="V352">
        <f>IFERROR(IF(ISNUMBER(INDEX(SPPR!$E:$X,MATCH($A352,SPPR!$A:$A,0),19)),$C352*INDEX(SPPR!$E:$X,MATCH($A352,SPPR!$A:$A,0),19),""),"")</f>
        <v/>
      </c>
      <c r="W352">
        <f>IFERROR(IF(ISNUMBER(INDEX(SPPR!$E:$X,MATCH($A352,SPPR!$A:$A,0),20)),$C352*INDEX(SPPR!$E:$X,MATCH($A352,SPPR!$A:$A,0),20),""),"")</f>
        <v/>
      </c>
    </row>
    <row r="353">
      <c r="A353" t="inlineStr">
        <is>
          <t>Sebastes viviparus</t>
        </is>
      </c>
      <c r="B353">
        <f>IFERROR(INDEX(SPPR!$D:$D,MATCH($A353,SPPR!$A:$A,0)),"")</f>
        <v/>
      </c>
      <c r="C353">
        <f>IFERROR(INDEX(Catch!$E:$BV,MATCH($A353,Catch!$A:$A,0),MATCH($B$4,Catch!$E$1:$BV$1,0)),0)</f>
        <v/>
      </c>
      <c r="D353">
        <f>IFERROR(IF(ISNUMBER(INDEX(SPPR!$E:$X,MATCH($A353,SPPR!$A:$A,0),1)),$C353*INDEX(SPPR!$E:$X,MATCH($A353,SPPR!$A:$A,0),1),""),"")</f>
        <v/>
      </c>
      <c r="E353">
        <f>IFERROR(IF(ISNUMBER(INDEX(SPPR!$E:$X,MATCH($A353,SPPR!$A:$A,0),2)),$C353*INDEX(SPPR!$E:$X,MATCH($A353,SPPR!$A:$A,0),2),""),"")</f>
        <v/>
      </c>
      <c r="F353">
        <f>IFERROR(IF(ISNUMBER(INDEX(SPPR!$E:$X,MATCH($A353,SPPR!$A:$A,0),3)),$C353*INDEX(SPPR!$E:$X,MATCH($A353,SPPR!$A:$A,0),3),""),"")</f>
        <v/>
      </c>
      <c r="G353">
        <f>IFERROR(IF(ISNUMBER(INDEX(SPPR!$E:$X,MATCH($A353,SPPR!$A:$A,0),4)),$C353*INDEX(SPPR!$E:$X,MATCH($A353,SPPR!$A:$A,0),4),""),"")</f>
        <v/>
      </c>
      <c r="H353">
        <f>IFERROR(IF(ISNUMBER(INDEX(SPPR!$E:$X,MATCH($A353,SPPR!$A:$A,0),5)),$C353*INDEX(SPPR!$E:$X,MATCH($A353,SPPR!$A:$A,0),5),""),"")</f>
        <v/>
      </c>
      <c r="I353">
        <f>IFERROR(IF(ISNUMBER(INDEX(SPPR!$E:$X,MATCH($A353,SPPR!$A:$A,0),6)),$C353*INDEX(SPPR!$E:$X,MATCH($A353,SPPR!$A:$A,0),6),""),"")</f>
        <v/>
      </c>
      <c r="J353">
        <f>IFERROR(IF(ISNUMBER(INDEX(SPPR!$E:$X,MATCH($A353,SPPR!$A:$A,0),7)),$C353*INDEX(SPPR!$E:$X,MATCH($A353,SPPR!$A:$A,0),7),""),"")</f>
        <v/>
      </c>
      <c r="K353">
        <f>IFERROR(IF(ISNUMBER(INDEX(SPPR!$E:$X,MATCH($A353,SPPR!$A:$A,0),8)),$C353*INDEX(SPPR!$E:$X,MATCH($A353,SPPR!$A:$A,0),8),""),"")</f>
        <v/>
      </c>
      <c r="L353">
        <f>IFERROR(IF(ISNUMBER(INDEX(SPPR!$E:$X,MATCH($A353,SPPR!$A:$A,0),9)),$C353*INDEX(SPPR!$E:$X,MATCH($A353,SPPR!$A:$A,0),9),""),"")</f>
        <v/>
      </c>
      <c r="M353">
        <f>IFERROR(IF(ISNUMBER(INDEX(SPPR!$E:$X,MATCH($A353,SPPR!$A:$A,0),10)),$C353*INDEX(SPPR!$E:$X,MATCH($A353,SPPR!$A:$A,0),10),""),"")</f>
        <v/>
      </c>
      <c r="N353">
        <f>IFERROR(IF(ISNUMBER(INDEX(SPPR!$E:$X,MATCH($A353,SPPR!$A:$A,0),11)),$C353*INDEX(SPPR!$E:$X,MATCH($A353,SPPR!$A:$A,0),11),""),"")</f>
        <v/>
      </c>
      <c r="O353">
        <f>IFERROR(IF(ISNUMBER(INDEX(SPPR!$E:$X,MATCH($A353,SPPR!$A:$A,0),12)),$C353*INDEX(SPPR!$E:$X,MATCH($A353,SPPR!$A:$A,0),12),""),"")</f>
        <v/>
      </c>
      <c r="P353">
        <f>IFERROR(IF(ISNUMBER(INDEX(SPPR!$E:$X,MATCH($A353,SPPR!$A:$A,0),13)),$C353*INDEX(SPPR!$E:$X,MATCH($A353,SPPR!$A:$A,0),13),""),"")</f>
        <v/>
      </c>
      <c r="Q353">
        <f>IFERROR(IF(ISNUMBER(INDEX(SPPR!$E:$X,MATCH($A353,SPPR!$A:$A,0),14)),$C353*INDEX(SPPR!$E:$X,MATCH($A353,SPPR!$A:$A,0),14),""),"")</f>
        <v/>
      </c>
      <c r="R353">
        <f>IFERROR(IF(ISNUMBER(INDEX(SPPR!$E:$X,MATCH($A353,SPPR!$A:$A,0),15)),$C353*INDEX(SPPR!$E:$X,MATCH($A353,SPPR!$A:$A,0),15),""),"")</f>
        <v/>
      </c>
      <c r="S353">
        <f>IFERROR(IF(ISNUMBER(INDEX(SPPR!$E:$X,MATCH($A353,SPPR!$A:$A,0),16)),$C353*INDEX(SPPR!$E:$X,MATCH($A353,SPPR!$A:$A,0),16),""),"")</f>
        <v/>
      </c>
      <c r="T353">
        <f>IFERROR(IF(ISNUMBER(INDEX(SPPR!$E:$X,MATCH($A353,SPPR!$A:$A,0),17)),$C353*INDEX(SPPR!$E:$X,MATCH($A353,SPPR!$A:$A,0),17),""),"")</f>
        <v/>
      </c>
      <c r="U353">
        <f>IFERROR(IF(ISNUMBER(INDEX(SPPR!$E:$X,MATCH($A353,SPPR!$A:$A,0),18)),$C353*INDEX(SPPR!$E:$X,MATCH($A353,SPPR!$A:$A,0),18),""),"")</f>
        <v/>
      </c>
      <c r="V353">
        <f>IFERROR(IF(ISNUMBER(INDEX(SPPR!$E:$X,MATCH($A353,SPPR!$A:$A,0),19)),$C353*INDEX(SPPR!$E:$X,MATCH($A353,SPPR!$A:$A,0),19),""),"")</f>
        <v/>
      </c>
      <c r="W353">
        <f>IFERROR(IF(ISNUMBER(INDEX(SPPR!$E:$X,MATCH($A353,SPPR!$A:$A,0),20)),$C353*INDEX(SPPR!$E:$X,MATCH($A353,SPPR!$A:$A,0),20),""),"")</f>
        <v/>
      </c>
    </row>
    <row r="354">
      <c r="A354" t="inlineStr">
        <is>
          <t>Scomberesocidae</t>
        </is>
      </c>
      <c r="B354">
        <f>IFERROR(INDEX(SPPR!$D:$D,MATCH($A354,SPPR!$A:$A,0)),"")</f>
        <v/>
      </c>
      <c r="C354">
        <f>IFERROR(INDEX(Catch!$E:$BV,MATCH($A354,Catch!$A:$A,0),MATCH($B$4,Catch!$E$1:$BV$1,0)),0)</f>
        <v/>
      </c>
      <c r="D354">
        <f>IFERROR(IF(ISNUMBER(INDEX(SPPR!$E:$X,MATCH($A354,SPPR!$A:$A,0),1)),$C354*INDEX(SPPR!$E:$X,MATCH($A354,SPPR!$A:$A,0),1),""),"")</f>
        <v/>
      </c>
      <c r="E354">
        <f>IFERROR(IF(ISNUMBER(INDEX(SPPR!$E:$X,MATCH($A354,SPPR!$A:$A,0),2)),$C354*INDEX(SPPR!$E:$X,MATCH($A354,SPPR!$A:$A,0),2),""),"")</f>
        <v/>
      </c>
      <c r="F354">
        <f>IFERROR(IF(ISNUMBER(INDEX(SPPR!$E:$X,MATCH($A354,SPPR!$A:$A,0),3)),$C354*INDEX(SPPR!$E:$X,MATCH($A354,SPPR!$A:$A,0),3),""),"")</f>
        <v/>
      </c>
      <c r="G354">
        <f>IFERROR(IF(ISNUMBER(INDEX(SPPR!$E:$X,MATCH($A354,SPPR!$A:$A,0),4)),$C354*INDEX(SPPR!$E:$X,MATCH($A354,SPPR!$A:$A,0),4),""),"")</f>
        <v/>
      </c>
      <c r="H354">
        <f>IFERROR(IF(ISNUMBER(INDEX(SPPR!$E:$X,MATCH($A354,SPPR!$A:$A,0),5)),$C354*INDEX(SPPR!$E:$X,MATCH($A354,SPPR!$A:$A,0),5),""),"")</f>
        <v/>
      </c>
      <c r="I354">
        <f>IFERROR(IF(ISNUMBER(INDEX(SPPR!$E:$X,MATCH($A354,SPPR!$A:$A,0),6)),$C354*INDEX(SPPR!$E:$X,MATCH($A354,SPPR!$A:$A,0),6),""),"")</f>
        <v/>
      </c>
      <c r="J354">
        <f>IFERROR(IF(ISNUMBER(INDEX(SPPR!$E:$X,MATCH($A354,SPPR!$A:$A,0),7)),$C354*INDEX(SPPR!$E:$X,MATCH($A354,SPPR!$A:$A,0),7),""),"")</f>
        <v/>
      </c>
      <c r="K354">
        <f>IFERROR(IF(ISNUMBER(INDEX(SPPR!$E:$X,MATCH($A354,SPPR!$A:$A,0),8)),$C354*INDEX(SPPR!$E:$X,MATCH($A354,SPPR!$A:$A,0),8),""),"")</f>
        <v/>
      </c>
      <c r="L354">
        <f>IFERROR(IF(ISNUMBER(INDEX(SPPR!$E:$X,MATCH($A354,SPPR!$A:$A,0),9)),$C354*INDEX(SPPR!$E:$X,MATCH($A354,SPPR!$A:$A,0),9),""),"")</f>
        <v/>
      </c>
      <c r="M354">
        <f>IFERROR(IF(ISNUMBER(INDEX(SPPR!$E:$X,MATCH($A354,SPPR!$A:$A,0),10)),$C354*INDEX(SPPR!$E:$X,MATCH($A354,SPPR!$A:$A,0),10),""),"")</f>
        <v/>
      </c>
      <c r="N354">
        <f>IFERROR(IF(ISNUMBER(INDEX(SPPR!$E:$X,MATCH($A354,SPPR!$A:$A,0),11)),$C354*INDEX(SPPR!$E:$X,MATCH($A354,SPPR!$A:$A,0),11),""),"")</f>
        <v/>
      </c>
      <c r="O354">
        <f>IFERROR(IF(ISNUMBER(INDEX(SPPR!$E:$X,MATCH($A354,SPPR!$A:$A,0),12)),$C354*INDEX(SPPR!$E:$X,MATCH($A354,SPPR!$A:$A,0),12),""),"")</f>
        <v/>
      </c>
      <c r="P354">
        <f>IFERROR(IF(ISNUMBER(INDEX(SPPR!$E:$X,MATCH($A354,SPPR!$A:$A,0),13)),$C354*INDEX(SPPR!$E:$X,MATCH($A354,SPPR!$A:$A,0),13),""),"")</f>
        <v/>
      </c>
      <c r="Q354">
        <f>IFERROR(IF(ISNUMBER(INDEX(SPPR!$E:$X,MATCH($A354,SPPR!$A:$A,0),14)),$C354*INDEX(SPPR!$E:$X,MATCH($A354,SPPR!$A:$A,0),14),""),"")</f>
        <v/>
      </c>
      <c r="R354">
        <f>IFERROR(IF(ISNUMBER(INDEX(SPPR!$E:$X,MATCH($A354,SPPR!$A:$A,0),15)),$C354*INDEX(SPPR!$E:$X,MATCH($A354,SPPR!$A:$A,0),15),""),"")</f>
        <v/>
      </c>
      <c r="S354">
        <f>IFERROR(IF(ISNUMBER(INDEX(SPPR!$E:$X,MATCH($A354,SPPR!$A:$A,0),16)),$C354*INDEX(SPPR!$E:$X,MATCH($A354,SPPR!$A:$A,0),16),""),"")</f>
        <v/>
      </c>
      <c r="T354">
        <f>IFERROR(IF(ISNUMBER(INDEX(SPPR!$E:$X,MATCH($A354,SPPR!$A:$A,0),17)),$C354*INDEX(SPPR!$E:$X,MATCH($A354,SPPR!$A:$A,0),17),""),"")</f>
        <v/>
      </c>
      <c r="U354">
        <f>IFERROR(IF(ISNUMBER(INDEX(SPPR!$E:$X,MATCH($A354,SPPR!$A:$A,0),18)),$C354*INDEX(SPPR!$E:$X,MATCH($A354,SPPR!$A:$A,0),18),""),"")</f>
        <v/>
      </c>
      <c r="V354">
        <f>IFERROR(IF(ISNUMBER(INDEX(SPPR!$E:$X,MATCH($A354,SPPR!$A:$A,0),19)),$C354*INDEX(SPPR!$E:$X,MATCH($A354,SPPR!$A:$A,0),19),""),"")</f>
        <v/>
      </c>
      <c r="W354">
        <f>IFERROR(IF(ISNUMBER(INDEX(SPPR!$E:$X,MATCH($A354,SPPR!$A:$A,0),20)),$C354*INDEX(SPPR!$E:$X,MATCH($A354,SPPR!$A:$A,0),20),""),"")</f>
        <v/>
      </c>
    </row>
    <row r="355">
      <c r="A355" t="inlineStr">
        <is>
          <t>Ensis ensis</t>
        </is>
      </c>
      <c r="B355">
        <f>IFERROR(INDEX(SPPR!$D:$D,MATCH($A355,SPPR!$A:$A,0)),"")</f>
        <v/>
      </c>
      <c r="C355">
        <f>IFERROR(INDEX(Catch!$E:$BV,MATCH($A355,Catch!$A:$A,0),MATCH($B$4,Catch!$E$1:$BV$1,0)),0)</f>
        <v/>
      </c>
      <c r="D355">
        <f>IFERROR(IF(ISNUMBER(INDEX(SPPR!$E:$X,MATCH($A355,SPPR!$A:$A,0),1)),$C355*INDEX(SPPR!$E:$X,MATCH($A355,SPPR!$A:$A,0),1),""),"")</f>
        <v/>
      </c>
      <c r="E355">
        <f>IFERROR(IF(ISNUMBER(INDEX(SPPR!$E:$X,MATCH($A355,SPPR!$A:$A,0),2)),$C355*INDEX(SPPR!$E:$X,MATCH($A355,SPPR!$A:$A,0),2),""),"")</f>
        <v/>
      </c>
      <c r="F355">
        <f>IFERROR(IF(ISNUMBER(INDEX(SPPR!$E:$X,MATCH($A355,SPPR!$A:$A,0),3)),$C355*INDEX(SPPR!$E:$X,MATCH($A355,SPPR!$A:$A,0),3),""),"")</f>
        <v/>
      </c>
      <c r="G355">
        <f>IFERROR(IF(ISNUMBER(INDEX(SPPR!$E:$X,MATCH($A355,SPPR!$A:$A,0),4)),$C355*INDEX(SPPR!$E:$X,MATCH($A355,SPPR!$A:$A,0),4),""),"")</f>
        <v/>
      </c>
      <c r="H355">
        <f>IFERROR(IF(ISNUMBER(INDEX(SPPR!$E:$X,MATCH($A355,SPPR!$A:$A,0),5)),$C355*INDEX(SPPR!$E:$X,MATCH($A355,SPPR!$A:$A,0),5),""),"")</f>
        <v/>
      </c>
      <c r="I355">
        <f>IFERROR(IF(ISNUMBER(INDEX(SPPR!$E:$X,MATCH($A355,SPPR!$A:$A,0),6)),$C355*INDEX(SPPR!$E:$X,MATCH($A355,SPPR!$A:$A,0),6),""),"")</f>
        <v/>
      </c>
      <c r="J355">
        <f>IFERROR(IF(ISNUMBER(INDEX(SPPR!$E:$X,MATCH($A355,SPPR!$A:$A,0),7)),$C355*INDEX(SPPR!$E:$X,MATCH($A355,SPPR!$A:$A,0),7),""),"")</f>
        <v/>
      </c>
      <c r="K355">
        <f>IFERROR(IF(ISNUMBER(INDEX(SPPR!$E:$X,MATCH($A355,SPPR!$A:$A,0),8)),$C355*INDEX(SPPR!$E:$X,MATCH($A355,SPPR!$A:$A,0),8),""),"")</f>
        <v/>
      </c>
      <c r="L355">
        <f>IFERROR(IF(ISNUMBER(INDEX(SPPR!$E:$X,MATCH($A355,SPPR!$A:$A,0),9)),$C355*INDEX(SPPR!$E:$X,MATCH($A355,SPPR!$A:$A,0),9),""),"")</f>
        <v/>
      </c>
      <c r="M355">
        <f>IFERROR(IF(ISNUMBER(INDEX(SPPR!$E:$X,MATCH($A355,SPPR!$A:$A,0),10)),$C355*INDEX(SPPR!$E:$X,MATCH($A355,SPPR!$A:$A,0),10),""),"")</f>
        <v/>
      </c>
      <c r="N355">
        <f>IFERROR(IF(ISNUMBER(INDEX(SPPR!$E:$X,MATCH($A355,SPPR!$A:$A,0),11)),$C355*INDEX(SPPR!$E:$X,MATCH($A355,SPPR!$A:$A,0),11),""),"")</f>
        <v/>
      </c>
      <c r="O355">
        <f>IFERROR(IF(ISNUMBER(INDEX(SPPR!$E:$X,MATCH($A355,SPPR!$A:$A,0),12)),$C355*INDEX(SPPR!$E:$X,MATCH($A355,SPPR!$A:$A,0),12),""),"")</f>
        <v/>
      </c>
      <c r="P355">
        <f>IFERROR(IF(ISNUMBER(INDEX(SPPR!$E:$X,MATCH($A355,SPPR!$A:$A,0),13)),$C355*INDEX(SPPR!$E:$X,MATCH($A355,SPPR!$A:$A,0),13),""),"")</f>
        <v/>
      </c>
      <c r="Q355">
        <f>IFERROR(IF(ISNUMBER(INDEX(SPPR!$E:$X,MATCH($A355,SPPR!$A:$A,0),14)),$C355*INDEX(SPPR!$E:$X,MATCH($A355,SPPR!$A:$A,0),14),""),"")</f>
        <v/>
      </c>
      <c r="R355">
        <f>IFERROR(IF(ISNUMBER(INDEX(SPPR!$E:$X,MATCH($A355,SPPR!$A:$A,0),15)),$C355*INDEX(SPPR!$E:$X,MATCH($A355,SPPR!$A:$A,0),15),""),"")</f>
        <v/>
      </c>
      <c r="S355">
        <f>IFERROR(IF(ISNUMBER(INDEX(SPPR!$E:$X,MATCH($A355,SPPR!$A:$A,0),16)),$C355*INDEX(SPPR!$E:$X,MATCH($A355,SPPR!$A:$A,0),16),""),"")</f>
        <v/>
      </c>
      <c r="T355">
        <f>IFERROR(IF(ISNUMBER(INDEX(SPPR!$E:$X,MATCH($A355,SPPR!$A:$A,0),17)),$C355*INDEX(SPPR!$E:$X,MATCH($A355,SPPR!$A:$A,0),17),""),"")</f>
        <v/>
      </c>
      <c r="U355">
        <f>IFERROR(IF(ISNUMBER(INDEX(SPPR!$E:$X,MATCH($A355,SPPR!$A:$A,0),18)),$C355*INDEX(SPPR!$E:$X,MATCH($A355,SPPR!$A:$A,0),18),""),"")</f>
        <v/>
      </c>
      <c r="V355">
        <f>IFERROR(IF(ISNUMBER(INDEX(SPPR!$E:$X,MATCH($A355,SPPR!$A:$A,0),19)),$C355*INDEX(SPPR!$E:$X,MATCH($A355,SPPR!$A:$A,0),19),""),"")</f>
        <v/>
      </c>
      <c r="W355">
        <f>IFERROR(IF(ISNUMBER(INDEX(SPPR!$E:$X,MATCH($A355,SPPR!$A:$A,0),20)),$C355*INDEX(SPPR!$E:$X,MATCH($A355,SPPR!$A:$A,0),20),""),"")</f>
        <v/>
      </c>
    </row>
    <row r="356">
      <c r="A356" t="inlineStr">
        <is>
          <t>Donax</t>
        </is>
      </c>
      <c r="B356">
        <f>IFERROR(INDEX(SPPR!$D:$D,MATCH($A356,SPPR!$A:$A,0)),"")</f>
        <v/>
      </c>
      <c r="C356">
        <f>IFERROR(INDEX(Catch!$E:$BV,MATCH($A356,Catch!$A:$A,0),MATCH($B$4,Catch!$E$1:$BV$1,0)),0)</f>
        <v/>
      </c>
      <c r="D356">
        <f>IFERROR(IF(ISNUMBER(INDEX(SPPR!$E:$X,MATCH($A356,SPPR!$A:$A,0),1)),$C356*INDEX(SPPR!$E:$X,MATCH($A356,SPPR!$A:$A,0),1),""),"")</f>
        <v/>
      </c>
      <c r="E356">
        <f>IFERROR(IF(ISNUMBER(INDEX(SPPR!$E:$X,MATCH($A356,SPPR!$A:$A,0),2)),$C356*INDEX(SPPR!$E:$X,MATCH($A356,SPPR!$A:$A,0),2),""),"")</f>
        <v/>
      </c>
      <c r="F356">
        <f>IFERROR(IF(ISNUMBER(INDEX(SPPR!$E:$X,MATCH($A356,SPPR!$A:$A,0),3)),$C356*INDEX(SPPR!$E:$X,MATCH($A356,SPPR!$A:$A,0),3),""),"")</f>
        <v/>
      </c>
      <c r="G356">
        <f>IFERROR(IF(ISNUMBER(INDEX(SPPR!$E:$X,MATCH($A356,SPPR!$A:$A,0),4)),$C356*INDEX(SPPR!$E:$X,MATCH($A356,SPPR!$A:$A,0),4),""),"")</f>
        <v/>
      </c>
      <c r="H356">
        <f>IFERROR(IF(ISNUMBER(INDEX(SPPR!$E:$X,MATCH($A356,SPPR!$A:$A,0),5)),$C356*INDEX(SPPR!$E:$X,MATCH($A356,SPPR!$A:$A,0),5),""),"")</f>
        <v/>
      </c>
      <c r="I356">
        <f>IFERROR(IF(ISNUMBER(INDEX(SPPR!$E:$X,MATCH($A356,SPPR!$A:$A,0),6)),$C356*INDEX(SPPR!$E:$X,MATCH($A356,SPPR!$A:$A,0),6),""),"")</f>
        <v/>
      </c>
      <c r="J356">
        <f>IFERROR(IF(ISNUMBER(INDEX(SPPR!$E:$X,MATCH($A356,SPPR!$A:$A,0),7)),$C356*INDEX(SPPR!$E:$X,MATCH($A356,SPPR!$A:$A,0),7),""),"")</f>
        <v/>
      </c>
      <c r="K356">
        <f>IFERROR(IF(ISNUMBER(INDEX(SPPR!$E:$X,MATCH($A356,SPPR!$A:$A,0),8)),$C356*INDEX(SPPR!$E:$X,MATCH($A356,SPPR!$A:$A,0),8),""),"")</f>
        <v/>
      </c>
      <c r="L356">
        <f>IFERROR(IF(ISNUMBER(INDEX(SPPR!$E:$X,MATCH($A356,SPPR!$A:$A,0),9)),$C356*INDEX(SPPR!$E:$X,MATCH($A356,SPPR!$A:$A,0),9),""),"")</f>
        <v/>
      </c>
      <c r="M356">
        <f>IFERROR(IF(ISNUMBER(INDEX(SPPR!$E:$X,MATCH($A356,SPPR!$A:$A,0),10)),$C356*INDEX(SPPR!$E:$X,MATCH($A356,SPPR!$A:$A,0),10),""),"")</f>
        <v/>
      </c>
      <c r="N356">
        <f>IFERROR(IF(ISNUMBER(INDEX(SPPR!$E:$X,MATCH($A356,SPPR!$A:$A,0),11)),$C356*INDEX(SPPR!$E:$X,MATCH($A356,SPPR!$A:$A,0),11),""),"")</f>
        <v/>
      </c>
      <c r="O356">
        <f>IFERROR(IF(ISNUMBER(INDEX(SPPR!$E:$X,MATCH($A356,SPPR!$A:$A,0),12)),$C356*INDEX(SPPR!$E:$X,MATCH($A356,SPPR!$A:$A,0),12),""),"")</f>
        <v/>
      </c>
      <c r="P356">
        <f>IFERROR(IF(ISNUMBER(INDEX(SPPR!$E:$X,MATCH($A356,SPPR!$A:$A,0),13)),$C356*INDEX(SPPR!$E:$X,MATCH($A356,SPPR!$A:$A,0),13),""),"")</f>
        <v/>
      </c>
      <c r="Q356">
        <f>IFERROR(IF(ISNUMBER(INDEX(SPPR!$E:$X,MATCH($A356,SPPR!$A:$A,0),14)),$C356*INDEX(SPPR!$E:$X,MATCH($A356,SPPR!$A:$A,0),14),""),"")</f>
        <v/>
      </c>
      <c r="R356">
        <f>IFERROR(IF(ISNUMBER(INDEX(SPPR!$E:$X,MATCH($A356,SPPR!$A:$A,0),15)),$C356*INDEX(SPPR!$E:$X,MATCH($A356,SPPR!$A:$A,0),15),""),"")</f>
        <v/>
      </c>
      <c r="S356">
        <f>IFERROR(IF(ISNUMBER(INDEX(SPPR!$E:$X,MATCH($A356,SPPR!$A:$A,0),16)),$C356*INDEX(SPPR!$E:$X,MATCH($A356,SPPR!$A:$A,0),16),""),"")</f>
        <v/>
      </c>
      <c r="T356">
        <f>IFERROR(IF(ISNUMBER(INDEX(SPPR!$E:$X,MATCH($A356,SPPR!$A:$A,0),17)),$C356*INDEX(SPPR!$E:$X,MATCH($A356,SPPR!$A:$A,0),17),""),"")</f>
        <v/>
      </c>
      <c r="U356">
        <f>IFERROR(IF(ISNUMBER(INDEX(SPPR!$E:$X,MATCH($A356,SPPR!$A:$A,0),18)),$C356*INDEX(SPPR!$E:$X,MATCH($A356,SPPR!$A:$A,0),18),""),"")</f>
        <v/>
      </c>
      <c r="V356">
        <f>IFERROR(IF(ISNUMBER(INDEX(SPPR!$E:$X,MATCH($A356,SPPR!$A:$A,0),19)),$C356*INDEX(SPPR!$E:$X,MATCH($A356,SPPR!$A:$A,0),19),""),"")</f>
        <v/>
      </c>
      <c r="W356">
        <f>IFERROR(IF(ISNUMBER(INDEX(SPPR!$E:$X,MATCH($A356,SPPR!$A:$A,0),20)),$C356*INDEX(SPPR!$E:$X,MATCH($A356,SPPR!$A:$A,0),20),""),"")</f>
        <v/>
      </c>
    </row>
    <row r="357">
      <c r="A357" t="inlineStr">
        <is>
          <t>Palinurus elephas</t>
        </is>
      </c>
      <c r="B357">
        <f>IFERROR(INDEX(SPPR!$D:$D,MATCH($A357,SPPR!$A:$A,0)),"")</f>
        <v/>
      </c>
      <c r="C357">
        <f>IFERROR(INDEX(Catch!$E:$BV,MATCH($A357,Catch!$A:$A,0),MATCH($B$4,Catch!$E$1:$BV$1,0)),0)</f>
        <v/>
      </c>
      <c r="D357">
        <f>IFERROR(IF(ISNUMBER(INDEX(SPPR!$E:$X,MATCH($A357,SPPR!$A:$A,0),1)),$C357*INDEX(SPPR!$E:$X,MATCH($A357,SPPR!$A:$A,0),1),""),"")</f>
        <v/>
      </c>
      <c r="E357">
        <f>IFERROR(IF(ISNUMBER(INDEX(SPPR!$E:$X,MATCH($A357,SPPR!$A:$A,0),2)),$C357*INDEX(SPPR!$E:$X,MATCH($A357,SPPR!$A:$A,0),2),""),"")</f>
        <v/>
      </c>
      <c r="F357">
        <f>IFERROR(IF(ISNUMBER(INDEX(SPPR!$E:$X,MATCH($A357,SPPR!$A:$A,0),3)),$C357*INDEX(SPPR!$E:$X,MATCH($A357,SPPR!$A:$A,0),3),""),"")</f>
        <v/>
      </c>
      <c r="G357">
        <f>IFERROR(IF(ISNUMBER(INDEX(SPPR!$E:$X,MATCH($A357,SPPR!$A:$A,0),4)),$C357*INDEX(SPPR!$E:$X,MATCH($A357,SPPR!$A:$A,0),4),""),"")</f>
        <v/>
      </c>
      <c r="H357">
        <f>IFERROR(IF(ISNUMBER(INDEX(SPPR!$E:$X,MATCH($A357,SPPR!$A:$A,0),5)),$C357*INDEX(SPPR!$E:$X,MATCH($A357,SPPR!$A:$A,0),5),""),"")</f>
        <v/>
      </c>
      <c r="I357">
        <f>IFERROR(IF(ISNUMBER(INDEX(SPPR!$E:$X,MATCH($A357,SPPR!$A:$A,0),6)),$C357*INDEX(SPPR!$E:$X,MATCH($A357,SPPR!$A:$A,0),6),""),"")</f>
        <v/>
      </c>
      <c r="J357">
        <f>IFERROR(IF(ISNUMBER(INDEX(SPPR!$E:$X,MATCH($A357,SPPR!$A:$A,0),7)),$C357*INDEX(SPPR!$E:$X,MATCH($A357,SPPR!$A:$A,0),7),""),"")</f>
        <v/>
      </c>
      <c r="K357">
        <f>IFERROR(IF(ISNUMBER(INDEX(SPPR!$E:$X,MATCH($A357,SPPR!$A:$A,0),8)),$C357*INDEX(SPPR!$E:$X,MATCH($A357,SPPR!$A:$A,0),8),""),"")</f>
        <v/>
      </c>
      <c r="L357">
        <f>IFERROR(IF(ISNUMBER(INDEX(SPPR!$E:$X,MATCH($A357,SPPR!$A:$A,0),9)),$C357*INDEX(SPPR!$E:$X,MATCH($A357,SPPR!$A:$A,0),9),""),"")</f>
        <v/>
      </c>
      <c r="M357">
        <f>IFERROR(IF(ISNUMBER(INDEX(SPPR!$E:$X,MATCH($A357,SPPR!$A:$A,0),10)),$C357*INDEX(SPPR!$E:$X,MATCH($A357,SPPR!$A:$A,0),10),""),"")</f>
        <v/>
      </c>
      <c r="N357">
        <f>IFERROR(IF(ISNUMBER(INDEX(SPPR!$E:$X,MATCH($A357,SPPR!$A:$A,0),11)),$C357*INDEX(SPPR!$E:$X,MATCH($A357,SPPR!$A:$A,0),11),""),"")</f>
        <v/>
      </c>
      <c r="O357">
        <f>IFERROR(IF(ISNUMBER(INDEX(SPPR!$E:$X,MATCH($A357,SPPR!$A:$A,0),12)),$C357*INDEX(SPPR!$E:$X,MATCH($A357,SPPR!$A:$A,0),12),""),"")</f>
        <v/>
      </c>
      <c r="P357">
        <f>IFERROR(IF(ISNUMBER(INDEX(SPPR!$E:$X,MATCH($A357,SPPR!$A:$A,0),13)),$C357*INDEX(SPPR!$E:$X,MATCH($A357,SPPR!$A:$A,0),13),""),"")</f>
        <v/>
      </c>
      <c r="Q357">
        <f>IFERROR(IF(ISNUMBER(INDEX(SPPR!$E:$X,MATCH($A357,SPPR!$A:$A,0),14)),$C357*INDEX(SPPR!$E:$X,MATCH($A357,SPPR!$A:$A,0),14),""),"")</f>
        <v/>
      </c>
      <c r="R357">
        <f>IFERROR(IF(ISNUMBER(INDEX(SPPR!$E:$X,MATCH($A357,SPPR!$A:$A,0),15)),$C357*INDEX(SPPR!$E:$X,MATCH($A357,SPPR!$A:$A,0),15),""),"")</f>
        <v/>
      </c>
      <c r="S357">
        <f>IFERROR(IF(ISNUMBER(INDEX(SPPR!$E:$X,MATCH($A357,SPPR!$A:$A,0),16)),$C357*INDEX(SPPR!$E:$X,MATCH($A357,SPPR!$A:$A,0),16),""),"")</f>
        <v/>
      </c>
      <c r="T357">
        <f>IFERROR(IF(ISNUMBER(INDEX(SPPR!$E:$X,MATCH($A357,SPPR!$A:$A,0),17)),$C357*INDEX(SPPR!$E:$X,MATCH($A357,SPPR!$A:$A,0),17),""),"")</f>
        <v/>
      </c>
      <c r="U357">
        <f>IFERROR(IF(ISNUMBER(INDEX(SPPR!$E:$X,MATCH($A357,SPPR!$A:$A,0),18)),$C357*INDEX(SPPR!$E:$X,MATCH($A357,SPPR!$A:$A,0),18),""),"")</f>
        <v/>
      </c>
      <c r="V357">
        <f>IFERROR(IF(ISNUMBER(INDEX(SPPR!$E:$X,MATCH($A357,SPPR!$A:$A,0),19)),$C357*INDEX(SPPR!$E:$X,MATCH($A357,SPPR!$A:$A,0),19),""),"")</f>
        <v/>
      </c>
      <c r="W357">
        <f>IFERROR(IF(ISNUMBER(INDEX(SPPR!$E:$X,MATCH($A357,SPPR!$A:$A,0),20)),$C357*INDEX(SPPR!$E:$X,MATCH($A357,SPPR!$A:$A,0),20),""),"")</f>
        <v/>
      </c>
    </row>
    <row r="358">
      <c r="A358" t="inlineStr">
        <is>
          <t>Callista chione</t>
        </is>
      </c>
      <c r="B358">
        <f>IFERROR(INDEX(SPPR!$D:$D,MATCH($A358,SPPR!$A:$A,0)),"")</f>
        <v/>
      </c>
      <c r="C358">
        <f>IFERROR(INDEX(Catch!$E:$BV,MATCH($A358,Catch!$A:$A,0),MATCH($B$4,Catch!$E$1:$BV$1,0)),0)</f>
        <v/>
      </c>
      <c r="D358">
        <f>IFERROR(IF(ISNUMBER(INDEX(SPPR!$E:$X,MATCH($A358,SPPR!$A:$A,0),1)),$C358*INDEX(SPPR!$E:$X,MATCH($A358,SPPR!$A:$A,0),1),""),"")</f>
        <v/>
      </c>
      <c r="E358">
        <f>IFERROR(IF(ISNUMBER(INDEX(SPPR!$E:$X,MATCH($A358,SPPR!$A:$A,0),2)),$C358*INDEX(SPPR!$E:$X,MATCH($A358,SPPR!$A:$A,0),2),""),"")</f>
        <v/>
      </c>
      <c r="F358">
        <f>IFERROR(IF(ISNUMBER(INDEX(SPPR!$E:$X,MATCH($A358,SPPR!$A:$A,0),3)),$C358*INDEX(SPPR!$E:$X,MATCH($A358,SPPR!$A:$A,0),3),""),"")</f>
        <v/>
      </c>
      <c r="G358">
        <f>IFERROR(IF(ISNUMBER(INDEX(SPPR!$E:$X,MATCH($A358,SPPR!$A:$A,0),4)),$C358*INDEX(SPPR!$E:$X,MATCH($A358,SPPR!$A:$A,0),4),""),"")</f>
        <v/>
      </c>
      <c r="H358">
        <f>IFERROR(IF(ISNUMBER(INDEX(SPPR!$E:$X,MATCH($A358,SPPR!$A:$A,0),5)),$C358*INDEX(SPPR!$E:$X,MATCH($A358,SPPR!$A:$A,0),5),""),"")</f>
        <v/>
      </c>
      <c r="I358">
        <f>IFERROR(IF(ISNUMBER(INDEX(SPPR!$E:$X,MATCH($A358,SPPR!$A:$A,0),6)),$C358*INDEX(SPPR!$E:$X,MATCH($A358,SPPR!$A:$A,0),6),""),"")</f>
        <v/>
      </c>
      <c r="J358">
        <f>IFERROR(IF(ISNUMBER(INDEX(SPPR!$E:$X,MATCH($A358,SPPR!$A:$A,0),7)),$C358*INDEX(SPPR!$E:$X,MATCH($A358,SPPR!$A:$A,0),7),""),"")</f>
        <v/>
      </c>
      <c r="K358">
        <f>IFERROR(IF(ISNUMBER(INDEX(SPPR!$E:$X,MATCH($A358,SPPR!$A:$A,0),8)),$C358*INDEX(SPPR!$E:$X,MATCH($A358,SPPR!$A:$A,0),8),""),"")</f>
        <v/>
      </c>
      <c r="L358">
        <f>IFERROR(IF(ISNUMBER(INDEX(SPPR!$E:$X,MATCH($A358,SPPR!$A:$A,0),9)),$C358*INDEX(SPPR!$E:$X,MATCH($A358,SPPR!$A:$A,0),9),""),"")</f>
        <v/>
      </c>
      <c r="M358">
        <f>IFERROR(IF(ISNUMBER(INDEX(SPPR!$E:$X,MATCH($A358,SPPR!$A:$A,0),10)),$C358*INDEX(SPPR!$E:$X,MATCH($A358,SPPR!$A:$A,0),10),""),"")</f>
        <v/>
      </c>
      <c r="N358">
        <f>IFERROR(IF(ISNUMBER(INDEX(SPPR!$E:$X,MATCH($A358,SPPR!$A:$A,0),11)),$C358*INDEX(SPPR!$E:$X,MATCH($A358,SPPR!$A:$A,0),11),""),"")</f>
        <v/>
      </c>
      <c r="O358">
        <f>IFERROR(IF(ISNUMBER(INDEX(SPPR!$E:$X,MATCH($A358,SPPR!$A:$A,0),12)),$C358*INDEX(SPPR!$E:$X,MATCH($A358,SPPR!$A:$A,0),12),""),"")</f>
        <v/>
      </c>
      <c r="P358">
        <f>IFERROR(IF(ISNUMBER(INDEX(SPPR!$E:$X,MATCH($A358,SPPR!$A:$A,0),13)),$C358*INDEX(SPPR!$E:$X,MATCH($A358,SPPR!$A:$A,0),13),""),"")</f>
        <v/>
      </c>
      <c r="Q358">
        <f>IFERROR(IF(ISNUMBER(INDEX(SPPR!$E:$X,MATCH($A358,SPPR!$A:$A,0),14)),$C358*INDEX(SPPR!$E:$X,MATCH($A358,SPPR!$A:$A,0),14),""),"")</f>
        <v/>
      </c>
      <c r="R358">
        <f>IFERROR(IF(ISNUMBER(INDEX(SPPR!$E:$X,MATCH($A358,SPPR!$A:$A,0),15)),$C358*INDEX(SPPR!$E:$X,MATCH($A358,SPPR!$A:$A,0),15),""),"")</f>
        <v/>
      </c>
      <c r="S358">
        <f>IFERROR(IF(ISNUMBER(INDEX(SPPR!$E:$X,MATCH($A358,SPPR!$A:$A,0),16)),$C358*INDEX(SPPR!$E:$X,MATCH($A358,SPPR!$A:$A,0),16),""),"")</f>
        <v/>
      </c>
      <c r="T358">
        <f>IFERROR(IF(ISNUMBER(INDEX(SPPR!$E:$X,MATCH($A358,SPPR!$A:$A,0),17)),$C358*INDEX(SPPR!$E:$X,MATCH($A358,SPPR!$A:$A,0),17),""),"")</f>
        <v/>
      </c>
      <c r="U358">
        <f>IFERROR(IF(ISNUMBER(INDEX(SPPR!$E:$X,MATCH($A358,SPPR!$A:$A,0),18)),$C358*INDEX(SPPR!$E:$X,MATCH($A358,SPPR!$A:$A,0),18),""),"")</f>
        <v/>
      </c>
      <c r="V358">
        <f>IFERROR(IF(ISNUMBER(INDEX(SPPR!$E:$X,MATCH($A358,SPPR!$A:$A,0),19)),$C358*INDEX(SPPR!$E:$X,MATCH($A358,SPPR!$A:$A,0),19),""),"")</f>
        <v/>
      </c>
      <c r="W358">
        <f>IFERROR(IF(ISNUMBER(INDEX(SPPR!$E:$X,MATCH($A358,SPPR!$A:$A,0),20)),$C358*INDEX(SPPR!$E:$X,MATCH($A358,SPPR!$A:$A,0),20),""),"")</f>
        <v/>
      </c>
    </row>
    <row r="359">
      <c r="A359" t="inlineStr">
        <is>
          <t>Ommastrephidae</t>
        </is>
      </c>
      <c r="B359">
        <f>IFERROR(INDEX(SPPR!$D:$D,MATCH($A359,SPPR!$A:$A,0)),"")</f>
        <v/>
      </c>
      <c r="C359">
        <f>IFERROR(INDEX(Catch!$E:$BV,MATCH($A359,Catch!$A:$A,0),MATCH($B$4,Catch!$E$1:$BV$1,0)),0)</f>
        <v/>
      </c>
      <c r="D359">
        <f>IFERROR(IF(ISNUMBER(INDEX(SPPR!$E:$X,MATCH($A359,SPPR!$A:$A,0),1)),$C359*INDEX(SPPR!$E:$X,MATCH($A359,SPPR!$A:$A,0),1),""),"")</f>
        <v/>
      </c>
      <c r="E359">
        <f>IFERROR(IF(ISNUMBER(INDEX(SPPR!$E:$X,MATCH($A359,SPPR!$A:$A,0),2)),$C359*INDEX(SPPR!$E:$X,MATCH($A359,SPPR!$A:$A,0),2),""),"")</f>
        <v/>
      </c>
      <c r="F359">
        <f>IFERROR(IF(ISNUMBER(INDEX(SPPR!$E:$X,MATCH($A359,SPPR!$A:$A,0),3)),$C359*INDEX(SPPR!$E:$X,MATCH($A359,SPPR!$A:$A,0),3),""),"")</f>
        <v/>
      </c>
      <c r="G359">
        <f>IFERROR(IF(ISNUMBER(INDEX(SPPR!$E:$X,MATCH($A359,SPPR!$A:$A,0),4)),$C359*INDEX(SPPR!$E:$X,MATCH($A359,SPPR!$A:$A,0),4),""),"")</f>
        <v/>
      </c>
      <c r="H359">
        <f>IFERROR(IF(ISNUMBER(INDEX(SPPR!$E:$X,MATCH($A359,SPPR!$A:$A,0),5)),$C359*INDEX(SPPR!$E:$X,MATCH($A359,SPPR!$A:$A,0),5),""),"")</f>
        <v/>
      </c>
      <c r="I359">
        <f>IFERROR(IF(ISNUMBER(INDEX(SPPR!$E:$X,MATCH($A359,SPPR!$A:$A,0),6)),$C359*INDEX(SPPR!$E:$X,MATCH($A359,SPPR!$A:$A,0),6),""),"")</f>
        <v/>
      </c>
      <c r="J359">
        <f>IFERROR(IF(ISNUMBER(INDEX(SPPR!$E:$X,MATCH($A359,SPPR!$A:$A,0),7)),$C359*INDEX(SPPR!$E:$X,MATCH($A359,SPPR!$A:$A,0),7),""),"")</f>
        <v/>
      </c>
      <c r="K359">
        <f>IFERROR(IF(ISNUMBER(INDEX(SPPR!$E:$X,MATCH($A359,SPPR!$A:$A,0),8)),$C359*INDEX(SPPR!$E:$X,MATCH($A359,SPPR!$A:$A,0),8),""),"")</f>
        <v/>
      </c>
      <c r="L359">
        <f>IFERROR(IF(ISNUMBER(INDEX(SPPR!$E:$X,MATCH($A359,SPPR!$A:$A,0),9)),$C359*INDEX(SPPR!$E:$X,MATCH($A359,SPPR!$A:$A,0),9),""),"")</f>
        <v/>
      </c>
      <c r="M359">
        <f>IFERROR(IF(ISNUMBER(INDEX(SPPR!$E:$X,MATCH($A359,SPPR!$A:$A,0),10)),$C359*INDEX(SPPR!$E:$X,MATCH($A359,SPPR!$A:$A,0),10),""),"")</f>
        <v/>
      </c>
      <c r="N359">
        <f>IFERROR(IF(ISNUMBER(INDEX(SPPR!$E:$X,MATCH($A359,SPPR!$A:$A,0),11)),$C359*INDEX(SPPR!$E:$X,MATCH($A359,SPPR!$A:$A,0),11),""),"")</f>
        <v/>
      </c>
      <c r="O359">
        <f>IFERROR(IF(ISNUMBER(INDEX(SPPR!$E:$X,MATCH($A359,SPPR!$A:$A,0),12)),$C359*INDEX(SPPR!$E:$X,MATCH($A359,SPPR!$A:$A,0),12),""),"")</f>
        <v/>
      </c>
      <c r="P359">
        <f>IFERROR(IF(ISNUMBER(INDEX(SPPR!$E:$X,MATCH($A359,SPPR!$A:$A,0),13)),$C359*INDEX(SPPR!$E:$X,MATCH($A359,SPPR!$A:$A,0),13),""),"")</f>
        <v/>
      </c>
      <c r="Q359">
        <f>IFERROR(IF(ISNUMBER(INDEX(SPPR!$E:$X,MATCH($A359,SPPR!$A:$A,0),14)),$C359*INDEX(SPPR!$E:$X,MATCH($A359,SPPR!$A:$A,0),14),""),"")</f>
        <v/>
      </c>
      <c r="R359">
        <f>IFERROR(IF(ISNUMBER(INDEX(SPPR!$E:$X,MATCH($A359,SPPR!$A:$A,0),15)),$C359*INDEX(SPPR!$E:$X,MATCH($A359,SPPR!$A:$A,0),15),""),"")</f>
        <v/>
      </c>
      <c r="S359">
        <f>IFERROR(IF(ISNUMBER(INDEX(SPPR!$E:$X,MATCH($A359,SPPR!$A:$A,0),16)),$C359*INDEX(SPPR!$E:$X,MATCH($A359,SPPR!$A:$A,0),16),""),"")</f>
        <v/>
      </c>
      <c r="T359">
        <f>IFERROR(IF(ISNUMBER(INDEX(SPPR!$E:$X,MATCH($A359,SPPR!$A:$A,0),17)),$C359*INDEX(SPPR!$E:$X,MATCH($A359,SPPR!$A:$A,0),17),""),"")</f>
        <v/>
      </c>
      <c r="U359">
        <f>IFERROR(IF(ISNUMBER(INDEX(SPPR!$E:$X,MATCH($A359,SPPR!$A:$A,0),18)),$C359*INDEX(SPPR!$E:$X,MATCH($A359,SPPR!$A:$A,0),18),""),"")</f>
        <v/>
      </c>
      <c r="V359">
        <f>IFERROR(IF(ISNUMBER(INDEX(SPPR!$E:$X,MATCH($A359,SPPR!$A:$A,0),19)),$C359*INDEX(SPPR!$E:$X,MATCH($A359,SPPR!$A:$A,0),19),""),"")</f>
        <v/>
      </c>
      <c r="W359">
        <f>IFERROR(IF(ISNUMBER(INDEX(SPPR!$E:$X,MATCH($A359,SPPR!$A:$A,0),20)),$C359*INDEX(SPPR!$E:$X,MATCH($A359,SPPR!$A:$A,0),20),""),"")</f>
        <v/>
      </c>
    </row>
    <row r="360">
      <c r="A360" t="inlineStr">
        <is>
          <t>Palaemon longirostris</t>
        </is>
      </c>
      <c r="B360">
        <f>IFERROR(INDEX(SPPR!$D:$D,MATCH($A360,SPPR!$A:$A,0)),"")</f>
        <v/>
      </c>
      <c r="C360">
        <f>IFERROR(INDEX(Catch!$E:$BV,MATCH($A360,Catch!$A:$A,0),MATCH($B$4,Catch!$E$1:$BV$1,0)),0)</f>
        <v/>
      </c>
      <c r="D360">
        <f>IFERROR(IF(ISNUMBER(INDEX(SPPR!$E:$X,MATCH($A360,SPPR!$A:$A,0),1)),$C360*INDEX(SPPR!$E:$X,MATCH($A360,SPPR!$A:$A,0),1),""),"")</f>
        <v/>
      </c>
      <c r="E360">
        <f>IFERROR(IF(ISNUMBER(INDEX(SPPR!$E:$X,MATCH($A360,SPPR!$A:$A,0),2)),$C360*INDEX(SPPR!$E:$X,MATCH($A360,SPPR!$A:$A,0),2),""),"")</f>
        <v/>
      </c>
      <c r="F360">
        <f>IFERROR(IF(ISNUMBER(INDEX(SPPR!$E:$X,MATCH($A360,SPPR!$A:$A,0),3)),$C360*INDEX(SPPR!$E:$X,MATCH($A360,SPPR!$A:$A,0),3),""),"")</f>
        <v/>
      </c>
      <c r="G360">
        <f>IFERROR(IF(ISNUMBER(INDEX(SPPR!$E:$X,MATCH($A360,SPPR!$A:$A,0),4)),$C360*INDEX(SPPR!$E:$X,MATCH($A360,SPPR!$A:$A,0),4),""),"")</f>
        <v/>
      </c>
      <c r="H360">
        <f>IFERROR(IF(ISNUMBER(INDEX(SPPR!$E:$X,MATCH($A360,SPPR!$A:$A,0),5)),$C360*INDEX(SPPR!$E:$X,MATCH($A360,SPPR!$A:$A,0),5),""),"")</f>
        <v/>
      </c>
      <c r="I360">
        <f>IFERROR(IF(ISNUMBER(INDEX(SPPR!$E:$X,MATCH($A360,SPPR!$A:$A,0),6)),$C360*INDEX(SPPR!$E:$X,MATCH($A360,SPPR!$A:$A,0),6),""),"")</f>
        <v/>
      </c>
      <c r="J360">
        <f>IFERROR(IF(ISNUMBER(INDEX(SPPR!$E:$X,MATCH($A360,SPPR!$A:$A,0),7)),$C360*INDEX(SPPR!$E:$X,MATCH($A360,SPPR!$A:$A,0),7),""),"")</f>
        <v/>
      </c>
      <c r="K360">
        <f>IFERROR(IF(ISNUMBER(INDEX(SPPR!$E:$X,MATCH($A360,SPPR!$A:$A,0),8)),$C360*INDEX(SPPR!$E:$X,MATCH($A360,SPPR!$A:$A,0),8),""),"")</f>
        <v/>
      </c>
      <c r="L360">
        <f>IFERROR(IF(ISNUMBER(INDEX(SPPR!$E:$X,MATCH($A360,SPPR!$A:$A,0),9)),$C360*INDEX(SPPR!$E:$X,MATCH($A360,SPPR!$A:$A,0),9),""),"")</f>
        <v/>
      </c>
      <c r="M360">
        <f>IFERROR(IF(ISNUMBER(INDEX(SPPR!$E:$X,MATCH($A360,SPPR!$A:$A,0),10)),$C360*INDEX(SPPR!$E:$X,MATCH($A360,SPPR!$A:$A,0),10),""),"")</f>
        <v/>
      </c>
      <c r="N360">
        <f>IFERROR(IF(ISNUMBER(INDEX(SPPR!$E:$X,MATCH($A360,SPPR!$A:$A,0),11)),$C360*INDEX(SPPR!$E:$X,MATCH($A360,SPPR!$A:$A,0),11),""),"")</f>
        <v/>
      </c>
      <c r="O360">
        <f>IFERROR(IF(ISNUMBER(INDEX(SPPR!$E:$X,MATCH($A360,SPPR!$A:$A,0),12)),$C360*INDEX(SPPR!$E:$X,MATCH($A360,SPPR!$A:$A,0),12),""),"")</f>
        <v/>
      </c>
      <c r="P360">
        <f>IFERROR(IF(ISNUMBER(INDEX(SPPR!$E:$X,MATCH($A360,SPPR!$A:$A,0),13)),$C360*INDEX(SPPR!$E:$X,MATCH($A360,SPPR!$A:$A,0),13),""),"")</f>
        <v/>
      </c>
      <c r="Q360">
        <f>IFERROR(IF(ISNUMBER(INDEX(SPPR!$E:$X,MATCH($A360,SPPR!$A:$A,0),14)),$C360*INDEX(SPPR!$E:$X,MATCH($A360,SPPR!$A:$A,0),14),""),"")</f>
        <v/>
      </c>
      <c r="R360">
        <f>IFERROR(IF(ISNUMBER(INDEX(SPPR!$E:$X,MATCH($A360,SPPR!$A:$A,0),15)),$C360*INDEX(SPPR!$E:$X,MATCH($A360,SPPR!$A:$A,0),15),""),"")</f>
        <v/>
      </c>
      <c r="S360">
        <f>IFERROR(IF(ISNUMBER(INDEX(SPPR!$E:$X,MATCH($A360,SPPR!$A:$A,0),16)),$C360*INDEX(SPPR!$E:$X,MATCH($A360,SPPR!$A:$A,0),16),""),"")</f>
        <v/>
      </c>
      <c r="T360">
        <f>IFERROR(IF(ISNUMBER(INDEX(SPPR!$E:$X,MATCH($A360,SPPR!$A:$A,0),17)),$C360*INDEX(SPPR!$E:$X,MATCH($A360,SPPR!$A:$A,0),17),""),"")</f>
        <v/>
      </c>
      <c r="U360">
        <f>IFERROR(IF(ISNUMBER(INDEX(SPPR!$E:$X,MATCH($A360,SPPR!$A:$A,0),18)),$C360*INDEX(SPPR!$E:$X,MATCH($A360,SPPR!$A:$A,0),18),""),"")</f>
        <v/>
      </c>
      <c r="V360">
        <f>IFERROR(IF(ISNUMBER(INDEX(SPPR!$E:$X,MATCH($A360,SPPR!$A:$A,0),19)),$C360*INDEX(SPPR!$E:$X,MATCH($A360,SPPR!$A:$A,0),19),""),"")</f>
        <v/>
      </c>
      <c r="W360">
        <f>IFERROR(IF(ISNUMBER(INDEX(SPPR!$E:$X,MATCH($A360,SPPR!$A:$A,0),20)),$C360*INDEX(SPPR!$E:$X,MATCH($A360,SPPR!$A:$A,0),20),""),"")</f>
        <v/>
      </c>
    </row>
    <row r="361">
      <c r="A361" t="inlineStr">
        <is>
          <t>Phycis</t>
        </is>
      </c>
      <c r="B361">
        <f>IFERROR(INDEX(SPPR!$D:$D,MATCH($A361,SPPR!$A:$A,0)),"")</f>
        <v/>
      </c>
      <c r="C361">
        <f>IFERROR(INDEX(Catch!$E:$BV,MATCH($A361,Catch!$A:$A,0),MATCH($B$4,Catch!$E$1:$BV$1,0)),0)</f>
        <v/>
      </c>
      <c r="D361">
        <f>IFERROR(IF(ISNUMBER(INDEX(SPPR!$E:$X,MATCH($A361,SPPR!$A:$A,0),1)),$C361*INDEX(SPPR!$E:$X,MATCH($A361,SPPR!$A:$A,0),1),""),"")</f>
        <v/>
      </c>
      <c r="E361">
        <f>IFERROR(IF(ISNUMBER(INDEX(SPPR!$E:$X,MATCH($A361,SPPR!$A:$A,0),2)),$C361*INDEX(SPPR!$E:$X,MATCH($A361,SPPR!$A:$A,0),2),""),"")</f>
        <v/>
      </c>
      <c r="F361">
        <f>IFERROR(IF(ISNUMBER(INDEX(SPPR!$E:$X,MATCH($A361,SPPR!$A:$A,0),3)),$C361*INDEX(SPPR!$E:$X,MATCH($A361,SPPR!$A:$A,0),3),""),"")</f>
        <v/>
      </c>
      <c r="G361">
        <f>IFERROR(IF(ISNUMBER(INDEX(SPPR!$E:$X,MATCH($A361,SPPR!$A:$A,0),4)),$C361*INDEX(SPPR!$E:$X,MATCH($A361,SPPR!$A:$A,0),4),""),"")</f>
        <v/>
      </c>
      <c r="H361">
        <f>IFERROR(IF(ISNUMBER(INDEX(SPPR!$E:$X,MATCH($A361,SPPR!$A:$A,0),5)),$C361*INDEX(SPPR!$E:$X,MATCH($A361,SPPR!$A:$A,0),5),""),"")</f>
        <v/>
      </c>
      <c r="I361">
        <f>IFERROR(IF(ISNUMBER(INDEX(SPPR!$E:$X,MATCH($A361,SPPR!$A:$A,0),6)),$C361*INDEX(SPPR!$E:$X,MATCH($A361,SPPR!$A:$A,0),6),""),"")</f>
        <v/>
      </c>
      <c r="J361">
        <f>IFERROR(IF(ISNUMBER(INDEX(SPPR!$E:$X,MATCH($A361,SPPR!$A:$A,0),7)),$C361*INDEX(SPPR!$E:$X,MATCH($A361,SPPR!$A:$A,0),7),""),"")</f>
        <v/>
      </c>
      <c r="K361">
        <f>IFERROR(IF(ISNUMBER(INDEX(SPPR!$E:$X,MATCH($A361,SPPR!$A:$A,0),8)),$C361*INDEX(SPPR!$E:$X,MATCH($A361,SPPR!$A:$A,0),8),""),"")</f>
        <v/>
      </c>
      <c r="L361">
        <f>IFERROR(IF(ISNUMBER(INDEX(SPPR!$E:$X,MATCH($A361,SPPR!$A:$A,0),9)),$C361*INDEX(SPPR!$E:$X,MATCH($A361,SPPR!$A:$A,0),9),""),"")</f>
        <v/>
      </c>
      <c r="M361">
        <f>IFERROR(IF(ISNUMBER(INDEX(SPPR!$E:$X,MATCH($A361,SPPR!$A:$A,0),10)),$C361*INDEX(SPPR!$E:$X,MATCH($A361,SPPR!$A:$A,0),10),""),"")</f>
        <v/>
      </c>
      <c r="N361">
        <f>IFERROR(IF(ISNUMBER(INDEX(SPPR!$E:$X,MATCH($A361,SPPR!$A:$A,0),11)),$C361*INDEX(SPPR!$E:$X,MATCH($A361,SPPR!$A:$A,0),11),""),"")</f>
        <v/>
      </c>
      <c r="O361">
        <f>IFERROR(IF(ISNUMBER(INDEX(SPPR!$E:$X,MATCH($A361,SPPR!$A:$A,0),12)),$C361*INDEX(SPPR!$E:$X,MATCH($A361,SPPR!$A:$A,0),12),""),"")</f>
        <v/>
      </c>
      <c r="P361">
        <f>IFERROR(IF(ISNUMBER(INDEX(SPPR!$E:$X,MATCH($A361,SPPR!$A:$A,0),13)),$C361*INDEX(SPPR!$E:$X,MATCH($A361,SPPR!$A:$A,0),13),""),"")</f>
        <v/>
      </c>
      <c r="Q361">
        <f>IFERROR(IF(ISNUMBER(INDEX(SPPR!$E:$X,MATCH($A361,SPPR!$A:$A,0),14)),$C361*INDEX(SPPR!$E:$X,MATCH($A361,SPPR!$A:$A,0),14),""),"")</f>
        <v/>
      </c>
      <c r="R361">
        <f>IFERROR(IF(ISNUMBER(INDEX(SPPR!$E:$X,MATCH($A361,SPPR!$A:$A,0),15)),$C361*INDEX(SPPR!$E:$X,MATCH($A361,SPPR!$A:$A,0),15),""),"")</f>
        <v/>
      </c>
      <c r="S361">
        <f>IFERROR(IF(ISNUMBER(INDEX(SPPR!$E:$X,MATCH($A361,SPPR!$A:$A,0),16)),$C361*INDEX(SPPR!$E:$X,MATCH($A361,SPPR!$A:$A,0),16),""),"")</f>
        <v/>
      </c>
      <c r="T361">
        <f>IFERROR(IF(ISNUMBER(INDEX(SPPR!$E:$X,MATCH($A361,SPPR!$A:$A,0),17)),$C361*INDEX(SPPR!$E:$X,MATCH($A361,SPPR!$A:$A,0),17),""),"")</f>
        <v/>
      </c>
      <c r="U361">
        <f>IFERROR(IF(ISNUMBER(INDEX(SPPR!$E:$X,MATCH($A361,SPPR!$A:$A,0),18)),$C361*INDEX(SPPR!$E:$X,MATCH($A361,SPPR!$A:$A,0),18),""),"")</f>
        <v/>
      </c>
      <c r="V361">
        <f>IFERROR(IF(ISNUMBER(INDEX(SPPR!$E:$X,MATCH($A361,SPPR!$A:$A,0),19)),$C361*INDEX(SPPR!$E:$X,MATCH($A361,SPPR!$A:$A,0),19),""),"")</f>
        <v/>
      </c>
      <c r="W361">
        <f>IFERROR(IF(ISNUMBER(INDEX(SPPR!$E:$X,MATCH($A361,SPPR!$A:$A,0),20)),$C361*INDEX(SPPR!$E:$X,MATCH($A361,SPPR!$A:$A,0),20),""),"")</f>
        <v/>
      </c>
    </row>
    <row r="362">
      <c r="A362" t="inlineStr">
        <is>
          <t>Palinuridae</t>
        </is>
      </c>
      <c r="B362">
        <f>IFERROR(INDEX(SPPR!$D:$D,MATCH($A362,SPPR!$A:$A,0)),"")</f>
        <v/>
      </c>
      <c r="C362">
        <f>IFERROR(INDEX(Catch!$E:$BV,MATCH($A362,Catch!$A:$A,0),MATCH($B$4,Catch!$E$1:$BV$1,0)),0)</f>
        <v/>
      </c>
      <c r="D362">
        <f>IFERROR(IF(ISNUMBER(INDEX(SPPR!$E:$X,MATCH($A362,SPPR!$A:$A,0),1)),$C362*INDEX(SPPR!$E:$X,MATCH($A362,SPPR!$A:$A,0),1),""),"")</f>
        <v/>
      </c>
      <c r="E362">
        <f>IFERROR(IF(ISNUMBER(INDEX(SPPR!$E:$X,MATCH($A362,SPPR!$A:$A,0),2)),$C362*INDEX(SPPR!$E:$X,MATCH($A362,SPPR!$A:$A,0),2),""),"")</f>
        <v/>
      </c>
      <c r="F362">
        <f>IFERROR(IF(ISNUMBER(INDEX(SPPR!$E:$X,MATCH($A362,SPPR!$A:$A,0),3)),$C362*INDEX(SPPR!$E:$X,MATCH($A362,SPPR!$A:$A,0),3),""),"")</f>
        <v/>
      </c>
      <c r="G362">
        <f>IFERROR(IF(ISNUMBER(INDEX(SPPR!$E:$X,MATCH($A362,SPPR!$A:$A,0),4)),$C362*INDEX(SPPR!$E:$X,MATCH($A362,SPPR!$A:$A,0),4),""),"")</f>
        <v/>
      </c>
      <c r="H362">
        <f>IFERROR(IF(ISNUMBER(INDEX(SPPR!$E:$X,MATCH($A362,SPPR!$A:$A,0),5)),$C362*INDEX(SPPR!$E:$X,MATCH($A362,SPPR!$A:$A,0),5),""),"")</f>
        <v/>
      </c>
      <c r="I362">
        <f>IFERROR(IF(ISNUMBER(INDEX(SPPR!$E:$X,MATCH($A362,SPPR!$A:$A,0),6)),$C362*INDEX(SPPR!$E:$X,MATCH($A362,SPPR!$A:$A,0),6),""),"")</f>
        <v/>
      </c>
      <c r="J362">
        <f>IFERROR(IF(ISNUMBER(INDEX(SPPR!$E:$X,MATCH($A362,SPPR!$A:$A,0),7)),$C362*INDEX(SPPR!$E:$X,MATCH($A362,SPPR!$A:$A,0),7),""),"")</f>
        <v/>
      </c>
      <c r="K362">
        <f>IFERROR(IF(ISNUMBER(INDEX(SPPR!$E:$X,MATCH($A362,SPPR!$A:$A,0),8)),$C362*INDEX(SPPR!$E:$X,MATCH($A362,SPPR!$A:$A,0),8),""),"")</f>
        <v/>
      </c>
      <c r="L362">
        <f>IFERROR(IF(ISNUMBER(INDEX(SPPR!$E:$X,MATCH($A362,SPPR!$A:$A,0),9)),$C362*INDEX(SPPR!$E:$X,MATCH($A362,SPPR!$A:$A,0),9),""),"")</f>
        <v/>
      </c>
      <c r="M362">
        <f>IFERROR(IF(ISNUMBER(INDEX(SPPR!$E:$X,MATCH($A362,SPPR!$A:$A,0),10)),$C362*INDEX(SPPR!$E:$X,MATCH($A362,SPPR!$A:$A,0),10),""),"")</f>
        <v/>
      </c>
      <c r="N362">
        <f>IFERROR(IF(ISNUMBER(INDEX(SPPR!$E:$X,MATCH($A362,SPPR!$A:$A,0),11)),$C362*INDEX(SPPR!$E:$X,MATCH($A362,SPPR!$A:$A,0),11),""),"")</f>
        <v/>
      </c>
      <c r="O362">
        <f>IFERROR(IF(ISNUMBER(INDEX(SPPR!$E:$X,MATCH($A362,SPPR!$A:$A,0),12)),$C362*INDEX(SPPR!$E:$X,MATCH($A362,SPPR!$A:$A,0),12),""),"")</f>
        <v/>
      </c>
      <c r="P362">
        <f>IFERROR(IF(ISNUMBER(INDEX(SPPR!$E:$X,MATCH($A362,SPPR!$A:$A,0),13)),$C362*INDEX(SPPR!$E:$X,MATCH($A362,SPPR!$A:$A,0),13),""),"")</f>
        <v/>
      </c>
      <c r="Q362">
        <f>IFERROR(IF(ISNUMBER(INDEX(SPPR!$E:$X,MATCH($A362,SPPR!$A:$A,0),14)),$C362*INDEX(SPPR!$E:$X,MATCH($A362,SPPR!$A:$A,0),14),""),"")</f>
        <v/>
      </c>
      <c r="R362">
        <f>IFERROR(IF(ISNUMBER(INDEX(SPPR!$E:$X,MATCH($A362,SPPR!$A:$A,0),15)),$C362*INDEX(SPPR!$E:$X,MATCH($A362,SPPR!$A:$A,0),15),""),"")</f>
        <v/>
      </c>
      <c r="S362">
        <f>IFERROR(IF(ISNUMBER(INDEX(SPPR!$E:$X,MATCH($A362,SPPR!$A:$A,0),16)),$C362*INDEX(SPPR!$E:$X,MATCH($A362,SPPR!$A:$A,0),16),""),"")</f>
        <v/>
      </c>
      <c r="T362">
        <f>IFERROR(IF(ISNUMBER(INDEX(SPPR!$E:$X,MATCH($A362,SPPR!$A:$A,0),17)),$C362*INDEX(SPPR!$E:$X,MATCH($A362,SPPR!$A:$A,0),17),""),"")</f>
        <v/>
      </c>
      <c r="U362">
        <f>IFERROR(IF(ISNUMBER(INDEX(SPPR!$E:$X,MATCH($A362,SPPR!$A:$A,0),18)),$C362*INDEX(SPPR!$E:$X,MATCH($A362,SPPR!$A:$A,0),18),""),"")</f>
        <v/>
      </c>
      <c r="V362">
        <f>IFERROR(IF(ISNUMBER(INDEX(SPPR!$E:$X,MATCH($A362,SPPR!$A:$A,0),19)),$C362*INDEX(SPPR!$E:$X,MATCH($A362,SPPR!$A:$A,0),19),""),"")</f>
        <v/>
      </c>
      <c r="W362">
        <f>IFERROR(IF(ISNUMBER(INDEX(SPPR!$E:$X,MATCH($A362,SPPR!$A:$A,0),20)),$C362*INDEX(SPPR!$E:$X,MATCH($A362,SPPR!$A:$A,0),20),""),"")</f>
        <v/>
      </c>
    </row>
    <row r="363">
      <c r="A363" t="inlineStr">
        <is>
          <t>Chelon auratus</t>
        </is>
      </c>
      <c r="B363">
        <f>IFERROR(INDEX(SPPR!$D:$D,MATCH($A363,SPPR!$A:$A,0)),"")</f>
        <v/>
      </c>
      <c r="C363">
        <f>IFERROR(INDEX(Catch!$E:$BV,MATCH($A363,Catch!$A:$A,0),MATCH($B$4,Catch!$E$1:$BV$1,0)),0)</f>
        <v/>
      </c>
      <c r="D363">
        <f>IFERROR(IF(ISNUMBER(INDEX(SPPR!$E:$X,MATCH($A363,SPPR!$A:$A,0),1)),$C363*INDEX(SPPR!$E:$X,MATCH($A363,SPPR!$A:$A,0),1),""),"")</f>
        <v/>
      </c>
      <c r="E363">
        <f>IFERROR(IF(ISNUMBER(INDEX(SPPR!$E:$X,MATCH($A363,SPPR!$A:$A,0),2)),$C363*INDEX(SPPR!$E:$X,MATCH($A363,SPPR!$A:$A,0),2),""),"")</f>
        <v/>
      </c>
      <c r="F363">
        <f>IFERROR(IF(ISNUMBER(INDEX(SPPR!$E:$X,MATCH($A363,SPPR!$A:$A,0),3)),$C363*INDEX(SPPR!$E:$X,MATCH($A363,SPPR!$A:$A,0),3),""),"")</f>
        <v/>
      </c>
      <c r="G363">
        <f>IFERROR(IF(ISNUMBER(INDEX(SPPR!$E:$X,MATCH($A363,SPPR!$A:$A,0),4)),$C363*INDEX(SPPR!$E:$X,MATCH($A363,SPPR!$A:$A,0),4),""),"")</f>
        <v/>
      </c>
      <c r="H363">
        <f>IFERROR(IF(ISNUMBER(INDEX(SPPR!$E:$X,MATCH($A363,SPPR!$A:$A,0),5)),$C363*INDEX(SPPR!$E:$X,MATCH($A363,SPPR!$A:$A,0),5),""),"")</f>
        <v/>
      </c>
      <c r="I363">
        <f>IFERROR(IF(ISNUMBER(INDEX(SPPR!$E:$X,MATCH($A363,SPPR!$A:$A,0),6)),$C363*INDEX(SPPR!$E:$X,MATCH($A363,SPPR!$A:$A,0),6),""),"")</f>
        <v/>
      </c>
      <c r="J363">
        <f>IFERROR(IF(ISNUMBER(INDEX(SPPR!$E:$X,MATCH($A363,SPPR!$A:$A,0),7)),$C363*INDEX(SPPR!$E:$X,MATCH($A363,SPPR!$A:$A,0),7),""),"")</f>
        <v/>
      </c>
      <c r="K363">
        <f>IFERROR(IF(ISNUMBER(INDEX(SPPR!$E:$X,MATCH($A363,SPPR!$A:$A,0),8)),$C363*INDEX(SPPR!$E:$X,MATCH($A363,SPPR!$A:$A,0),8),""),"")</f>
        <v/>
      </c>
      <c r="L363">
        <f>IFERROR(IF(ISNUMBER(INDEX(SPPR!$E:$X,MATCH($A363,SPPR!$A:$A,0),9)),$C363*INDEX(SPPR!$E:$X,MATCH($A363,SPPR!$A:$A,0),9),""),"")</f>
        <v/>
      </c>
      <c r="M363">
        <f>IFERROR(IF(ISNUMBER(INDEX(SPPR!$E:$X,MATCH($A363,SPPR!$A:$A,0),10)),$C363*INDEX(SPPR!$E:$X,MATCH($A363,SPPR!$A:$A,0),10),""),"")</f>
        <v/>
      </c>
      <c r="N363">
        <f>IFERROR(IF(ISNUMBER(INDEX(SPPR!$E:$X,MATCH($A363,SPPR!$A:$A,0),11)),$C363*INDEX(SPPR!$E:$X,MATCH($A363,SPPR!$A:$A,0),11),""),"")</f>
        <v/>
      </c>
      <c r="O363">
        <f>IFERROR(IF(ISNUMBER(INDEX(SPPR!$E:$X,MATCH($A363,SPPR!$A:$A,0),12)),$C363*INDEX(SPPR!$E:$X,MATCH($A363,SPPR!$A:$A,0),12),""),"")</f>
        <v/>
      </c>
      <c r="P363">
        <f>IFERROR(IF(ISNUMBER(INDEX(SPPR!$E:$X,MATCH($A363,SPPR!$A:$A,0),13)),$C363*INDEX(SPPR!$E:$X,MATCH($A363,SPPR!$A:$A,0),13),""),"")</f>
        <v/>
      </c>
      <c r="Q363">
        <f>IFERROR(IF(ISNUMBER(INDEX(SPPR!$E:$X,MATCH($A363,SPPR!$A:$A,0),14)),$C363*INDEX(SPPR!$E:$X,MATCH($A363,SPPR!$A:$A,0),14),""),"")</f>
        <v/>
      </c>
      <c r="R363">
        <f>IFERROR(IF(ISNUMBER(INDEX(SPPR!$E:$X,MATCH($A363,SPPR!$A:$A,0),15)),$C363*INDEX(SPPR!$E:$X,MATCH($A363,SPPR!$A:$A,0),15),""),"")</f>
        <v/>
      </c>
      <c r="S363">
        <f>IFERROR(IF(ISNUMBER(INDEX(SPPR!$E:$X,MATCH($A363,SPPR!$A:$A,0),16)),$C363*INDEX(SPPR!$E:$X,MATCH($A363,SPPR!$A:$A,0),16),""),"")</f>
        <v/>
      </c>
      <c r="T363">
        <f>IFERROR(IF(ISNUMBER(INDEX(SPPR!$E:$X,MATCH($A363,SPPR!$A:$A,0),17)),$C363*INDEX(SPPR!$E:$X,MATCH($A363,SPPR!$A:$A,0),17),""),"")</f>
        <v/>
      </c>
      <c r="U363">
        <f>IFERROR(IF(ISNUMBER(INDEX(SPPR!$E:$X,MATCH($A363,SPPR!$A:$A,0),18)),$C363*INDEX(SPPR!$E:$X,MATCH($A363,SPPR!$A:$A,0),18),""),"")</f>
        <v/>
      </c>
      <c r="V363">
        <f>IFERROR(IF(ISNUMBER(INDEX(SPPR!$E:$X,MATCH($A363,SPPR!$A:$A,0),19)),$C363*INDEX(SPPR!$E:$X,MATCH($A363,SPPR!$A:$A,0),19),""),"")</f>
        <v/>
      </c>
      <c r="W363">
        <f>IFERROR(IF(ISNUMBER(INDEX(SPPR!$E:$X,MATCH($A363,SPPR!$A:$A,0),20)),$C363*INDEX(SPPR!$E:$X,MATCH($A363,SPPR!$A:$A,0),20),""),"")</f>
        <v/>
      </c>
    </row>
    <row r="364">
      <c r="A364" t="inlineStr">
        <is>
          <t>Trachichthyidae</t>
        </is>
      </c>
      <c r="B364">
        <f>IFERROR(INDEX(SPPR!$D:$D,MATCH($A364,SPPR!$A:$A,0)),"")</f>
        <v/>
      </c>
      <c r="C364">
        <f>IFERROR(INDEX(Catch!$E:$BV,MATCH($A364,Catch!$A:$A,0),MATCH($B$4,Catch!$E$1:$BV$1,0)),0)</f>
        <v/>
      </c>
      <c r="D364">
        <f>IFERROR(IF(ISNUMBER(INDEX(SPPR!$E:$X,MATCH($A364,SPPR!$A:$A,0),1)),$C364*INDEX(SPPR!$E:$X,MATCH($A364,SPPR!$A:$A,0),1),""),"")</f>
        <v/>
      </c>
      <c r="E364">
        <f>IFERROR(IF(ISNUMBER(INDEX(SPPR!$E:$X,MATCH($A364,SPPR!$A:$A,0),2)),$C364*INDEX(SPPR!$E:$X,MATCH($A364,SPPR!$A:$A,0),2),""),"")</f>
        <v/>
      </c>
      <c r="F364">
        <f>IFERROR(IF(ISNUMBER(INDEX(SPPR!$E:$X,MATCH($A364,SPPR!$A:$A,0),3)),$C364*INDEX(SPPR!$E:$X,MATCH($A364,SPPR!$A:$A,0),3),""),"")</f>
        <v/>
      </c>
      <c r="G364">
        <f>IFERROR(IF(ISNUMBER(INDEX(SPPR!$E:$X,MATCH($A364,SPPR!$A:$A,0),4)),$C364*INDEX(SPPR!$E:$X,MATCH($A364,SPPR!$A:$A,0),4),""),"")</f>
        <v/>
      </c>
      <c r="H364">
        <f>IFERROR(IF(ISNUMBER(INDEX(SPPR!$E:$X,MATCH($A364,SPPR!$A:$A,0),5)),$C364*INDEX(SPPR!$E:$X,MATCH($A364,SPPR!$A:$A,0),5),""),"")</f>
        <v/>
      </c>
      <c r="I364">
        <f>IFERROR(IF(ISNUMBER(INDEX(SPPR!$E:$X,MATCH($A364,SPPR!$A:$A,0),6)),$C364*INDEX(SPPR!$E:$X,MATCH($A364,SPPR!$A:$A,0),6),""),"")</f>
        <v/>
      </c>
      <c r="J364">
        <f>IFERROR(IF(ISNUMBER(INDEX(SPPR!$E:$X,MATCH($A364,SPPR!$A:$A,0),7)),$C364*INDEX(SPPR!$E:$X,MATCH($A364,SPPR!$A:$A,0),7),""),"")</f>
        <v/>
      </c>
      <c r="K364">
        <f>IFERROR(IF(ISNUMBER(INDEX(SPPR!$E:$X,MATCH($A364,SPPR!$A:$A,0),8)),$C364*INDEX(SPPR!$E:$X,MATCH($A364,SPPR!$A:$A,0),8),""),"")</f>
        <v/>
      </c>
      <c r="L364">
        <f>IFERROR(IF(ISNUMBER(INDEX(SPPR!$E:$X,MATCH($A364,SPPR!$A:$A,0),9)),$C364*INDEX(SPPR!$E:$X,MATCH($A364,SPPR!$A:$A,0),9),""),"")</f>
        <v/>
      </c>
      <c r="M364">
        <f>IFERROR(IF(ISNUMBER(INDEX(SPPR!$E:$X,MATCH($A364,SPPR!$A:$A,0),10)),$C364*INDEX(SPPR!$E:$X,MATCH($A364,SPPR!$A:$A,0),10),""),"")</f>
        <v/>
      </c>
      <c r="N364">
        <f>IFERROR(IF(ISNUMBER(INDEX(SPPR!$E:$X,MATCH($A364,SPPR!$A:$A,0),11)),$C364*INDEX(SPPR!$E:$X,MATCH($A364,SPPR!$A:$A,0),11),""),"")</f>
        <v/>
      </c>
      <c r="O364">
        <f>IFERROR(IF(ISNUMBER(INDEX(SPPR!$E:$X,MATCH($A364,SPPR!$A:$A,0),12)),$C364*INDEX(SPPR!$E:$X,MATCH($A364,SPPR!$A:$A,0),12),""),"")</f>
        <v/>
      </c>
      <c r="P364">
        <f>IFERROR(IF(ISNUMBER(INDEX(SPPR!$E:$X,MATCH($A364,SPPR!$A:$A,0),13)),$C364*INDEX(SPPR!$E:$X,MATCH($A364,SPPR!$A:$A,0),13),""),"")</f>
        <v/>
      </c>
      <c r="Q364">
        <f>IFERROR(IF(ISNUMBER(INDEX(SPPR!$E:$X,MATCH($A364,SPPR!$A:$A,0),14)),$C364*INDEX(SPPR!$E:$X,MATCH($A364,SPPR!$A:$A,0),14),""),"")</f>
        <v/>
      </c>
      <c r="R364">
        <f>IFERROR(IF(ISNUMBER(INDEX(SPPR!$E:$X,MATCH($A364,SPPR!$A:$A,0),15)),$C364*INDEX(SPPR!$E:$X,MATCH($A364,SPPR!$A:$A,0),15),""),"")</f>
        <v/>
      </c>
      <c r="S364">
        <f>IFERROR(IF(ISNUMBER(INDEX(SPPR!$E:$X,MATCH($A364,SPPR!$A:$A,0),16)),$C364*INDEX(SPPR!$E:$X,MATCH($A364,SPPR!$A:$A,0),16),""),"")</f>
        <v/>
      </c>
      <c r="T364">
        <f>IFERROR(IF(ISNUMBER(INDEX(SPPR!$E:$X,MATCH($A364,SPPR!$A:$A,0),17)),$C364*INDEX(SPPR!$E:$X,MATCH($A364,SPPR!$A:$A,0),17),""),"")</f>
        <v/>
      </c>
      <c r="U364">
        <f>IFERROR(IF(ISNUMBER(INDEX(SPPR!$E:$X,MATCH($A364,SPPR!$A:$A,0),18)),$C364*INDEX(SPPR!$E:$X,MATCH($A364,SPPR!$A:$A,0),18),""),"")</f>
        <v/>
      </c>
      <c r="V364">
        <f>IFERROR(IF(ISNUMBER(INDEX(SPPR!$E:$X,MATCH($A364,SPPR!$A:$A,0),19)),$C364*INDEX(SPPR!$E:$X,MATCH($A364,SPPR!$A:$A,0),19),""),"")</f>
        <v/>
      </c>
      <c r="W364">
        <f>IFERROR(IF(ISNUMBER(INDEX(SPPR!$E:$X,MATCH($A364,SPPR!$A:$A,0),20)),$C364*INDEX(SPPR!$E:$X,MATCH($A364,SPPR!$A:$A,0),20),""),"")</f>
        <v/>
      </c>
    </row>
    <row r="365">
      <c r="A365" t="inlineStr">
        <is>
          <t>Paracentrotus lividus</t>
        </is>
      </c>
      <c r="B365">
        <f>IFERROR(INDEX(SPPR!$D:$D,MATCH($A365,SPPR!$A:$A,0)),"")</f>
        <v/>
      </c>
      <c r="C365">
        <f>IFERROR(INDEX(Catch!$E:$BV,MATCH($A365,Catch!$A:$A,0),MATCH($B$4,Catch!$E$1:$BV$1,0)),0)</f>
        <v/>
      </c>
      <c r="D365">
        <f>IFERROR(IF(ISNUMBER(INDEX(SPPR!$E:$X,MATCH($A365,SPPR!$A:$A,0),1)),$C365*INDEX(SPPR!$E:$X,MATCH($A365,SPPR!$A:$A,0),1),""),"")</f>
        <v/>
      </c>
      <c r="E365">
        <f>IFERROR(IF(ISNUMBER(INDEX(SPPR!$E:$X,MATCH($A365,SPPR!$A:$A,0),2)),$C365*INDEX(SPPR!$E:$X,MATCH($A365,SPPR!$A:$A,0),2),""),"")</f>
        <v/>
      </c>
      <c r="F365">
        <f>IFERROR(IF(ISNUMBER(INDEX(SPPR!$E:$X,MATCH($A365,SPPR!$A:$A,0),3)),$C365*INDEX(SPPR!$E:$X,MATCH($A365,SPPR!$A:$A,0),3),""),"")</f>
        <v/>
      </c>
      <c r="G365">
        <f>IFERROR(IF(ISNUMBER(INDEX(SPPR!$E:$X,MATCH($A365,SPPR!$A:$A,0),4)),$C365*INDEX(SPPR!$E:$X,MATCH($A365,SPPR!$A:$A,0),4),""),"")</f>
        <v/>
      </c>
      <c r="H365">
        <f>IFERROR(IF(ISNUMBER(INDEX(SPPR!$E:$X,MATCH($A365,SPPR!$A:$A,0),5)),$C365*INDEX(SPPR!$E:$X,MATCH($A365,SPPR!$A:$A,0),5),""),"")</f>
        <v/>
      </c>
      <c r="I365">
        <f>IFERROR(IF(ISNUMBER(INDEX(SPPR!$E:$X,MATCH($A365,SPPR!$A:$A,0),6)),$C365*INDEX(SPPR!$E:$X,MATCH($A365,SPPR!$A:$A,0),6),""),"")</f>
        <v/>
      </c>
      <c r="J365">
        <f>IFERROR(IF(ISNUMBER(INDEX(SPPR!$E:$X,MATCH($A365,SPPR!$A:$A,0),7)),$C365*INDEX(SPPR!$E:$X,MATCH($A365,SPPR!$A:$A,0),7),""),"")</f>
        <v/>
      </c>
      <c r="K365">
        <f>IFERROR(IF(ISNUMBER(INDEX(SPPR!$E:$X,MATCH($A365,SPPR!$A:$A,0),8)),$C365*INDEX(SPPR!$E:$X,MATCH($A365,SPPR!$A:$A,0),8),""),"")</f>
        <v/>
      </c>
      <c r="L365">
        <f>IFERROR(IF(ISNUMBER(INDEX(SPPR!$E:$X,MATCH($A365,SPPR!$A:$A,0),9)),$C365*INDEX(SPPR!$E:$X,MATCH($A365,SPPR!$A:$A,0),9),""),"")</f>
        <v/>
      </c>
      <c r="M365">
        <f>IFERROR(IF(ISNUMBER(INDEX(SPPR!$E:$X,MATCH($A365,SPPR!$A:$A,0),10)),$C365*INDEX(SPPR!$E:$X,MATCH($A365,SPPR!$A:$A,0),10),""),"")</f>
        <v/>
      </c>
      <c r="N365">
        <f>IFERROR(IF(ISNUMBER(INDEX(SPPR!$E:$X,MATCH($A365,SPPR!$A:$A,0),11)),$C365*INDEX(SPPR!$E:$X,MATCH($A365,SPPR!$A:$A,0),11),""),"")</f>
        <v/>
      </c>
      <c r="O365">
        <f>IFERROR(IF(ISNUMBER(INDEX(SPPR!$E:$X,MATCH($A365,SPPR!$A:$A,0),12)),$C365*INDEX(SPPR!$E:$X,MATCH($A365,SPPR!$A:$A,0),12),""),"")</f>
        <v/>
      </c>
      <c r="P365">
        <f>IFERROR(IF(ISNUMBER(INDEX(SPPR!$E:$X,MATCH($A365,SPPR!$A:$A,0),13)),$C365*INDEX(SPPR!$E:$X,MATCH($A365,SPPR!$A:$A,0),13),""),"")</f>
        <v/>
      </c>
      <c r="Q365">
        <f>IFERROR(IF(ISNUMBER(INDEX(SPPR!$E:$X,MATCH($A365,SPPR!$A:$A,0),14)),$C365*INDEX(SPPR!$E:$X,MATCH($A365,SPPR!$A:$A,0),14),""),"")</f>
        <v/>
      </c>
      <c r="R365">
        <f>IFERROR(IF(ISNUMBER(INDEX(SPPR!$E:$X,MATCH($A365,SPPR!$A:$A,0),15)),$C365*INDEX(SPPR!$E:$X,MATCH($A365,SPPR!$A:$A,0),15),""),"")</f>
        <v/>
      </c>
      <c r="S365">
        <f>IFERROR(IF(ISNUMBER(INDEX(SPPR!$E:$X,MATCH($A365,SPPR!$A:$A,0),16)),$C365*INDEX(SPPR!$E:$X,MATCH($A365,SPPR!$A:$A,0),16),""),"")</f>
        <v/>
      </c>
      <c r="T365">
        <f>IFERROR(IF(ISNUMBER(INDEX(SPPR!$E:$X,MATCH($A365,SPPR!$A:$A,0),17)),$C365*INDEX(SPPR!$E:$X,MATCH($A365,SPPR!$A:$A,0),17),""),"")</f>
        <v/>
      </c>
      <c r="U365">
        <f>IFERROR(IF(ISNUMBER(INDEX(SPPR!$E:$X,MATCH($A365,SPPR!$A:$A,0),18)),$C365*INDEX(SPPR!$E:$X,MATCH($A365,SPPR!$A:$A,0),18),""),"")</f>
        <v/>
      </c>
      <c r="V365">
        <f>IFERROR(IF(ISNUMBER(INDEX(SPPR!$E:$X,MATCH($A365,SPPR!$A:$A,0),19)),$C365*INDEX(SPPR!$E:$X,MATCH($A365,SPPR!$A:$A,0),19),""),"")</f>
        <v/>
      </c>
      <c r="W365">
        <f>IFERROR(IF(ISNUMBER(INDEX(SPPR!$E:$X,MATCH($A365,SPPR!$A:$A,0),20)),$C365*INDEX(SPPR!$E:$X,MATCH($A365,SPPR!$A:$A,0),20),""),"")</f>
        <v/>
      </c>
    </row>
    <row r="366">
      <c r="A366" t="inlineStr">
        <is>
          <t>Istiophorus albicans</t>
        </is>
      </c>
      <c r="B366">
        <f>IFERROR(INDEX(SPPR!$D:$D,MATCH($A366,SPPR!$A:$A,0)),"")</f>
        <v/>
      </c>
      <c r="C366">
        <f>IFERROR(INDEX(Catch!$E:$BV,MATCH($A366,Catch!$A:$A,0),MATCH($B$4,Catch!$E$1:$BV$1,0)),0)</f>
        <v/>
      </c>
      <c r="D366">
        <f>IFERROR(IF(ISNUMBER(INDEX(SPPR!$E:$X,MATCH($A366,SPPR!$A:$A,0),1)),$C366*INDEX(SPPR!$E:$X,MATCH($A366,SPPR!$A:$A,0),1),""),"")</f>
        <v/>
      </c>
      <c r="E366">
        <f>IFERROR(IF(ISNUMBER(INDEX(SPPR!$E:$X,MATCH($A366,SPPR!$A:$A,0),2)),$C366*INDEX(SPPR!$E:$X,MATCH($A366,SPPR!$A:$A,0),2),""),"")</f>
        <v/>
      </c>
      <c r="F366">
        <f>IFERROR(IF(ISNUMBER(INDEX(SPPR!$E:$X,MATCH($A366,SPPR!$A:$A,0),3)),$C366*INDEX(SPPR!$E:$X,MATCH($A366,SPPR!$A:$A,0),3),""),"")</f>
        <v/>
      </c>
      <c r="G366">
        <f>IFERROR(IF(ISNUMBER(INDEX(SPPR!$E:$X,MATCH($A366,SPPR!$A:$A,0),4)),$C366*INDEX(SPPR!$E:$X,MATCH($A366,SPPR!$A:$A,0),4),""),"")</f>
        <v/>
      </c>
      <c r="H366">
        <f>IFERROR(IF(ISNUMBER(INDEX(SPPR!$E:$X,MATCH($A366,SPPR!$A:$A,0),5)),$C366*INDEX(SPPR!$E:$X,MATCH($A366,SPPR!$A:$A,0),5),""),"")</f>
        <v/>
      </c>
      <c r="I366">
        <f>IFERROR(IF(ISNUMBER(INDEX(SPPR!$E:$X,MATCH($A366,SPPR!$A:$A,0),6)),$C366*INDEX(SPPR!$E:$X,MATCH($A366,SPPR!$A:$A,0),6),""),"")</f>
        <v/>
      </c>
      <c r="J366">
        <f>IFERROR(IF(ISNUMBER(INDEX(SPPR!$E:$X,MATCH($A366,SPPR!$A:$A,0),7)),$C366*INDEX(SPPR!$E:$X,MATCH($A366,SPPR!$A:$A,0),7),""),"")</f>
        <v/>
      </c>
      <c r="K366">
        <f>IFERROR(IF(ISNUMBER(INDEX(SPPR!$E:$X,MATCH($A366,SPPR!$A:$A,0),8)),$C366*INDEX(SPPR!$E:$X,MATCH($A366,SPPR!$A:$A,0),8),""),"")</f>
        <v/>
      </c>
      <c r="L366">
        <f>IFERROR(IF(ISNUMBER(INDEX(SPPR!$E:$X,MATCH($A366,SPPR!$A:$A,0),9)),$C366*INDEX(SPPR!$E:$X,MATCH($A366,SPPR!$A:$A,0),9),""),"")</f>
        <v/>
      </c>
      <c r="M366">
        <f>IFERROR(IF(ISNUMBER(INDEX(SPPR!$E:$X,MATCH($A366,SPPR!$A:$A,0),10)),$C366*INDEX(SPPR!$E:$X,MATCH($A366,SPPR!$A:$A,0),10),""),"")</f>
        <v/>
      </c>
      <c r="N366">
        <f>IFERROR(IF(ISNUMBER(INDEX(SPPR!$E:$X,MATCH($A366,SPPR!$A:$A,0),11)),$C366*INDEX(SPPR!$E:$X,MATCH($A366,SPPR!$A:$A,0),11),""),"")</f>
        <v/>
      </c>
      <c r="O366">
        <f>IFERROR(IF(ISNUMBER(INDEX(SPPR!$E:$X,MATCH($A366,SPPR!$A:$A,0),12)),$C366*INDEX(SPPR!$E:$X,MATCH($A366,SPPR!$A:$A,0),12),""),"")</f>
        <v/>
      </c>
      <c r="P366">
        <f>IFERROR(IF(ISNUMBER(INDEX(SPPR!$E:$X,MATCH($A366,SPPR!$A:$A,0),13)),$C366*INDEX(SPPR!$E:$X,MATCH($A366,SPPR!$A:$A,0),13),""),"")</f>
        <v/>
      </c>
      <c r="Q366">
        <f>IFERROR(IF(ISNUMBER(INDEX(SPPR!$E:$X,MATCH($A366,SPPR!$A:$A,0),14)),$C366*INDEX(SPPR!$E:$X,MATCH($A366,SPPR!$A:$A,0),14),""),"")</f>
        <v/>
      </c>
      <c r="R366">
        <f>IFERROR(IF(ISNUMBER(INDEX(SPPR!$E:$X,MATCH($A366,SPPR!$A:$A,0),15)),$C366*INDEX(SPPR!$E:$X,MATCH($A366,SPPR!$A:$A,0),15),""),"")</f>
        <v/>
      </c>
      <c r="S366">
        <f>IFERROR(IF(ISNUMBER(INDEX(SPPR!$E:$X,MATCH($A366,SPPR!$A:$A,0),16)),$C366*INDEX(SPPR!$E:$X,MATCH($A366,SPPR!$A:$A,0),16),""),"")</f>
        <v/>
      </c>
      <c r="T366">
        <f>IFERROR(IF(ISNUMBER(INDEX(SPPR!$E:$X,MATCH($A366,SPPR!$A:$A,0),17)),$C366*INDEX(SPPR!$E:$X,MATCH($A366,SPPR!$A:$A,0),17),""),"")</f>
        <v/>
      </c>
      <c r="U366">
        <f>IFERROR(IF(ISNUMBER(INDEX(SPPR!$E:$X,MATCH($A366,SPPR!$A:$A,0),18)),$C366*INDEX(SPPR!$E:$X,MATCH($A366,SPPR!$A:$A,0),18),""),"")</f>
        <v/>
      </c>
      <c r="V366">
        <f>IFERROR(IF(ISNUMBER(INDEX(SPPR!$E:$X,MATCH($A366,SPPR!$A:$A,0),19)),$C366*INDEX(SPPR!$E:$X,MATCH($A366,SPPR!$A:$A,0),19),""),"")</f>
        <v/>
      </c>
      <c r="W366">
        <f>IFERROR(IF(ISNUMBER(INDEX(SPPR!$E:$X,MATCH($A366,SPPR!$A:$A,0),20)),$C366*INDEX(SPPR!$E:$X,MATCH($A366,SPPR!$A:$A,0),20),""),"")</f>
        <v/>
      </c>
    </row>
    <row r="367">
      <c r="A367" t="inlineStr">
        <is>
          <t>Dicentrarchus punctatus</t>
        </is>
      </c>
      <c r="B367">
        <f>IFERROR(INDEX(SPPR!$D:$D,MATCH($A367,SPPR!$A:$A,0)),"")</f>
        <v/>
      </c>
      <c r="C367">
        <f>IFERROR(INDEX(Catch!$E:$BV,MATCH($A367,Catch!$A:$A,0),MATCH($B$4,Catch!$E$1:$BV$1,0)),0)</f>
        <v/>
      </c>
      <c r="D367">
        <f>IFERROR(IF(ISNUMBER(INDEX(SPPR!$E:$X,MATCH($A367,SPPR!$A:$A,0),1)),$C367*INDEX(SPPR!$E:$X,MATCH($A367,SPPR!$A:$A,0),1),""),"")</f>
        <v/>
      </c>
      <c r="E367">
        <f>IFERROR(IF(ISNUMBER(INDEX(SPPR!$E:$X,MATCH($A367,SPPR!$A:$A,0),2)),$C367*INDEX(SPPR!$E:$X,MATCH($A367,SPPR!$A:$A,0),2),""),"")</f>
        <v/>
      </c>
      <c r="F367">
        <f>IFERROR(IF(ISNUMBER(INDEX(SPPR!$E:$X,MATCH($A367,SPPR!$A:$A,0),3)),$C367*INDEX(SPPR!$E:$X,MATCH($A367,SPPR!$A:$A,0),3),""),"")</f>
        <v/>
      </c>
      <c r="G367">
        <f>IFERROR(IF(ISNUMBER(INDEX(SPPR!$E:$X,MATCH($A367,SPPR!$A:$A,0),4)),$C367*INDEX(SPPR!$E:$X,MATCH($A367,SPPR!$A:$A,0),4),""),"")</f>
        <v/>
      </c>
      <c r="H367">
        <f>IFERROR(IF(ISNUMBER(INDEX(SPPR!$E:$X,MATCH($A367,SPPR!$A:$A,0),5)),$C367*INDEX(SPPR!$E:$X,MATCH($A367,SPPR!$A:$A,0),5),""),"")</f>
        <v/>
      </c>
      <c r="I367">
        <f>IFERROR(IF(ISNUMBER(INDEX(SPPR!$E:$X,MATCH($A367,SPPR!$A:$A,0),6)),$C367*INDEX(SPPR!$E:$X,MATCH($A367,SPPR!$A:$A,0),6),""),"")</f>
        <v/>
      </c>
      <c r="J367">
        <f>IFERROR(IF(ISNUMBER(INDEX(SPPR!$E:$X,MATCH($A367,SPPR!$A:$A,0),7)),$C367*INDEX(SPPR!$E:$X,MATCH($A367,SPPR!$A:$A,0),7),""),"")</f>
        <v/>
      </c>
      <c r="K367">
        <f>IFERROR(IF(ISNUMBER(INDEX(SPPR!$E:$X,MATCH($A367,SPPR!$A:$A,0),8)),$C367*INDEX(SPPR!$E:$X,MATCH($A367,SPPR!$A:$A,0),8),""),"")</f>
        <v/>
      </c>
      <c r="L367">
        <f>IFERROR(IF(ISNUMBER(INDEX(SPPR!$E:$X,MATCH($A367,SPPR!$A:$A,0),9)),$C367*INDEX(SPPR!$E:$X,MATCH($A367,SPPR!$A:$A,0),9),""),"")</f>
        <v/>
      </c>
      <c r="M367">
        <f>IFERROR(IF(ISNUMBER(INDEX(SPPR!$E:$X,MATCH($A367,SPPR!$A:$A,0),10)),$C367*INDEX(SPPR!$E:$X,MATCH($A367,SPPR!$A:$A,0),10),""),"")</f>
        <v/>
      </c>
      <c r="N367">
        <f>IFERROR(IF(ISNUMBER(INDEX(SPPR!$E:$X,MATCH($A367,SPPR!$A:$A,0),11)),$C367*INDEX(SPPR!$E:$X,MATCH($A367,SPPR!$A:$A,0),11),""),"")</f>
        <v/>
      </c>
      <c r="O367">
        <f>IFERROR(IF(ISNUMBER(INDEX(SPPR!$E:$X,MATCH($A367,SPPR!$A:$A,0),12)),$C367*INDEX(SPPR!$E:$X,MATCH($A367,SPPR!$A:$A,0),12),""),"")</f>
        <v/>
      </c>
      <c r="P367">
        <f>IFERROR(IF(ISNUMBER(INDEX(SPPR!$E:$X,MATCH($A367,SPPR!$A:$A,0),13)),$C367*INDEX(SPPR!$E:$X,MATCH($A367,SPPR!$A:$A,0),13),""),"")</f>
        <v/>
      </c>
      <c r="Q367">
        <f>IFERROR(IF(ISNUMBER(INDEX(SPPR!$E:$X,MATCH($A367,SPPR!$A:$A,0),14)),$C367*INDEX(SPPR!$E:$X,MATCH($A367,SPPR!$A:$A,0),14),""),"")</f>
        <v/>
      </c>
      <c r="R367">
        <f>IFERROR(IF(ISNUMBER(INDEX(SPPR!$E:$X,MATCH($A367,SPPR!$A:$A,0),15)),$C367*INDEX(SPPR!$E:$X,MATCH($A367,SPPR!$A:$A,0),15),""),"")</f>
        <v/>
      </c>
      <c r="S367">
        <f>IFERROR(IF(ISNUMBER(INDEX(SPPR!$E:$X,MATCH($A367,SPPR!$A:$A,0),16)),$C367*INDEX(SPPR!$E:$X,MATCH($A367,SPPR!$A:$A,0),16),""),"")</f>
        <v/>
      </c>
      <c r="T367">
        <f>IFERROR(IF(ISNUMBER(INDEX(SPPR!$E:$X,MATCH($A367,SPPR!$A:$A,0),17)),$C367*INDEX(SPPR!$E:$X,MATCH($A367,SPPR!$A:$A,0),17),""),"")</f>
        <v/>
      </c>
      <c r="U367">
        <f>IFERROR(IF(ISNUMBER(INDEX(SPPR!$E:$X,MATCH($A367,SPPR!$A:$A,0),18)),$C367*INDEX(SPPR!$E:$X,MATCH($A367,SPPR!$A:$A,0),18),""),"")</f>
        <v/>
      </c>
      <c r="V367">
        <f>IFERROR(IF(ISNUMBER(INDEX(SPPR!$E:$X,MATCH($A367,SPPR!$A:$A,0),19)),$C367*INDEX(SPPR!$E:$X,MATCH($A367,SPPR!$A:$A,0),19),""),"")</f>
        <v/>
      </c>
      <c r="W367">
        <f>IFERROR(IF(ISNUMBER(INDEX(SPPR!$E:$X,MATCH($A367,SPPR!$A:$A,0),20)),$C367*INDEX(SPPR!$E:$X,MATCH($A367,SPPR!$A:$A,0),20),""),"")</f>
        <v/>
      </c>
    </row>
    <row r="368">
      <c r="A368" t="inlineStr">
        <is>
          <t>Bramidae</t>
        </is>
      </c>
      <c r="B368">
        <f>IFERROR(INDEX(SPPR!$D:$D,MATCH($A368,SPPR!$A:$A,0)),"")</f>
        <v/>
      </c>
      <c r="C368">
        <f>IFERROR(INDEX(Catch!$E:$BV,MATCH($A368,Catch!$A:$A,0),MATCH($B$4,Catch!$E$1:$BV$1,0)),0)</f>
        <v/>
      </c>
      <c r="D368">
        <f>IFERROR(IF(ISNUMBER(INDEX(SPPR!$E:$X,MATCH($A368,SPPR!$A:$A,0),1)),$C368*INDEX(SPPR!$E:$X,MATCH($A368,SPPR!$A:$A,0),1),""),"")</f>
        <v/>
      </c>
      <c r="E368">
        <f>IFERROR(IF(ISNUMBER(INDEX(SPPR!$E:$X,MATCH($A368,SPPR!$A:$A,0),2)),$C368*INDEX(SPPR!$E:$X,MATCH($A368,SPPR!$A:$A,0),2),""),"")</f>
        <v/>
      </c>
      <c r="F368">
        <f>IFERROR(IF(ISNUMBER(INDEX(SPPR!$E:$X,MATCH($A368,SPPR!$A:$A,0),3)),$C368*INDEX(SPPR!$E:$X,MATCH($A368,SPPR!$A:$A,0),3),""),"")</f>
        <v/>
      </c>
      <c r="G368">
        <f>IFERROR(IF(ISNUMBER(INDEX(SPPR!$E:$X,MATCH($A368,SPPR!$A:$A,0),4)),$C368*INDEX(SPPR!$E:$X,MATCH($A368,SPPR!$A:$A,0),4),""),"")</f>
        <v/>
      </c>
      <c r="H368">
        <f>IFERROR(IF(ISNUMBER(INDEX(SPPR!$E:$X,MATCH($A368,SPPR!$A:$A,0),5)),$C368*INDEX(SPPR!$E:$X,MATCH($A368,SPPR!$A:$A,0),5),""),"")</f>
        <v/>
      </c>
      <c r="I368">
        <f>IFERROR(IF(ISNUMBER(INDEX(SPPR!$E:$X,MATCH($A368,SPPR!$A:$A,0),6)),$C368*INDEX(SPPR!$E:$X,MATCH($A368,SPPR!$A:$A,0),6),""),"")</f>
        <v/>
      </c>
      <c r="J368">
        <f>IFERROR(IF(ISNUMBER(INDEX(SPPR!$E:$X,MATCH($A368,SPPR!$A:$A,0),7)),$C368*INDEX(SPPR!$E:$X,MATCH($A368,SPPR!$A:$A,0),7),""),"")</f>
        <v/>
      </c>
      <c r="K368">
        <f>IFERROR(IF(ISNUMBER(INDEX(SPPR!$E:$X,MATCH($A368,SPPR!$A:$A,0),8)),$C368*INDEX(SPPR!$E:$X,MATCH($A368,SPPR!$A:$A,0),8),""),"")</f>
        <v/>
      </c>
      <c r="L368">
        <f>IFERROR(IF(ISNUMBER(INDEX(SPPR!$E:$X,MATCH($A368,SPPR!$A:$A,0),9)),$C368*INDEX(SPPR!$E:$X,MATCH($A368,SPPR!$A:$A,0),9),""),"")</f>
        <v/>
      </c>
      <c r="M368">
        <f>IFERROR(IF(ISNUMBER(INDEX(SPPR!$E:$X,MATCH($A368,SPPR!$A:$A,0),10)),$C368*INDEX(SPPR!$E:$X,MATCH($A368,SPPR!$A:$A,0),10),""),"")</f>
        <v/>
      </c>
      <c r="N368">
        <f>IFERROR(IF(ISNUMBER(INDEX(SPPR!$E:$X,MATCH($A368,SPPR!$A:$A,0),11)),$C368*INDEX(SPPR!$E:$X,MATCH($A368,SPPR!$A:$A,0),11),""),"")</f>
        <v/>
      </c>
      <c r="O368">
        <f>IFERROR(IF(ISNUMBER(INDEX(SPPR!$E:$X,MATCH($A368,SPPR!$A:$A,0),12)),$C368*INDEX(SPPR!$E:$X,MATCH($A368,SPPR!$A:$A,0),12),""),"")</f>
        <v/>
      </c>
      <c r="P368">
        <f>IFERROR(IF(ISNUMBER(INDEX(SPPR!$E:$X,MATCH($A368,SPPR!$A:$A,0),13)),$C368*INDEX(SPPR!$E:$X,MATCH($A368,SPPR!$A:$A,0),13),""),"")</f>
        <v/>
      </c>
      <c r="Q368">
        <f>IFERROR(IF(ISNUMBER(INDEX(SPPR!$E:$X,MATCH($A368,SPPR!$A:$A,0),14)),$C368*INDEX(SPPR!$E:$X,MATCH($A368,SPPR!$A:$A,0),14),""),"")</f>
        <v/>
      </c>
      <c r="R368">
        <f>IFERROR(IF(ISNUMBER(INDEX(SPPR!$E:$X,MATCH($A368,SPPR!$A:$A,0),15)),$C368*INDEX(SPPR!$E:$X,MATCH($A368,SPPR!$A:$A,0),15),""),"")</f>
        <v/>
      </c>
      <c r="S368">
        <f>IFERROR(IF(ISNUMBER(INDEX(SPPR!$E:$X,MATCH($A368,SPPR!$A:$A,0),16)),$C368*INDEX(SPPR!$E:$X,MATCH($A368,SPPR!$A:$A,0),16),""),"")</f>
        <v/>
      </c>
      <c r="T368">
        <f>IFERROR(IF(ISNUMBER(INDEX(SPPR!$E:$X,MATCH($A368,SPPR!$A:$A,0),17)),$C368*INDEX(SPPR!$E:$X,MATCH($A368,SPPR!$A:$A,0),17),""),"")</f>
        <v/>
      </c>
      <c r="U368">
        <f>IFERROR(IF(ISNUMBER(INDEX(SPPR!$E:$X,MATCH($A368,SPPR!$A:$A,0),18)),$C368*INDEX(SPPR!$E:$X,MATCH($A368,SPPR!$A:$A,0),18),""),"")</f>
        <v/>
      </c>
      <c r="V368">
        <f>IFERROR(IF(ISNUMBER(INDEX(SPPR!$E:$X,MATCH($A368,SPPR!$A:$A,0),19)),$C368*INDEX(SPPR!$E:$X,MATCH($A368,SPPR!$A:$A,0),19),""),"")</f>
        <v/>
      </c>
      <c r="W368">
        <f>IFERROR(IF(ISNUMBER(INDEX(SPPR!$E:$X,MATCH($A368,SPPR!$A:$A,0),20)),$C368*INDEX(SPPR!$E:$X,MATCH($A368,SPPR!$A:$A,0),20),""),"")</f>
        <v/>
      </c>
    </row>
    <row r="369">
      <c r="A369" t="inlineStr">
        <is>
          <t>Spisula ovalis</t>
        </is>
      </c>
      <c r="B369">
        <f>IFERROR(INDEX(SPPR!$D:$D,MATCH($A369,SPPR!$A:$A,0)),"")</f>
        <v/>
      </c>
      <c r="C369">
        <f>IFERROR(INDEX(Catch!$E:$BV,MATCH($A369,Catch!$A:$A,0),MATCH($B$4,Catch!$E$1:$BV$1,0)),0)</f>
        <v/>
      </c>
      <c r="D369">
        <f>IFERROR(IF(ISNUMBER(INDEX(SPPR!$E:$X,MATCH($A369,SPPR!$A:$A,0),1)),$C369*INDEX(SPPR!$E:$X,MATCH($A369,SPPR!$A:$A,0),1),""),"")</f>
        <v/>
      </c>
      <c r="E369">
        <f>IFERROR(IF(ISNUMBER(INDEX(SPPR!$E:$X,MATCH($A369,SPPR!$A:$A,0),2)),$C369*INDEX(SPPR!$E:$X,MATCH($A369,SPPR!$A:$A,0),2),""),"")</f>
        <v/>
      </c>
      <c r="F369">
        <f>IFERROR(IF(ISNUMBER(INDEX(SPPR!$E:$X,MATCH($A369,SPPR!$A:$A,0),3)),$C369*INDEX(SPPR!$E:$X,MATCH($A369,SPPR!$A:$A,0),3),""),"")</f>
        <v/>
      </c>
      <c r="G369">
        <f>IFERROR(IF(ISNUMBER(INDEX(SPPR!$E:$X,MATCH($A369,SPPR!$A:$A,0),4)),$C369*INDEX(SPPR!$E:$X,MATCH($A369,SPPR!$A:$A,0),4),""),"")</f>
        <v/>
      </c>
      <c r="H369">
        <f>IFERROR(IF(ISNUMBER(INDEX(SPPR!$E:$X,MATCH($A369,SPPR!$A:$A,0),5)),$C369*INDEX(SPPR!$E:$X,MATCH($A369,SPPR!$A:$A,0),5),""),"")</f>
        <v/>
      </c>
      <c r="I369">
        <f>IFERROR(IF(ISNUMBER(INDEX(SPPR!$E:$X,MATCH($A369,SPPR!$A:$A,0),6)),$C369*INDEX(SPPR!$E:$X,MATCH($A369,SPPR!$A:$A,0),6),""),"")</f>
        <v/>
      </c>
      <c r="J369">
        <f>IFERROR(IF(ISNUMBER(INDEX(SPPR!$E:$X,MATCH($A369,SPPR!$A:$A,0),7)),$C369*INDEX(SPPR!$E:$X,MATCH($A369,SPPR!$A:$A,0),7),""),"")</f>
        <v/>
      </c>
      <c r="K369">
        <f>IFERROR(IF(ISNUMBER(INDEX(SPPR!$E:$X,MATCH($A369,SPPR!$A:$A,0),8)),$C369*INDEX(SPPR!$E:$X,MATCH($A369,SPPR!$A:$A,0),8),""),"")</f>
        <v/>
      </c>
      <c r="L369">
        <f>IFERROR(IF(ISNUMBER(INDEX(SPPR!$E:$X,MATCH($A369,SPPR!$A:$A,0),9)),$C369*INDEX(SPPR!$E:$X,MATCH($A369,SPPR!$A:$A,0),9),""),"")</f>
        <v/>
      </c>
      <c r="M369">
        <f>IFERROR(IF(ISNUMBER(INDEX(SPPR!$E:$X,MATCH($A369,SPPR!$A:$A,0),10)),$C369*INDEX(SPPR!$E:$X,MATCH($A369,SPPR!$A:$A,0),10),""),"")</f>
        <v/>
      </c>
      <c r="N369">
        <f>IFERROR(IF(ISNUMBER(INDEX(SPPR!$E:$X,MATCH($A369,SPPR!$A:$A,0),11)),$C369*INDEX(SPPR!$E:$X,MATCH($A369,SPPR!$A:$A,0),11),""),"")</f>
        <v/>
      </c>
      <c r="O369">
        <f>IFERROR(IF(ISNUMBER(INDEX(SPPR!$E:$X,MATCH($A369,SPPR!$A:$A,0),12)),$C369*INDEX(SPPR!$E:$X,MATCH($A369,SPPR!$A:$A,0),12),""),"")</f>
        <v/>
      </c>
      <c r="P369">
        <f>IFERROR(IF(ISNUMBER(INDEX(SPPR!$E:$X,MATCH($A369,SPPR!$A:$A,0),13)),$C369*INDEX(SPPR!$E:$X,MATCH($A369,SPPR!$A:$A,0),13),""),"")</f>
        <v/>
      </c>
      <c r="Q369">
        <f>IFERROR(IF(ISNUMBER(INDEX(SPPR!$E:$X,MATCH($A369,SPPR!$A:$A,0),14)),$C369*INDEX(SPPR!$E:$X,MATCH($A369,SPPR!$A:$A,0),14),""),"")</f>
        <v/>
      </c>
      <c r="R369">
        <f>IFERROR(IF(ISNUMBER(INDEX(SPPR!$E:$X,MATCH($A369,SPPR!$A:$A,0),15)),$C369*INDEX(SPPR!$E:$X,MATCH($A369,SPPR!$A:$A,0),15),""),"")</f>
        <v/>
      </c>
      <c r="S369">
        <f>IFERROR(IF(ISNUMBER(INDEX(SPPR!$E:$X,MATCH($A369,SPPR!$A:$A,0),16)),$C369*INDEX(SPPR!$E:$X,MATCH($A369,SPPR!$A:$A,0),16),""),"")</f>
        <v/>
      </c>
      <c r="T369">
        <f>IFERROR(IF(ISNUMBER(INDEX(SPPR!$E:$X,MATCH($A369,SPPR!$A:$A,0),17)),$C369*INDEX(SPPR!$E:$X,MATCH($A369,SPPR!$A:$A,0),17),""),"")</f>
        <v/>
      </c>
      <c r="U369">
        <f>IFERROR(IF(ISNUMBER(INDEX(SPPR!$E:$X,MATCH($A369,SPPR!$A:$A,0),18)),$C369*INDEX(SPPR!$E:$X,MATCH($A369,SPPR!$A:$A,0),18),""),"")</f>
        <v/>
      </c>
      <c r="V369">
        <f>IFERROR(IF(ISNUMBER(INDEX(SPPR!$E:$X,MATCH($A369,SPPR!$A:$A,0),19)),$C369*INDEX(SPPR!$E:$X,MATCH($A369,SPPR!$A:$A,0),19),""),"")</f>
        <v/>
      </c>
      <c r="W369">
        <f>IFERROR(IF(ISNUMBER(INDEX(SPPR!$E:$X,MATCH($A369,SPPR!$A:$A,0),20)),$C369*INDEX(SPPR!$E:$X,MATCH($A369,SPPR!$A:$A,0),20),""),"")</f>
        <v/>
      </c>
    </row>
    <row r="370">
      <c r="A370" t="inlineStr">
        <is>
          <t>Chlamys islandica</t>
        </is>
      </c>
      <c r="B370">
        <f>IFERROR(INDEX(SPPR!$D:$D,MATCH($A370,SPPR!$A:$A,0)),"")</f>
        <v/>
      </c>
      <c r="C370">
        <f>IFERROR(INDEX(Catch!$E:$BV,MATCH($A370,Catch!$A:$A,0),MATCH($B$4,Catch!$E$1:$BV$1,0)),0)</f>
        <v/>
      </c>
      <c r="D370">
        <f>IFERROR(IF(ISNUMBER(INDEX(SPPR!$E:$X,MATCH($A370,SPPR!$A:$A,0),1)),$C370*INDEX(SPPR!$E:$X,MATCH($A370,SPPR!$A:$A,0),1),""),"")</f>
        <v/>
      </c>
      <c r="E370">
        <f>IFERROR(IF(ISNUMBER(INDEX(SPPR!$E:$X,MATCH($A370,SPPR!$A:$A,0),2)),$C370*INDEX(SPPR!$E:$X,MATCH($A370,SPPR!$A:$A,0),2),""),"")</f>
        <v/>
      </c>
      <c r="F370">
        <f>IFERROR(IF(ISNUMBER(INDEX(SPPR!$E:$X,MATCH($A370,SPPR!$A:$A,0),3)),$C370*INDEX(SPPR!$E:$X,MATCH($A370,SPPR!$A:$A,0),3),""),"")</f>
        <v/>
      </c>
      <c r="G370">
        <f>IFERROR(IF(ISNUMBER(INDEX(SPPR!$E:$X,MATCH($A370,SPPR!$A:$A,0),4)),$C370*INDEX(SPPR!$E:$X,MATCH($A370,SPPR!$A:$A,0),4),""),"")</f>
        <v/>
      </c>
      <c r="H370">
        <f>IFERROR(IF(ISNUMBER(INDEX(SPPR!$E:$X,MATCH($A370,SPPR!$A:$A,0),5)),$C370*INDEX(SPPR!$E:$X,MATCH($A370,SPPR!$A:$A,0),5),""),"")</f>
        <v/>
      </c>
      <c r="I370">
        <f>IFERROR(IF(ISNUMBER(INDEX(SPPR!$E:$X,MATCH($A370,SPPR!$A:$A,0),6)),$C370*INDEX(SPPR!$E:$X,MATCH($A370,SPPR!$A:$A,0),6),""),"")</f>
        <v/>
      </c>
      <c r="J370">
        <f>IFERROR(IF(ISNUMBER(INDEX(SPPR!$E:$X,MATCH($A370,SPPR!$A:$A,0),7)),$C370*INDEX(SPPR!$E:$X,MATCH($A370,SPPR!$A:$A,0),7),""),"")</f>
        <v/>
      </c>
      <c r="K370">
        <f>IFERROR(IF(ISNUMBER(INDEX(SPPR!$E:$X,MATCH($A370,SPPR!$A:$A,0),8)),$C370*INDEX(SPPR!$E:$X,MATCH($A370,SPPR!$A:$A,0),8),""),"")</f>
        <v/>
      </c>
      <c r="L370">
        <f>IFERROR(IF(ISNUMBER(INDEX(SPPR!$E:$X,MATCH($A370,SPPR!$A:$A,0),9)),$C370*INDEX(SPPR!$E:$X,MATCH($A370,SPPR!$A:$A,0),9),""),"")</f>
        <v/>
      </c>
      <c r="M370">
        <f>IFERROR(IF(ISNUMBER(INDEX(SPPR!$E:$X,MATCH($A370,SPPR!$A:$A,0),10)),$C370*INDEX(SPPR!$E:$X,MATCH($A370,SPPR!$A:$A,0),10),""),"")</f>
        <v/>
      </c>
      <c r="N370">
        <f>IFERROR(IF(ISNUMBER(INDEX(SPPR!$E:$X,MATCH($A370,SPPR!$A:$A,0),11)),$C370*INDEX(SPPR!$E:$X,MATCH($A370,SPPR!$A:$A,0),11),""),"")</f>
        <v/>
      </c>
      <c r="O370">
        <f>IFERROR(IF(ISNUMBER(INDEX(SPPR!$E:$X,MATCH($A370,SPPR!$A:$A,0),12)),$C370*INDEX(SPPR!$E:$X,MATCH($A370,SPPR!$A:$A,0),12),""),"")</f>
        <v/>
      </c>
      <c r="P370">
        <f>IFERROR(IF(ISNUMBER(INDEX(SPPR!$E:$X,MATCH($A370,SPPR!$A:$A,0),13)),$C370*INDEX(SPPR!$E:$X,MATCH($A370,SPPR!$A:$A,0),13),""),"")</f>
        <v/>
      </c>
      <c r="Q370">
        <f>IFERROR(IF(ISNUMBER(INDEX(SPPR!$E:$X,MATCH($A370,SPPR!$A:$A,0),14)),$C370*INDEX(SPPR!$E:$X,MATCH($A370,SPPR!$A:$A,0),14),""),"")</f>
        <v/>
      </c>
      <c r="R370">
        <f>IFERROR(IF(ISNUMBER(INDEX(SPPR!$E:$X,MATCH($A370,SPPR!$A:$A,0),15)),$C370*INDEX(SPPR!$E:$X,MATCH($A370,SPPR!$A:$A,0),15),""),"")</f>
        <v/>
      </c>
      <c r="S370">
        <f>IFERROR(IF(ISNUMBER(INDEX(SPPR!$E:$X,MATCH($A370,SPPR!$A:$A,0),16)),$C370*INDEX(SPPR!$E:$X,MATCH($A370,SPPR!$A:$A,0),16),""),"")</f>
        <v/>
      </c>
      <c r="T370">
        <f>IFERROR(IF(ISNUMBER(INDEX(SPPR!$E:$X,MATCH($A370,SPPR!$A:$A,0),17)),$C370*INDEX(SPPR!$E:$X,MATCH($A370,SPPR!$A:$A,0),17),""),"")</f>
        <v/>
      </c>
      <c r="U370">
        <f>IFERROR(IF(ISNUMBER(INDEX(SPPR!$E:$X,MATCH($A370,SPPR!$A:$A,0),18)),$C370*INDEX(SPPR!$E:$X,MATCH($A370,SPPR!$A:$A,0),18),""),"")</f>
        <v/>
      </c>
      <c r="V370">
        <f>IFERROR(IF(ISNUMBER(INDEX(SPPR!$E:$X,MATCH($A370,SPPR!$A:$A,0),19)),$C370*INDEX(SPPR!$E:$X,MATCH($A370,SPPR!$A:$A,0),19),""),"")</f>
        <v/>
      </c>
      <c r="W370">
        <f>IFERROR(IF(ISNUMBER(INDEX(SPPR!$E:$X,MATCH($A370,SPPR!$A:$A,0),20)),$C370*INDEX(SPPR!$E:$X,MATCH($A370,SPPR!$A:$A,0),20),""),"")</f>
        <v/>
      </c>
    </row>
    <row r="371">
      <c r="A371" t="inlineStr">
        <is>
          <t>Ammodytes tobianus</t>
        </is>
      </c>
      <c r="B371">
        <f>IFERROR(INDEX(SPPR!$D:$D,MATCH($A371,SPPR!$A:$A,0)),"")</f>
        <v/>
      </c>
      <c r="C371">
        <f>IFERROR(INDEX(Catch!$E:$BV,MATCH($A371,Catch!$A:$A,0),MATCH($B$4,Catch!$E$1:$BV$1,0)),0)</f>
        <v/>
      </c>
      <c r="D371">
        <f>IFERROR(IF(ISNUMBER(INDEX(SPPR!$E:$X,MATCH($A371,SPPR!$A:$A,0),1)),$C371*INDEX(SPPR!$E:$X,MATCH($A371,SPPR!$A:$A,0),1),""),"")</f>
        <v/>
      </c>
      <c r="E371">
        <f>IFERROR(IF(ISNUMBER(INDEX(SPPR!$E:$X,MATCH($A371,SPPR!$A:$A,0),2)),$C371*INDEX(SPPR!$E:$X,MATCH($A371,SPPR!$A:$A,0),2),""),"")</f>
        <v/>
      </c>
      <c r="F371">
        <f>IFERROR(IF(ISNUMBER(INDEX(SPPR!$E:$X,MATCH($A371,SPPR!$A:$A,0),3)),$C371*INDEX(SPPR!$E:$X,MATCH($A371,SPPR!$A:$A,0),3),""),"")</f>
        <v/>
      </c>
      <c r="G371">
        <f>IFERROR(IF(ISNUMBER(INDEX(SPPR!$E:$X,MATCH($A371,SPPR!$A:$A,0),4)),$C371*INDEX(SPPR!$E:$X,MATCH($A371,SPPR!$A:$A,0),4),""),"")</f>
        <v/>
      </c>
      <c r="H371">
        <f>IFERROR(IF(ISNUMBER(INDEX(SPPR!$E:$X,MATCH($A371,SPPR!$A:$A,0),5)),$C371*INDEX(SPPR!$E:$X,MATCH($A371,SPPR!$A:$A,0),5),""),"")</f>
        <v/>
      </c>
      <c r="I371">
        <f>IFERROR(IF(ISNUMBER(INDEX(SPPR!$E:$X,MATCH($A371,SPPR!$A:$A,0),6)),$C371*INDEX(SPPR!$E:$X,MATCH($A371,SPPR!$A:$A,0),6),""),"")</f>
        <v/>
      </c>
      <c r="J371">
        <f>IFERROR(IF(ISNUMBER(INDEX(SPPR!$E:$X,MATCH($A371,SPPR!$A:$A,0),7)),$C371*INDEX(SPPR!$E:$X,MATCH($A371,SPPR!$A:$A,0),7),""),"")</f>
        <v/>
      </c>
      <c r="K371">
        <f>IFERROR(IF(ISNUMBER(INDEX(SPPR!$E:$X,MATCH($A371,SPPR!$A:$A,0),8)),$C371*INDEX(SPPR!$E:$X,MATCH($A371,SPPR!$A:$A,0),8),""),"")</f>
        <v/>
      </c>
      <c r="L371">
        <f>IFERROR(IF(ISNUMBER(INDEX(SPPR!$E:$X,MATCH($A371,SPPR!$A:$A,0),9)),$C371*INDEX(SPPR!$E:$X,MATCH($A371,SPPR!$A:$A,0),9),""),"")</f>
        <v/>
      </c>
      <c r="M371">
        <f>IFERROR(IF(ISNUMBER(INDEX(SPPR!$E:$X,MATCH($A371,SPPR!$A:$A,0),10)),$C371*INDEX(SPPR!$E:$X,MATCH($A371,SPPR!$A:$A,0),10),""),"")</f>
        <v/>
      </c>
      <c r="N371">
        <f>IFERROR(IF(ISNUMBER(INDEX(SPPR!$E:$X,MATCH($A371,SPPR!$A:$A,0),11)),$C371*INDEX(SPPR!$E:$X,MATCH($A371,SPPR!$A:$A,0),11),""),"")</f>
        <v/>
      </c>
      <c r="O371">
        <f>IFERROR(IF(ISNUMBER(INDEX(SPPR!$E:$X,MATCH($A371,SPPR!$A:$A,0),12)),$C371*INDEX(SPPR!$E:$X,MATCH($A371,SPPR!$A:$A,0),12),""),"")</f>
        <v/>
      </c>
      <c r="P371">
        <f>IFERROR(IF(ISNUMBER(INDEX(SPPR!$E:$X,MATCH($A371,SPPR!$A:$A,0),13)),$C371*INDEX(SPPR!$E:$X,MATCH($A371,SPPR!$A:$A,0),13),""),"")</f>
        <v/>
      </c>
      <c r="Q371">
        <f>IFERROR(IF(ISNUMBER(INDEX(SPPR!$E:$X,MATCH($A371,SPPR!$A:$A,0),14)),$C371*INDEX(SPPR!$E:$X,MATCH($A371,SPPR!$A:$A,0),14),""),"")</f>
        <v/>
      </c>
      <c r="R371">
        <f>IFERROR(IF(ISNUMBER(INDEX(SPPR!$E:$X,MATCH($A371,SPPR!$A:$A,0),15)),$C371*INDEX(SPPR!$E:$X,MATCH($A371,SPPR!$A:$A,0),15),""),"")</f>
        <v/>
      </c>
      <c r="S371">
        <f>IFERROR(IF(ISNUMBER(INDEX(SPPR!$E:$X,MATCH($A371,SPPR!$A:$A,0),16)),$C371*INDEX(SPPR!$E:$X,MATCH($A371,SPPR!$A:$A,0),16),""),"")</f>
        <v/>
      </c>
      <c r="T371">
        <f>IFERROR(IF(ISNUMBER(INDEX(SPPR!$E:$X,MATCH($A371,SPPR!$A:$A,0),17)),$C371*INDEX(SPPR!$E:$X,MATCH($A371,SPPR!$A:$A,0),17),""),"")</f>
        <v/>
      </c>
      <c r="U371">
        <f>IFERROR(IF(ISNUMBER(INDEX(SPPR!$E:$X,MATCH($A371,SPPR!$A:$A,0),18)),$C371*INDEX(SPPR!$E:$X,MATCH($A371,SPPR!$A:$A,0),18),""),"")</f>
        <v/>
      </c>
      <c r="V371">
        <f>IFERROR(IF(ISNUMBER(INDEX(SPPR!$E:$X,MATCH($A371,SPPR!$A:$A,0),19)),$C371*INDEX(SPPR!$E:$X,MATCH($A371,SPPR!$A:$A,0),19),""),"")</f>
        <v/>
      </c>
      <c r="W371">
        <f>IFERROR(IF(ISNUMBER(INDEX(SPPR!$E:$X,MATCH($A371,SPPR!$A:$A,0),20)),$C371*INDEX(SPPR!$E:$X,MATCH($A371,SPPR!$A:$A,0),20),""),"")</f>
        <v/>
      </c>
    </row>
    <row r="372">
      <c r="A372" t="inlineStr">
        <is>
          <t>Centroscyllium fabricii</t>
        </is>
      </c>
      <c r="B372">
        <f>IFERROR(INDEX(SPPR!$D:$D,MATCH($A372,SPPR!$A:$A,0)),"")</f>
        <v/>
      </c>
      <c r="C372">
        <f>IFERROR(INDEX(Catch!$E:$BV,MATCH($A372,Catch!$A:$A,0),MATCH($B$4,Catch!$E$1:$BV$1,0)),0)</f>
        <v/>
      </c>
      <c r="D372">
        <f>IFERROR(IF(ISNUMBER(INDEX(SPPR!$E:$X,MATCH($A372,SPPR!$A:$A,0),1)),$C372*INDEX(SPPR!$E:$X,MATCH($A372,SPPR!$A:$A,0),1),""),"")</f>
        <v/>
      </c>
      <c r="E372">
        <f>IFERROR(IF(ISNUMBER(INDEX(SPPR!$E:$X,MATCH($A372,SPPR!$A:$A,0),2)),$C372*INDEX(SPPR!$E:$X,MATCH($A372,SPPR!$A:$A,0),2),""),"")</f>
        <v/>
      </c>
      <c r="F372">
        <f>IFERROR(IF(ISNUMBER(INDEX(SPPR!$E:$X,MATCH($A372,SPPR!$A:$A,0),3)),$C372*INDEX(SPPR!$E:$X,MATCH($A372,SPPR!$A:$A,0),3),""),"")</f>
        <v/>
      </c>
      <c r="G372">
        <f>IFERROR(IF(ISNUMBER(INDEX(SPPR!$E:$X,MATCH($A372,SPPR!$A:$A,0),4)),$C372*INDEX(SPPR!$E:$X,MATCH($A372,SPPR!$A:$A,0),4),""),"")</f>
        <v/>
      </c>
      <c r="H372">
        <f>IFERROR(IF(ISNUMBER(INDEX(SPPR!$E:$X,MATCH($A372,SPPR!$A:$A,0),5)),$C372*INDEX(SPPR!$E:$X,MATCH($A372,SPPR!$A:$A,0),5),""),"")</f>
        <v/>
      </c>
      <c r="I372">
        <f>IFERROR(IF(ISNUMBER(INDEX(SPPR!$E:$X,MATCH($A372,SPPR!$A:$A,0),6)),$C372*INDEX(SPPR!$E:$X,MATCH($A372,SPPR!$A:$A,0),6),""),"")</f>
        <v/>
      </c>
      <c r="J372">
        <f>IFERROR(IF(ISNUMBER(INDEX(SPPR!$E:$X,MATCH($A372,SPPR!$A:$A,0),7)),$C372*INDEX(SPPR!$E:$X,MATCH($A372,SPPR!$A:$A,0),7),""),"")</f>
        <v/>
      </c>
      <c r="K372">
        <f>IFERROR(IF(ISNUMBER(INDEX(SPPR!$E:$X,MATCH($A372,SPPR!$A:$A,0),8)),$C372*INDEX(SPPR!$E:$X,MATCH($A372,SPPR!$A:$A,0),8),""),"")</f>
        <v/>
      </c>
      <c r="L372">
        <f>IFERROR(IF(ISNUMBER(INDEX(SPPR!$E:$X,MATCH($A372,SPPR!$A:$A,0),9)),$C372*INDEX(SPPR!$E:$X,MATCH($A372,SPPR!$A:$A,0),9),""),"")</f>
        <v/>
      </c>
      <c r="M372">
        <f>IFERROR(IF(ISNUMBER(INDEX(SPPR!$E:$X,MATCH($A372,SPPR!$A:$A,0),10)),$C372*INDEX(SPPR!$E:$X,MATCH($A372,SPPR!$A:$A,0),10),""),"")</f>
        <v/>
      </c>
      <c r="N372">
        <f>IFERROR(IF(ISNUMBER(INDEX(SPPR!$E:$X,MATCH($A372,SPPR!$A:$A,0),11)),$C372*INDEX(SPPR!$E:$X,MATCH($A372,SPPR!$A:$A,0),11),""),"")</f>
        <v/>
      </c>
      <c r="O372">
        <f>IFERROR(IF(ISNUMBER(INDEX(SPPR!$E:$X,MATCH($A372,SPPR!$A:$A,0),12)),$C372*INDEX(SPPR!$E:$X,MATCH($A372,SPPR!$A:$A,0),12),""),"")</f>
        <v/>
      </c>
      <c r="P372">
        <f>IFERROR(IF(ISNUMBER(INDEX(SPPR!$E:$X,MATCH($A372,SPPR!$A:$A,0),13)),$C372*INDEX(SPPR!$E:$X,MATCH($A372,SPPR!$A:$A,0),13),""),"")</f>
        <v/>
      </c>
      <c r="Q372">
        <f>IFERROR(IF(ISNUMBER(INDEX(SPPR!$E:$X,MATCH($A372,SPPR!$A:$A,0),14)),$C372*INDEX(SPPR!$E:$X,MATCH($A372,SPPR!$A:$A,0),14),""),"")</f>
        <v/>
      </c>
      <c r="R372">
        <f>IFERROR(IF(ISNUMBER(INDEX(SPPR!$E:$X,MATCH($A372,SPPR!$A:$A,0),15)),$C372*INDEX(SPPR!$E:$X,MATCH($A372,SPPR!$A:$A,0),15),""),"")</f>
        <v/>
      </c>
      <c r="S372">
        <f>IFERROR(IF(ISNUMBER(INDEX(SPPR!$E:$X,MATCH($A372,SPPR!$A:$A,0),16)),$C372*INDEX(SPPR!$E:$X,MATCH($A372,SPPR!$A:$A,0),16),""),"")</f>
        <v/>
      </c>
      <c r="T372">
        <f>IFERROR(IF(ISNUMBER(INDEX(SPPR!$E:$X,MATCH($A372,SPPR!$A:$A,0),17)),$C372*INDEX(SPPR!$E:$X,MATCH($A372,SPPR!$A:$A,0),17),""),"")</f>
        <v/>
      </c>
      <c r="U372">
        <f>IFERROR(IF(ISNUMBER(INDEX(SPPR!$E:$X,MATCH($A372,SPPR!$A:$A,0),18)),$C372*INDEX(SPPR!$E:$X,MATCH($A372,SPPR!$A:$A,0),18),""),"")</f>
        <v/>
      </c>
      <c r="V372">
        <f>IFERROR(IF(ISNUMBER(INDEX(SPPR!$E:$X,MATCH($A372,SPPR!$A:$A,0),19)),$C372*INDEX(SPPR!$E:$X,MATCH($A372,SPPR!$A:$A,0),19),""),"")</f>
        <v/>
      </c>
      <c r="W372">
        <f>IFERROR(IF(ISNUMBER(INDEX(SPPR!$E:$X,MATCH($A372,SPPR!$A:$A,0),20)),$C372*INDEX(SPPR!$E:$X,MATCH($A372,SPPR!$A:$A,0),20),""),"")</f>
        <v/>
      </c>
    </row>
    <row r="373">
      <c r="A373" t="inlineStr">
        <is>
          <t>Myliobatis aquila</t>
        </is>
      </c>
      <c r="B373">
        <f>IFERROR(INDEX(SPPR!$D:$D,MATCH($A373,SPPR!$A:$A,0)),"")</f>
        <v/>
      </c>
      <c r="C373">
        <f>IFERROR(INDEX(Catch!$E:$BV,MATCH($A373,Catch!$A:$A,0),MATCH($B$4,Catch!$E$1:$BV$1,0)),0)</f>
        <v/>
      </c>
      <c r="D373">
        <f>IFERROR(IF(ISNUMBER(INDEX(SPPR!$E:$X,MATCH($A373,SPPR!$A:$A,0),1)),$C373*INDEX(SPPR!$E:$X,MATCH($A373,SPPR!$A:$A,0),1),""),"")</f>
        <v/>
      </c>
      <c r="E373">
        <f>IFERROR(IF(ISNUMBER(INDEX(SPPR!$E:$X,MATCH($A373,SPPR!$A:$A,0),2)),$C373*INDEX(SPPR!$E:$X,MATCH($A373,SPPR!$A:$A,0),2),""),"")</f>
        <v/>
      </c>
      <c r="F373">
        <f>IFERROR(IF(ISNUMBER(INDEX(SPPR!$E:$X,MATCH($A373,SPPR!$A:$A,0),3)),$C373*INDEX(SPPR!$E:$X,MATCH($A373,SPPR!$A:$A,0),3),""),"")</f>
        <v/>
      </c>
      <c r="G373">
        <f>IFERROR(IF(ISNUMBER(INDEX(SPPR!$E:$X,MATCH($A373,SPPR!$A:$A,0),4)),$C373*INDEX(SPPR!$E:$X,MATCH($A373,SPPR!$A:$A,0),4),""),"")</f>
        <v/>
      </c>
      <c r="H373">
        <f>IFERROR(IF(ISNUMBER(INDEX(SPPR!$E:$X,MATCH($A373,SPPR!$A:$A,0),5)),$C373*INDEX(SPPR!$E:$X,MATCH($A373,SPPR!$A:$A,0),5),""),"")</f>
        <v/>
      </c>
      <c r="I373">
        <f>IFERROR(IF(ISNUMBER(INDEX(SPPR!$E:$X,MATCH($A373,SPPR!$A:$A,0),6)),$C373*INDEX(SPPR!$E:$X,MATCH($A373,SPPR!$A:$A,0),6),""),"")</f>
        <v/>
      </c>
      <c r="J373">
        <f>IFERROR(IF(ISNUMBER(INDEX(SPPR!$E:$X,MATCH($A373,SPPR!$A:$A,0),7)),$C373*INDEX(SPPR!$E:$X,MATCH($A373,SPPR!$A:$A,0),7),""),"")</f>
        <v/>
      </c>
      <c r="K373">
        <f>IFERROR(IF(ISNUMBER(INDEX(SPPR!$E:$X,MATCH($A373,SPPR!$A:$A,0),8)),$C373*INDEX(SPPR!$E:$X,MATCH($A373,SPPR!$A:$A,0),8),""),"")</f>
        <v/>
      </c>
      <c r="L373">
        <f>IFERROR(IF(ISNUMBER(INDEX(SPPR!$E:$X,MATCH($A373,SPPR!$A:$A,0),9)),$C373*INDEX(SPPR!$E:$X,MATCH($A373,SPPR!$A:$A,0),9),""),"")</f>
        <v/>
      </c>
      <c r="M373">
        <f>IFERROR(IF(ISNUMBER(INDEX(SPPR!$E:$X,MATCH($A373,SPPR!$A:$A,0),10)),$C373*INDEX(SPPR!$E:$X,MATCH($A373,SPPR!$A:$A,0),10),""),"")</f>
        <v/>
      </c>
      <c r="N373">
        <f>IFERROR(IF(ISNUMBER(INDEX(SPPR!$E:$X,MATCH($A373,SPPR!$A:$A,0),11)),$C373*INDEX(SPPR!$E:$X,MATCH($A373,SPPR!$A:$A,0),11),""),"")</f>
        <v/>
      </c>
      <c r="O373">
        <f>IFERROR(IF(ISNUMBER(INDEX(SPPR!$E:$X,MATCH($A373,SPPR!$A:$A,0),12)),$C373*INDEX(SPPR!$E:$X,MATCH($A373,SPPR!$A:$A,0),12),""),"")</f>
        <v/>
      </c>
      <c r="P373">
        <f>IFERROR(IF(ISNUMBER(INDEX(SPPR!$E:$X,MATCH($A373,SPPR!$A:$A,0),13)),$C373*INDEX(SPPR!$E:$X,MATCH($A373,SPPR!$A:$A,0),13),""),"")</f>
        <v/>
      </c>
      <c r="Q373">
        <f>IFERROR(IF(ISNUMBER(INDEX(SPPR!$E:$X,MATCH($A373,SPPR!$A:$A,0),14)),$C373*INDEX(SPPR!$E:$X,MATCH($A373,SPPR!$A:$A,0),14),""),"")</f>
        <v/>
      </c>
      <c r="R373">
        <f>IFERROR(IF(ISNUMBER(INDEX(SPPR!$E:$X,MATCH($A373,SPPR!$A:$A,0),15)),$C373*INDEX(SPPR!$E:$X,MATCH($A373,SPPR!$A:$A,0),15),""),"")</f>
        <v/>
      </c>
      <c r="S373">
        <f>IFERROR(IF(ISNUMBER(INDEX(SPPR!$E:$X,MATCH($A373,SPPR!$A:$A,0),16)),$C373*INDEX(SPPR!$E:$X,MATCH($A373,SPPR!$A:$A,0),16),""),"")</f>
        <v/>
      </c>
      <c r="T373">
        <f>IFERROR(IF(ISNUMBER(INDEX(SPPR!$E:$X,MATCH($A373,SPPR!$A:$A,0),17)),$C373*INDEX(SPPR!$E:$X,MATCH($A373,SPPR!$A:$A,0),17),""),"")</f>
        <v/>
      </c>
      <c r="U373">
        <f>IFERROR(IF(ISNUMBER(INDEX(SPPR!$E:$X,MATCH($A373,SPPR!$A:$A,0),18)),$C373*INDEX(SPPR!$E:$X,MATCH($A373,SPPR!$A:$A,0),18),""),"")</f>
        <v/>
      </c>
      <c r="V373">
        <f>IFERROR(IF(ISNUMBER(INDEX(SPPR!$E:$X,MATCH($A373,SPPR!$A:$A,0),19)),$C373*INDEX(SPPR!$E:$X,MATCH($A373,SPPR!$A:$A,0),19),""),"")</f>
        <v/>
      </c>
      <c r="W373">
        <f>IFERROR(IF(ISNUMBER(INDEX(SPPR!$E:$X,MATCH($A373,SPPR!$A:$A,0),20)),$C373*INDEX(SPPR!$E:$X,MATCH($A373,SPPR!$A:$A,0),20),""),"")</f>
        <v/>
      </c>
    </row>
    <row r="374">
      <c r="A374" t="inlineStr">
        <is>
          <t>Galeus melastomus</t>
        </is>
      </c>
      <c r="B374">
        <f>IFERROR(INDEX(SPPR!$D:$D,MATCH($A374,SPPR!$A:$A,0)),"")</f>
        <v/>
      </c>
      <c r="C374">
        <f>IFERROR(INDEX(Catch!$E:$BV,MATCH($A374,Catch!$A:$A,0),MATCH($B$4,Catch!$E$1:$BV$1,0)),0)</f>
        <v/>
      </c>
      <c r="D374">
        <f>IFERROR(IF(ISNUMBER(INDEX(SPPR!$E:$X,MATCH($A374,SPPR!$A:$A,0),1)),$C374*INDEX(SPPR!$E:$X,MATCH($A374,SPPR!$A:$A,0),1),""),"")</f>
        <v/>
      </c>
      <c r="E374">
        <f>IFERROR(IF(ISNUMBER(INDEX(SPPR!$E:$X,MATCH($A374,SPPR!$A:$A,0),2)),$C374*INDEX(SPPR!$E:$X,MATCH($A374,SPPR!$A:$A,0),2),""),"")</f>
        <v/>
      </c>
      <c r="F374">
        <f>IFERROR(IF(ISNUMBER(INDEX(SPPR!$E:$X,MATCH($A374,SPPR!$A:$A,0),3)),$C374*INDEX(SPPR!$E:$X,MATCH($A374,SPPR!$A:$A,0),3),""),"")</f>
        <v/>
      </c>
      <c r="G374">
        <f>IFERROR(IF(ISNUMBER(INDEX(SPPR!$E:$X,MATCH($A374,SPPR!$A:$A,0),4)),$C374*INDEX(SPPR!$E:$X,MATCH($A374,SPPR!$A:$A,0),4),""),"")</f>
        <v/>
      </c>
      <c r="H374">
        <f>IFERROR(IF(ISNUMBER(INDEX(SPPR!$E:$X,MATCH($A374,SPPR!$A:$A,0),5)),$C374*INDEX(SPPR!$E:$X,MATCH($A374,SPPR!$A:$A,0),5),""),"")</f>
        <v/>
      </c>
      <c r="I374">
        <f>IFERROR(IF(ISNUMBER(INDEX(SPPR!$E:$X,MATCH($A374,SPPR!$A:$A,0),6)),$C374*INDEX(SPPR!$E:$X,MATCH($A374,SPPR!$A:$A,0),6),""),"")</f>
        <v/>
      </c>
      <c r="J374">
        <f>IFERROR(IF(ISNUMBER(INDEX(SPPR!$E:$X,MATCH($A374,SPPR!$A:$A,0),7)),$C374*INDEX(SPPR!$E:$X,MATCH($A374,SPPR!$A:$A,0),7),""),"")</f>
        <v/>
      </c>
      <c r="K374">
        <f>IFERROR(IF(ISNUMBER(INDEX(SPPR!$E:$X,MATCH($A374,SPPR!$A:$A,0),8)),$C374*INDEX(SPPR!$E:$X,MATCH($A374,SPPR!$A:$A,0),8),""),"")</f>
        <v/>
      </c>
      <c r="L374">
        <f>IFERROR(IF(ISNUMBER(INDEX(SPPR!$E:$X,MATCH($A374,SPPR!$A:$A,0),9)),$C374*INDEX(SPPR!$E:$X,MATCH($A374,SPPR!$A:$A,0),9),""),"")</f>
        <v/>
      </c>
      <c r="M374">
        <f>IFERROR(IF(ISNUMBER(INDEX(SPPR!$E:$X,MATCH($A374,SPPR!$A:$A,0),10)),$C374*INDEX(SPPR!$E:$X,MATCH($A374,SPPR!$A:$A,0),10),""),"")</f>
        <v/>
      </c>
      <c r="N374">
        <f>IFERROR(IF(ISNUMBER(INDEX(SPPR!$E:$X,MATCH($A374,SPPR!$A:$A,0),11)),$C374*INDEX(SPPR!$E:$X,MATCH($A374,SPPR!$A:$A,0),11),""),"")</f>
        <v/>
      </c>
      <c r="O374">
        <f>IFERROR(IF(ISNUMBER(INDEX(SPPR!$E:$X,MATCH($A374,SPPR!$A:$A,0),12)),$C374*INDEX(SPPR!$E:$X,MATCH($A374,SPPR!$A:$A,0),12),""),"")</f>
        <v/>
      </c>
      <c r="P374">
        <f>IFERROR(IF(ISNUMBER(INDEX(SPPR!$E:$X,MATCH($A374,SPPR!$A:$A,0),13)),$C374*INDEX(SPPR!$E:$X,MATCH($A374,SPPR!$A:$A,0),13),""),"")</f>
        <v/>
      </c>
      <c r="Q374">
        <f>IFERROR(IF(ISNUMBER(INDEX(SPPR!$E:$X,MATCH($A374,SPPR!$A:$A,0),14)),$C374*INDEX(SPPR!$E:$X,MATCH($A374,SPPR!$A:$A,0),14),""),"")</f>
        <v/>
      </c>
      <c r="R374">
        <f>IFERROR(IF(ISNUMBER(INDEX(SPPR!$E:$X,MATCH($A374,SPPR!$A:$A,0),15)),$C374*INDEX(SPPR!$E:$X,MATCH($A374,SPPR!$A:$A,0),15),""),"")</f>
        <v/>
      </c>
      <c r="S374">
        <f>IFERROR(IF(ISNUMBER(INDEX(SPPR!$E:$X,MATCH($A374,SPPR!$A:$A,0),16)),$C374*INDEX(SPPR!$E:$X,MATCH($A374,SPPR!$A:$A,0),16),""),"")</f>
        <v/>
      </c>
      <c r="T374">
        <f>IFERROR(IF(ISNUMBER(INDEX(SPPR!$E:$X,MATCH($A374,SPPR!$A:$A,0),17)),$C374*INDEX(SPPR!$E:$X,MATCH($A374,SPPR!$A:$A,0),17),""),"")</f>
        <v/>
      </c>
      <c r="U374">
        <f>IFERROR(IF(ISNUMBER(INDEX(SPPR!$E:$X,MATCH($A374,SPPR!$A:$A,0),18)),$C374*INDEX(SPPR!$E:$X,MATCH($A374,SPPR!$A:$A,0),18),""),"")</f>
        <v/>
      </c>
      <c r="V374">
        <f>IFERROR(IF(ISNUMBER(INDEX(SPPR!$E:$X,MATCH($A374,SPPR!$A:$A,0),19)),$C374*INDEX(SPPR!$E:$X,MATCH($A374,SPPR!$A:$A,0),19),""),"")</f>
        <v/>
      </c>
      <c r="W374">
        <f>IFERROR(IF(ISNUMBER(INDEX(SPPR!$E:$X,MATCH($A374,SPPR!$A:$A,0),20)),$C374*INDEX(SPPR!$E:$X,MATCH($A374,SPPR!$A:$A,0),20),""),"")</f>
        <v/>
      </c>
    </row>
    <row r="375">
      <c r="A375" t="inlineStr">
        <is>
          <t>Pagellus</t>
        </is>
      </c>
      <c r="B375">
        <f>IFERROR(INDEX(SPPR!$D:$D,MATCH($A375,SPPR!$A:$A,0)),"")</f>
        <v/>
      </c>
      <c r="C375">
        <f>IFERROR(INDEX(Catch!$E:$BV,MATCH($A375,Catch!$A:$A,0),MATCH($B$4,Catch!$E$1:$BV$1,0)),0)</f>
        <v/>
      </c>
      <c r="D375">
        <f>IFERROR(IF(ISNUMBER(INDEX(SPPR!$E:$X,MATCH($A375,SPPR!$A:$A,0),1)),$C375*INDEX(SPPR!$E:$X,MATCH($A375,SPPR!$A:$A,0),1),""),"")</f>
        <v/>
      </c>
      <c r="E375">
        <f>IFERROR(IF(ISNUMBER(INDEX(SPPR!$E:$X,MATCH($A375,SPPR!$A:$A,0),2)),$C375*INDEX(SPPR!$E:$X,MATCH($A375,SPPR!$A:$A,0),2),""),"")</f>
        <v/>
      </c>
      <c r="F375">
        <f>IFERROR(IF(ISNUMBER(INDEX(SPPR!$E:$X,MATCH($A375,SPPR!$A:$A,0),3)),$C375*INDEX(SPPR!$E:$X,MATCH($A375,SPPR!$A:$A,0),3),""),"")</f>
        <v/>
      </c>
      <c r="G375">
        <f>IFERROR(IF(ISNUMBER(INDEX(SPPR!$E:$X,MATCH($A375,SPPR!$A:$A,0),4)),$C375*INDEX(SPPR!$E:$X,MATCH($A375,SPPR!$A:$A,0),4),""),"")</f>
        <v/>
      </c>
      <c r="H375">
        <f>IFERROR(IF(ISNUMBER(INDEX(SPPR!$E:$X,MATCH($A375,SPPR!$A:$A,0),5)),$C375*INDEX(SPPR!$E:$X,MATCH($A375,SPPR!$A:$A,0),5),""),"")</f>
        <v/>
      </c>
      <c r="I375">
        <f>IFERROR(IF(ISNUMBER(INDEX(SPPR!$E:$X,MATCH($A375,SPPR!$A:$A,0),6)),$C375*INDEX(SPPR!$E:$X,MATCH($A375,SPPR!$A:$A,0),6),""),"")</f>
        <v/>
      </c>
      <c r="J375">
        <f>IFERROR(IF(ISNUMBER(INDEX(SPPR!$E:$X,MATCH($A375,SPPR!$A:$A,0),7)),$C375*INDEX(SPPR!$E:$X,MATCH($A375,SPPR!$A:$A,0),7),""),"")</f>
        <v/>
      </c>
      <c r="K375">
        <f>IFERROR(IF(ISNUMBER(INDEX(SPPR!$E:$X,MATCH($A375,SPPR!$A:$A,0),8)),$C375*INDEX(SPPR!$E:$X,MATCH($A375,SPPR!$A:$A,0),8),""),"")</f>
        <v/>
      </c>
      <c r="L375">
        <f>IFERROR(IF(ISNUMBER(INDEX(SPPR!$E:$X,MATCH($A375,SPPR!$A:$A,0),9)),$C375*INDEX(SPPR!$E:$X,MATCH($A375,SPPR!$A:$A,0),9),""),"")</f>
        <v/>
      </c>
      <c r="M375">
        <f>IFERROR(IF(ISNUMBER(INDEX(SPPR!$E:$X,MATCH($A375,SPPR!$A:$A,0),10)),$C375*INDEX(SPPR!$E:$X,MATCH($A375,SPPR!$A:$A,0),10),""),"")</f>
        <v/>
      </c>
      <c r="N375">
        <f>IFERROR(IF(ISNUMBER(INDEX(SPPR!$E:$X,MATCH($A375,SPPR!$A:$A,0),11)),$C375*INDEX(SPPR!$E:$X,MATCH($A375,SPPR!$A:$A,0),11),""),"")</f>
        <v/>
      </c>
      <c r="O375">
        <f>IFERROR(IF(ISNUMBER(INDEX(SPPR!$E:$X,MATCH($A375,SPPR!$A:$A,0),12)),$C375*INDEX(SPPR!$E:$X,MATCH($A375,SPPR!$A:$A,0),12),""),"")</f>
        <v/>
      </c>
      <c r="P375">
        <f>IFERROR(IF(ISNUMBER(INDEX(SPPR!$E:$X,MATCH($A375,SPPR!$A:$A,0),13)),$C375*INDEX(SPPR!$E:$X,MATCH($A375,SPPR!$A:$A,0),13),""),"")</f>
        <v/>
      </c>
      <c r="Q375">
        <f>IFERROR(IF(ISNUMBER(INDEX(SPPR!$E:$X,MATCH($A375,SPPR!$A:$A,0),14)),$C375*INDEX(SPPR!$E:$X,MATCH($A375,SPPR!$A:$A,0),14),""),"")</f>
        <v/>
      </c>
      <c r="R375">
        <f>IFERROR(IF(ISNUMBER(INDEX(SPPR!$E:$X,MATCH($A375,SPPR!$A:$A,0),15)),$C375*INDEX(SPPR!$E:$X,MATCH($A375,SPPR!$A:$A,0),15),""),"")</f>
        <v/>
      </c>
      <c r="S375">
        <f>IFERROR(IF(ISNUMBER(INDEX(SPPR!$E:$X,MATCH($A375,SPPR!$A:$A,0),16)),$C375*INDEX(SPPR!$E:$X,MATCH($A375,SPPR!$A:$A,0),16),""),"")</f>
        <v/>
      </c>
      <c r="T375">
        <f>IFERROR(IF(ISNUMBER(INDEX(SPPR!$E:$X,MATCH($A375,SPPR!$A:$A,0),17)),$C375*INDEX(SPPR!$E:$X,MATCH($A375,SPPR!$A:$A,0),17),""),"")</f>
        <v/>
      </c>
      <c r="U375">
        <f>IFERROR(IF(ISNUMBER(INDEX(SPPR!$E:$X,MATCH($A375,SPPR!$A:$A,0),18)),$C375*INDEX(SPPR!$E:$X,MATCH($A375,SPPR!$A:$A,0),18),""),"")</f>
        <v/>
      </c>
      <c r="V375">
        <f>IFERROR(IF(ISNUMBER(INDEX(SPPR!$E:$X,MATCH($A375,SPPR!$A:$A,0),19)),$C375*INDEX(SPPR!$E:$X,MATCH($A375,SPPR!$A:$A,0),19),""),"")</f>
        <v/>
      </c>
      <c r="W375">
        <f>IFERROR(IF(ISNUMBER(INDEX(SPPR!$E:$X,MATCH($A375,SPPR!$A:$A,0),20)),$C375*INDEX(SPPR!$E:$X,MATCH($A375,SPPR!$A:$A,0),20),""),"")</f>
        <v/>
      </c>
    </row>
    <row r="376">
      <c r="A376" t="inlineStr">
        <is>
          <t>Hexanchus griseus</t>
        </is>
      </c>
      <c r="B376">
        <f>IFERROR(INDEX(SPPR!$D:$D,MATCH($A376,SPPR!$A:$A,0)),"")</f>
        <v/>
      </c>
      <c r="C376">
        <f>IFERROR(INDEX(Catch!$E:$BV,MATCH($A376,Catch!$A:$A,0),MATCH($B$4,Catch!$E$1:$BV$1,0)),0)</f>
        <v/>
      </c>
      <c r="D376">
        <f>IFERROR(IF(ISNUMBER(INDEX(SPPR!$E:$X,MATCH($A376,SPPR!$A:$A,0),1)),$C376*INDEX(SPPR!$E:$X,MATCH($A376,SPPR!$A:$A,0),1),""),"")</f>
        <v/>
      </c>
      <c r="E376">
        <f>IFERROR(IF(ISNUMBER(INDEX(SPPR!$E:$X,MATCH($A376,SPPR!$A:$A,0),2)),$C376*INDEX(SPPR!$E:$X,MATCH($A376,SPPR!$A:$A,0),2),""),"")</f>
        <v/>
      </c>
      <c r="F376">
        <f>IFERROR(IF(ISNUMBER(INDEX(SPPR!$E:$X,MATCH($A376,SPPR!$A:$A,0),3)),$C376*INDEX(SPPR!$E:$X,MATCH($A376,SPPR!$A:$A,0),3),""),"")</f>
        <v/>
      </c>
      <c r="G376">
        <f>IFERROR(IF(ISNUMBER(INDEX(SPPR!$E:$X,MATCH($A376,SPPR!$A:$A,0),4)),$C376*INDEX(SPPR!$E:$X,MATCH($A376,SPPR!$A:$A,0),4),""),"")</f>
        <v/>
      </c>
      <c r="H376">
        <f>IFERROR(IF(ISNUMBER(INDEX(SPPR!$E:$X,MATCH($A376,SPPR!$A:$A,0),5)),$C376*INDEX(SPPR!$E:$X,MATCH($A376,SPPR!$A:$A,0),5),""),"")</f>
        <v/>
      </c>
      <c r="I376">
        <f>IFERROR(IF(ISNUMBER(INDEX(SPPR!$E:$X,MATCH($A376,SPPR!$A:$A,0),6)),$C376*INDEX(SPPR!$E:$X,MATCH($A376,SPPR!$A:$A,0),6),""),"")</f>
        <v/>
      </c>
      <c r="J376">
        <f>IFERROR(IF(ISNUMBER(INDEX(SPPR!$E:$X,MATCH($A376,SPPR!$A:$A,0),7)),$C376*INDEX(SPPR!$E:$X,MATCH($A376,SPPR!$A:$A,0),7),""),"")</f>
        <v/>
      </c>
      <c r="K376">
        <f>IFERROR(IF(ISNUMBER(INDEX(SPPR!$E:$X,MATCH($A376,SPPR!$A:$A,0),8)),$C376*INDEX(SPPR!$E:$X,MATCH($A376,SPPR!$A:$A,0),8),""),"")</f>
        <v/>
      </c>
      <c r="L376">
        <f>IFERROR(IF(ISNUMBER(INDEX(SPPR!$E:$X,MATCH($A376,SPPR!$A:$A,0),9)),$C376*INDEX(SPPR!$E:$X,MATCH($A376,SPPR!$A:$A,0),9),""),"")</f>
        <v/>
      </c>
      <c r="M376">
        <f>IFERROR(IF(ISNUMBER(INDEX(SPPR!$E:$X,MATCH($A376,SPPR!$A:$A,0),10)),$C376*INDEX(SPPR!$E:$X,MATCH($A376,SPPR!$A:$A,0),10),""),"")</f>
        <v/>
      </c>
      <c r="N376">
        <f>IFERROR(IF(ISNUMBER(INDEX(SPPR!$E:$X,MATCH($A376,SPPR!$A:$A,0),11)),$C376*INDEX(SPPR!$E:$X,MATCH($A376,SPPR!$A:$A,0),11),""),"")</f>
        <v/>
      </c>
      <c r="O376">
        <f>IFERROR(IF(ISNUMBER(INDEX(SPPR!$E:$X,MATCH($A376,SPPR!$A:$A,0),12)),$C376*INDEX(SPPR!$E:$X,MATCH($A376,SPPR!$A:$A,0),12),""),"")</f>
        <v/>
      </c>
      <c r="P376">
        <f>IFERROR(IF(ISNUMBER(INDEX(SPPR!$E:$X,MATCH($A376,SPPR!$A:$A,0),13)),$C376*INDEX(SPPR!$E:$X,MATCH($A376,SPPR!$A:$A,0),13),""),"")</f>
        <v/>
      </c>
      <c r="Q376">
        <f>IFERROR(IF(ISNUMBER(INDEX(SPPR!$E:$X,MATCH($A376,SPPR!$A:$A,0),14)),$C376*INDEX(SPPR!$E:$X,MATCH($A376,SPPR!$A:$A,0),14),""),"")</f>
        <v/>
      </c>
      <c r="R376">
        <f>IFERROR(IF(ISNUMBER(INDEX(SPPR!$E:$X,MATCH($A376,SPPR!$A:$A,0),15)),$C376*INDEX(SPPR!$E:$X,MATCH($A376,SPPR!$A:$A,0),15),""),"")</f>
        <v/>
      </c>
      <c r="S376">
        <f>IFERROR(IF(ISNUMBER(INDEX(SPPR!$E:$X,MATCH($A376,SPPR!$A:$A,0),16)),$C376*INDEX(SPPR!$E:$X,MATCH($A376,SPPR!$A:$A,0),16),""),"")</f>
        <v/>
      </c>
      <c r="T376">
        <f>IFERROR(IF(ISNUMBER(INDEX(SPPR!$E:$X,MATCH($A376,SPPR!$A:$A,0),17)),$C376*INDEX(SPPR!$E:$X,MATCH($A376,SPPR!$A:$A,0),17),""),"")</f>
        <v/>
      </c>
      <c r="U376">
        <f>IFERROR(IF(ISNUMBER(INDEX(SPPR!$E:$X,MATCH($A376,SPPR!$A:$A,0),18)),$C376*INDEX(SPPR!$E:$X,MATCH($A376,SPPR!$A:$A,0),18),""),"")</f>
        <v/>
      </c>
      <c r="V376">
        <f>IFERROR(IF(ISNUMBER(INDEX(SPPR!$E:$X,MATCH($A376,SPPR!$A:$A,0),19)),$C376*INDEX(SPPR!$E:$X,MATCH($A376,SPPR!$A:$A,0),19),""),"")</f>
        <v/>
      </c>
      <c r="W376">
        <f>IFERROR(IF(ISNUMBER(INDEX(SPPR!$E:$X,MATCH($A376,SPPR!$A:$A,0),20)),$C376*INDEX(SPPR!$E:$X,MATCH($A376,SPPR!$A:$A,0),20),""),"")</f>
        <v/>
      </c>
    </row>
    <row r="377">
      <c r="A377" t="inlineStr">
        <is>
          <t>Lamnidae</t>
        </is>
      </c>
      <c r="B377">
        <f>IFERROR(INDEX(SPPR!$D:$D,MATCH($A377,SPPR!$A:$A,0)),"")</f>
        <v/>
      </c>
      <c r="C377">
        <f>IFERROR(INDEX(Catch!$E:$BV,MATCH($A377,Catch!$A:$A,0),MATCH($B$4,Catch!$E$1:$BV$1,0)),0)</f>
        <v/>
      </c>
      <c r="D377">
        <f>IFERROR(IF(ISNUMBER(INDEX(SPPR!$E:$X,MATCH($A377,SPPR!$A:$A,0),1)),$C377*INDEX(SPPR!$E:$X,MATCH($A377,SPPR!$A:$A,0),1),""),"")</f>
        <v/>
      </c>
      <c r="E377">
        <f>IFERROR(IF(ISNUMBER(INDEX(SPPR!$E:$X,MATCH($A377,SPPR!$A:$A,0),2)),$C377*INDEX(SPPR!$E:$X,MATCH($A377,SPPR!$A:$A,0),2),""),"")</f>
        <v/>
      </c>
      <c r="F377">
        <f>IFERROR(IF(ISNUMBER(INDEX(SPPR!$E:$X,MATCH($A377,SPPR!$A:$A,0),3)),$C377*INDEX(SPPR!$E:$X,MATCH($A377,SPPR!$A:$A,0),3),""),"")</f>
        <v/>
      </c>
      <c r="G377">
        <f>IFERROR(IF(ISNUMBER(INDEX(SPPR!$E:$X,MATCH($A377,SPPR!$A:$A,0),4)),$C377*INDEX(SPPR!$E:$X,MATCH($A377,SPPR!$A:$A,0),4),""),"")</f>
        <v/>
      </c>
      <c r="H377">
        <f>IFERROR(IF(ISNUMBER(INDEX(SPPR!$E:$X,MATCH($A377,SPPR!$A:$A,0),5)),$C377*INDEX(SPPR!$E:$X,MATCH($A377,SPPR!$A:$A,0),5),""),"")</f>
        <v/>
      </c>
      <c r="I377">
        <f>IFERROR(IF(ISNUMBER(INDEX(SPPR!$E:$X,MATCH($A377,SPPR!$A:$A,0),6)),$C377*INDEX(SPPR!$E:$X,MATCH($A377,SPPR!$A:$A,0),6),""),"")</f>
        <v/>
      </c>
      <c r="J377">
        <f>IFERROR(IF(ISNUMBER(INDEX(SPPR!$E:$X,MATCH($A377,SPPR!$A:$A,0),7)),$C377*INDEX(SPPR!$E:$X,MATCH($A377,SPPR!$A:$A,0),7),""),"")</f>
        <v/>
      </c>
      <c r="K377">
        <f>IFERROR(IF(ISNUMBER(INDEX(SPPR!$E:$X,MATCH($A377,SPPR!$A:$A,0),8)),$C377*INDEX(SPPR!$E:$X,MATCH($A377,SPPR!$A:$A,0),8),""),"")</f>
        <v/>
      </c>
      <c r="L377">
        <f>IFERROR(IF(ISNUMBER(INDEX(SPPR!$E:$X,MATCH($A377,SPPR!$A:$A,0),9)),$C377*INDEX(SPPR!$E:$X,MATCH($A377,SPPR!$A:$A,0),9),""),"")</f>
        <v/>
      </c>
      <c r="M377">
        <f>IFERROR(IF(ISNUMBER(INDEX(SPPR!$E:$X,MATCH($A377,SPPR!$A:$A,0),10)),$C377*INDEX(SPPR!$E:$X,MATCH($A377,SPPR!$A:$A,0),10),""),"")</f>
        <v/>
      </c>
      <c r="N377">
        <f>IFERROR(IF(ISNUMBER(INDEX(SPPR!$E:$X,MATCH($A377,SPPR!$A:$A,0),11)),$C377*INDEX(SPPR!$E:$X,MATCH($A377,SPPR!$A:$A,0),11),""),"")</f>
        <v/>
      </c>
      <c r="O377">
        <f>IFERROR(IF(ISNUMBER(INDEX(SPPR!$E:$X,MATCH($A377,SPPR!$A:$A,0),12)),$C377*INDEX(SPPR!$E:$X,MATCH($A377,SPPR!$A:$A,0),12),""),"")</f>
        <v/>
      </c>
      <c r="P377">
        <f>IFERROR(IF(ISNUMBER(INDEX(SPPR!$E:$X,MATCH($A377,SPPR!$A:$A,0),13)),$C377*INDEX(SPPR!$E:$X,MATCH($A377,SPPR!$A:$A,0),13),""),"")</f>
        <v/>
      </c>
      <c r="Q377">
        <f>IFERROR(IF(ISNUMBER(INDEX(SPPR!$E:$X,MATCH($A377,SPPR!$A:$A,0),14)),$C377*INDEX(SPPR!$E:$X,MATCH($A377,SPPR!$A:$A,0),14),""),"")</f>
        <v/>
      </c>
      <c r="R377">
        <f>IFERROR(IF(ISNUMBER(INDEX(SPPR!$E:$X,MATCH($A377,SPPR!$A:$A,0),15)),$C377*INDEX(SPPR!$E:$X,MATCH($A377,SPPR!$A:$A,0),15),""),"")</f>
        <v/>
      </c>
      <c r="S377">
        <f>IFERROR(IF(ISNUMBER(INDEX(SPPR!$E:$X,MATCH($A377,SPPR!$A:$A,0),16)),$C377*INDEX(SPPR!$E:$X,MATCH($A377,SPPR!$A:$A,0),16),""),"")</f>
        <v/>
      </c>
      <c r="T377">
        <f>IFERROR(IF(ISNUMBER(INDEX(SPPR!$E:$X,MATCH($A377,SPPR!$A:$A,0),17)),$C377*INDEX(SPPR!$E:$X,MATCH($A377,SPPR!$A:$A,0),17),""),"")</f>
        <v/>
      </c>
      <c r="U377">
        <f>IFERROR(IF(ISNUMBER(INDEX(SPPR!$E:$X,MATCH($A377,SPPR!$A:$A,0),18)),$C377*INDEX(SPPR!$E:$X,MATCH($A377,SPPR!$A:$A,0),18),""),"")</f>
        <v/>
      </c>
      <c r="V377">
        <f>IFERROR(IF(ISNUMBER(INDEX(SPPR!$E:$X,MATCH($A377,SPPR!$A:$A,0),19)),$C377*INDEX(SPPR!$E:$X,MATCH($A377,SPPR!$A:$A,0),19),""),"")</f>
        <v/>
      </c>
      <c r="W377">
        <f>IFERROR(IF(ISNUMBER(INDEX(SPPR!$E:$X,MATCH($A377,SPPR!$A:$A,0),20)),$C377*INDEX(SPPR!$E:$X,MATCH($A377,SPPR!$A:$A,0),20),""),"")</f>
        <v/>
      </c>
    </row>
    <row r="378">
      <c r="A378" t="inlineStr">
        <is>
          <t>Sepia</t>
        </is>
      </c>
      <c r="B378">
        <f>IFERROR(INDEX(SPPR!$D:$D,MATCH($A378,SPPR!$A:$A,0)),"")</f>
        <v/>
      </c>
      <c r="C378">
        <f>IFERROR(INDEX(Catch!$E:$BV,MATCH($A378,Catch!$A:$A,0),MATCH($B$4,Catch!$E$1:$BV$1,0)),0)</f>
        <v/>
      </c>
      <c r="D378">
        <f>IFERROR(IF(ISNUMBER(INDEX(SPPR!$E:$X,MATCH($A378,SPPR!$A:$A,0),1)),$C378*INDEX(SPPR!$E:$X,MATCH($A378,SPPR!$A:$A,0),1),""),"")</f>
        <v/>
      </c>
      <c r="E378">
        <f>IFERROR(IF(ISNUMBER(INDEX(SPPR!$E:$X,MATCH($A378,SPPR!$A:$A,0),2)),$C378*INDEX(SPPR!$E:$X,MATCH($A378,SPPR!$A:$A,0),2),""),"")</f>
        <v/>
      </c>
      <c r="F378">
        <f>IFERROR(IF(ISNUMBER(INDEX(SPPR!$E:$X,MATCH($A378,SPPR!$A:$A,0),3)),$C378*INDEX(SPPR!$E:$X,MATCH($A378,SPPR!$A:$A,0),3),""),"")</f>
        <v/>
      </c>
      <c r="G378">
        <f>IFERROR(IF(ISNUMBER(INDEX(SPPR!$E:$X,MATCH($A378,SPPR!$A:$A,0),4)),$C378*INDEX(SPPR!$E:$X,MATCH($A378,SPPR!$A:$A,0),4),""),"")</f>
        <v/>
      </c>
      <c r="H378">
        <f>IFERROR(IF(ISNUMBER(INDEX(SPPR!$E:$X,MATCH($A378,SPPR!$A:$A,0),5)),$C378*INDEX(SPPR!$E:$X,MATCH($A378,SPPR!$A:$A,0),5),""),"")</f>
        <v/>
      </c>
      <c r="I378">
        <f>IFERROR(IF(ISNUMBER(INDEX(SPPR!$E:$X,MATCH($A378,SPPR!$A:$A,0),6)),$C378*INDEX(SPPR!$E:$X,MATCH($A378,SPPR!$A:$A,0),6),""),"")</f>
        <v/>
      </c>
      <c r="J378">
        <f>IFERROR(IF(ISNUMBER(INDEX(SPPR!$E:$X,MATCH($A378,SPPR!$A:$A,0),7)),$C378*INDEX(SPPR!$E:$X,MATCH($A378,SPPR!$A:$A,0),7),""),"")</f>
        <v/>
      </c>
      <c r="K378">
        <f>IFERROR(IF(ISNUMBER(INDEX(SPPR!$E:$X,MATCH($A378,SPPR!$A:$A,0),8)),$C378*INDEX(SPPR!$E:$X,MATCH($A378,SPPR!$A:$A,0),8),""),"")</f>
        <v/>
      </c>
      <c r="L378">
        <f>IFERROR(IF(ISNUMBER(INDEX(SPPR!$E:$X,MATCH($A378,SPPR!$A:$A,0),9)),$C378*INDEX(SPPR!$E:$X,MATCH($A378,SPPR!$A:$A,0),9),""),"")</f>
        <v/>
      </c>
      <c r="M378">
        <f>IFERROR(IF(ISNUMBER(INDEX(SPPR!$E:$X,MATCH($A378,SPPR!$A:$A,0),10)),$C378*INDEX(SPPR!$E:$X,MATCH($A378,SPPR!$A:$A,0),10),""),"")</f>
        <v/>
      </c>
      <c r="N378">
        <f>IFERROR(IF(ISNUMBER(INDEX(SPPR!$E:$X,MATCH($A378,SPPR!$A:$A,0),11)),$C378*INDEX(SPPR!$E:$X,MATCH($A378,SPPR!$A:$A,0),11),""),"")</f>
        <v/>
      </c>
      <c r="O378">
        <f>IFERROR(IF(ISNUMBER(INDEX(SPPR!$E:$X,MATCH($A378,SPPR!$A:$A,0),12)),$C378*INDEX(SPPR!$E:$X,MATCH($A378,SPPR!$A:$A,0),12),""),"")</f>
        <v/>
      </c>
      <c r="P378">
        <f>IFERROR(IF(ISNUMBER(INDEX(SPPR!$E:$X,MATCH($A378,SPPR!$A:$A,0),13)),$C378*INDEX(SPPR!$E:$X,MATCH($A378,SPPR!$A:$A,0),13),""),"")</f>
        <v/>
      </c>
      <c r="Q378">
        <f>IFERROR(IF(ISNUMBER(INDEX(SPPR!$E:$X,MATCH($A378,SPPR!$A:$A,0),14)),$C378*INDEX(SPPR!$E:$X,MATCH($A378,SPPR!$A:$A,0),14),""),"")</f>
        <v/>
      </c>
      <c r="R378">
        <f>IFERROR(IF(ISNUMBER(INDEX(SPPR!$E:$X,MATCH($A378,SPPR!$A:$A,0),15)),$C378*INDEX(SPPR!$E:$X,MATCH($A378,SPPR!$A:$A,0),15),""),"")</f>
        <v/>
      </c>
      <c r="S378">
        <f>IFERROR(IF(ISNUMBER(INDEX(SPPR!$E:$X,MATCH($A378,SPPR!$A:$A,0),16)),$C378*INDEX(SPPR!$E:$X,MATCH($A378,SPPR!$A:$A,0),16),""),"")</f>
        <v/>
      </c>
      <c r="T378">
        <f>IFERROR(IF(ISNUMBER(INDEX(SPPR!$E:$X,MATCH($A378,SPPR!$A:$A,0),17)),$C378*INDEX(SPPR!$E:$X,MATCH($A378,SPPR!$A:$A,0),17),""),"")</f>
        <v/>
      </c>
      <c r="U378">
        <f>IFERROR(IF(ISNUMBER(INDEX(SPPR!$E:$X,MATCH($A378,SPPR!$A:$A,0),18)),$C378*INDEX(SPPR!$E:$X,MATCH($A378,SPPR!$A:$A,0),18),""),"")</f>
        <v/>
      </c>
      <c r="V378">
        <f>IFERROR(IF(ISNUMBER(INDEX(SPPR!$E:$X,MATCH($A378,SPPR!$A:$A,0),19)),$C378*INDEX(SPPR!$E:$X,MATCH($A378,SPPR!$A:$A,0),19),""),"")</f>
        <v/>
      </c>
      <c r="W378">
        <f>IFERROR(IF(ISNUMBER(INDEX(SPPR!$E:$X,MATCH($A378,SPPR!$A:$A,0),20)),$C378*INDEX(SPPR!$E:$X,MATCH($A378,SPPR!$A:$A,0),20),""),"")</f>
        <v/>
      </c>
    </row>
    <row r="379">
      <c r="A379" t="inlineStr">
        <is>
          <t>Chlamys</t>
        </is>
      </c>
      <c r="B379">
        <f>IFERROR(INDEX(SPPR!$D:$D,MATCH($A379,SPPR!$A:$A,0)),"")</f>
        <v/>
      </c>
      <c r="C379">
        <f>IFERROR(INDEX(Catch!$E:$BV,MATCH($A379,Catch!$A:$A,0),MATCH($B$4,Catch!$E$1:$BV$1,0)),0)</f>
        <v/>
      </c>
      <c r="D379">
        <f>IFERROR(IF(ISNUMBER(INDEX(SPPR!$E:$X,MATCH($A379,SPPR!$A:$A,0),1)),$C379*INDEX(SPPR!$E:$X,MATCH($A379,SPPR!$A:$A,0),1),""),"")</f>
        <v/>
      </c>
      <c r="E379">
        <f>IFERROR(IF(ISNUMBER(INDEX(SPPR!$E:$X,MATCH($A379,SPPR!$A:$A,0),2)),$C379*INDEX(SPPR!$E:$X,MATCH($A379,SPPR!$A:$A,0),2),""),"")</f>
        <v/>
      </c>
      <c r="F379">
        <f>IFERROR(IF(ISNUMBER(INDEX(SPPR!$E:$X,MATCH($A379,SPPR!$A:$A,0),3)),$C379*INDEX(SPPR!$E:$X,MATCH($A379,SPPR!$A:$A,0),3),""),"")</f>
        <v/>
      </c>
      <c r="G379">
        <f>IFERROR(IF(ISNUMBER(INDEX(SPPR!$E:$X,MATCH($A379,SPPR!$A:$A,0),4)),$C379*INDEX(SPPR!$E:$X,MATCH($A379,SPPR!$A:$A,0),4),""),"")</f>
        <v/>
      </c>
      <c r="H379">
        <f>IFERROR(IF(ISNUMBER(INDEX(SPPR!$E:$X,MATCH($A379,SPPR!$A:$A,0),5)),$C379*INDEX(SPPR!$E:$X,MATCH($A379,SPPR!$A:$A,0),5),""),"")</f>
        <v/>
      </c>
      <c r="I379">
        <f>IFERROR(IF(ISNUMBER(INDEX(SPPR!$E:$X,MATCH($A379,SPPR!$A:$A,0),6)),$C379*INDEX(SPPR!$E:$X,MATCH($A379,SPPR!$A:$A,0),6),""),"")</f>
        <v/>
      </c>
      <c r="J379">
        <f>IFERROR(IF(ISNUMBER(INDEX(SPPR!$E:$X,MATCH($A379,SPPR!$A:$A,0),7)),$C379*INDEX(SPPR!$E:$X,MATCH($A379,SPPR!$A:$A,0),7),""),"")</f>
        <v/>
      </c>
      <c r="K379">
        <f>IFERROR(IF(ISNUMBER(INDEX(SPPR!$E:$X,MATCH($A379,SPPR!$A:$A,0),8)),$C379*INDEX(SPPR!$E:$X,MATCH($A379,SPPR!$A:$A,0),8),""),"")</f>
        <v/>
      </c>
      <c r="L379">
        <f>IFERROR(IF(ISNUMBER(INDEX(SPPR!$E:$X,MATCH($A379,SPPR!$A:$A,0),9)),$C379*INDEX(SPPR!$E:$X,MATCH($A379,SPPR!$A:$A,0),9),""),"")</f>
        <v/>
      </c>
      <c r="M379">
        <f>IFERROR(IF(ISNUMBER(INDEX(SPPR!$E:$X,MATCH($A379,SPPR!$A:$A,0),10)),$C379*INDEX(SPPR!$E:$X,MATCH($A379,SPPR!$A:$A,0),10),""),"")</f>
        <v/>
      </c>
      <c r="N379">
        <f>IFERROR(IF(ISNUMBER(INDEX(SPPR!$E:$X,MATCH($A379,SPPR!$A:$A,0),11)),$C379*INDEX(SPPR!$E:$X,MATCH($A379,SPPR!$A:$A,0),11),""),"")</f>
        <v/>
      </c>
      <c r="O379">
        <f>IFERROR(IF(ISNUMBER(INDEX(SPPR!$E:$X,MATCH($A379,SPPR!$A:$A,0),12)),$C379*INDEX(SPPR!$E:$X,MATCH($A379,SPPR!$A:$A,0),12),""),"")</f>
        <v/>
      </c>
      <c r="P379">
        <f>IFERROR(IF(ISNUMBER(INDEX(SPPR!$E:$X,MATCH($A379,SPPR!$A:$A,0),13)),$C379*INDEX(SPPR!$E:$X,MATCH($A379,SPPR!$A:$A,0),13),""),"")</f>
        <v/>
      </c>
      <c r="Q379">
        <f>IFERROR(IF(ISNUMBER(INDEX(SPPR!$E:$X,MATCH($A379,SPPR!$A:$A,0),14)),$C379*INDEX(SPPR!$E:$X,MATCH($A379,SPPR!$A:$A,0),14),""),"")</f>
        <v/>
      </c>
      <c r="R379">
        <f>IFERROR(IF(ISNUMBER(INDEX(SPPR!$E:$X,MATCH($A379,SPPR!$A:$A,0),15)),$C379*INDEX(SPPR!$E:$X,MATCH($A379,SPPR!$A:$A,0),15),""),"")</f>
        <v/>
      </c>
      <c r="S379">
        <f>IFERROR(IF(ISNUMBER(INDEX(SPPR!$E:$X,MATCH($A379,SPPR!$A:$A,0),16)),$C379*INDEX(SPPR!$E:$X,MATCH($A379,SPPR!$A:$A,0),16),""),"")</f>
        <v/>
      </c>
      <c r="T379">
        <f>IFERROR(IF(ISNUMBER(INDEX(SPPR!$E:$X,MATCH($A379,SPPR!$A:$A,0),17)),$C379*INDEX(SPPR!$E:$X,MATCH($A379,SPPR!$A:$A,0),17),""),"")</f>
        <v/>
      </c>
      <c r="U379">
        <f>IFERROR(IF(ISNUMBER(INDEX(SPPR!$E:$X,MATCH($A379,SPPR!$A:$A,0),18)),$C379*INDEX(SPPR!$E:$X,MATCH($A379,SPPR!$A:$A,0),18),""),"")</f>
        <v/>
      </c>
      <c r="V379">
        <f>IFERROR(IF(ISNUMBER(INDEX(SPPR!$E:$X,MATCH($A379,SPPR!$A:$A,0),19)),$C379*INDEX(SPPR!$E:$X,MATCH($A379,SPPR!$A:$A,0),19),""),"")</f>
        <v/>
      </c>
      <c r="W379">
        <f>IFERROR(IF(ISNUMBER(INDEX(SPPR!$E:$X,MATCH($A379,SPPR!$A:$A,0),20)),$C379*INDEX(SPPR!$E:$X,MATCH($A379,SPPR!$A:$A,0),20),""),"")</f>
        <v/>
      </c>
    </row>
    <row r="380">
      <c r="A380" t="inlineStr">
        <is>
          <t>Torpedo marmorata</t>
        </is>
      </c>
      <c r="B380">
        <f>IFERROR(INDEX(SPPR!$D:$D,MATCH($A380,SPPR!$A:$A,0)),"")</f>
        <v/>
      </c>
      <c r="C380">
        <f>IFERROR(INDEX(Catch!$E:$BV,MATCH($A380,Catch!$A:$A,0),MATCH($B$4,Catch!$E$1:$BV$1,0)),0)</f>
        <v/>
      </c>
      <c r="D380">
        <f>IFERROR(IF(ISNUMBER(INDEX(SPPR!$E:$X,MATCH($A380,SPPR!$A:$A,0),1)),$C380*INDEX(SPPR!$E:$X,MATCH($A380,SPPR!$A:$A,0),1),""),"")</f>
        <v/>
      </c>
      <c r="E380">
        <f>IFERROR(IF(ISNUMBER(INDEX(SPPR!$E:$X,MATCH($A380,SPPR!$A:$A,0),2)),$C380*INDEX(SPPR!$E:$X,MATCH($A380,SPPR!$A:$A,0),2),""),"")</f>
        <v/>
      </c>
      <c r="F380">
        <f>IFERROR(IF(ISNUMBER(INDEX(SPPR!$E:$X,MATCH($A380,SPPR!$A:$A,0),3)),$C380*INDEX(SPPR!$E:$X,MATCH($A380,SPPR!$A:$A,0),3),""),"")</f>
        <v/>
      </c>
      <c r="G380">
        <f>IFERROR(IF(ISNUMBER(INDEX(SPPR!$E:$X,MATCH($A380,SPPR!$A:$A,0),4)),$C380*INDEX(SPPR!$E:$X,MATCH($A380,SPPR!$A:$A,0),4),""),"")</f>
        <v/>
      </c>
      <c r="H380">
        <f>IFERROR(IF(ISNUMBER(INDEX(SPPR!$E:$X,MATCH($A380,SPPR!$A:$A,0),5)),$C380*INDEX(SPPR!$E:$X,MATCH($A380,SPPR!$A:$A,0),5),""),"")</f>
        <v/>
      </c>
      <c r="I380">
        <f>IFERROR(IF(ISNUMBER(INDEX(SPPR!$E:$X,MATCH($A380,SPPR!$A:$A,0),6)),$C380*INDEX(SPPR!$E:$X,MATCH($A380,SPPR!$A:$A,0),6),""),"")</f>
        <v/>
      </c>
      <c r="J380">
        <f>IFERROR(IF(ISNUMBER(INDEX(SPPR!$E:$X,MATCH($A380,SPPR!$A:$A,0),7)),$C380*INDEX(SPPR!$E:$X,MATCH($A380,SPPR!$A:$A,0),7),""),"")</f>
        <v/>
      </c>
      <c r="K380">
        <f>IFERROR(IF(ISNUMBER(INDEX(SPPR!$E:$X,MATCH($A380,SPPR!$A:$A,0),8)),$C380*INDEX(SPPR!$E:$X,MATCH($A380,SPPR!$A:$A,0),8),""),"")</f>
        <v/>
      </c>
      <c r="L380">
        <f>IFERROR(IF(ISNUMBER(INDEX(SPPR!$E:$X,MATCH($A380,SPPR!$A:$A,0),9)),$C380*INDEX(SPPR!$E:$X,MATCH($A380,SPPR!$A:$A,0),9),""),"")</f>
        <v/>
      </c>
      <c r="M380">
        <f>IFERROR(IF(ISNUMBER(INDEX(SPPR!$E:$X,MATCH($A380,SPPR!$A:$A,0),10)),$C380*INDEX(SPPR!$E:$X,MATCH($A380,SPPR!$A:$A,0),10),""),"")</f>
        <v/>
      </c>
      <c r="N380">
        <f>IFERROR(IF(ISNUMBER(INDEX(SPPR!$E:$X,MATCH($A380,SPPR!$A:$A,0),11)),$C380*INDEX(SPPR!$E:$X,MATCH($A380,SPPR!$A:$A,0),11),""),"")</f>
        <v/>
      </c>
      <c r="O380">
        <f>IFERROR(IF(ISNUMBER(INDEX(SPPR!$E:$X,MATCH($A380,SPPR!$A:$A,0),12)),$C380*INDEX(SPPR!$E:$X,MATCH($A380,SPPR!$A:$A,0),12),""),"")</f>
        <v/>
      </c>
      <c r="P380">
        <f>IFERROR(IF(ISNUMBER(INDEX(SPPR!$E:$X,MATCH($A380,SPPR!$A:$A,0),13)),$C380*INDEX(SPPR!$E:$X,MATCH($A380,SPPR!$A:$A,0),13),""),"")</f>
        <v/>
      </c>
      <c r="Q380">
        <f>IFERROR(IF(ISNUMBER(INDEX(SPPR!$E:$X,MATCH($A380,SPPR!$A:$A,0),14)),$C380*INDEX(SPPR!$E:$X,MATCH($A380,SPPR!$A:$A,0),14),""),"")</f>
        <v/>
      </c>
      <c r="R380">
        <f>IFERROR(IF(ISNUMBER(INDEX(SPPR!$E:$X,MATCH($A380,SPPR!$A:$A,0),15)),$C380*INDEX(SPPR!$E:$X,MATCH($A380,SPPR!$A:$A,0),15),""),"")</f>
        <v/>
      </c>
      <c r="S380">
        <f>IFERROR(IF(ISNUMBER(INDEX(SPPR!$E:$X,MATCH($A380,SPPR!$A:$A,0),16)),$C380*INDEX(SPPR!$E:$X,MATCH($A380,SPPR!$A:$A,0),16),""),"")</f>
        <v/>
      </c>
      <c r="T380">
        <f>IFERROR(IF(ISNUMBER(INDEX(SPPR!$E:$X,MATCH($A380,SPPR!$A:$A,0),17)),$C380*INDEX(SPPR!$E:$X,MATCH($A380,SPPR!$A:$A,0),17),""),"")</f>
        <v/>
      </c>
      <c r="U380">
        <f>IFERROR(IF(ISNUMBER(INDEX(SPPR!$E:$X,MATCH($A380,SPPR!$A:$A,0),18)),$C380*INDEX(SPPR!$E:$X,MATCH($A380,SPPR!$A:$A,0),18),""),"")</f>
        <v/>
      </c>
      <c r="V380">
        <f>IFERROR(IF(ISNUMBER(INDEX(SPPR!$E:$X,MATCH($A380,SPPR!$A:$A,0),19)),$C380*INDEX(SPPR!$E:$X,MATCH($A380,SPPR!$A:$A,0),19),""),"")</f>
        <v/>
      </c>
      <c r="W380">
        <f>IFERROR(IF(ISNUMBER(INDEX(SPPR!$E:$X,MATCH($A380,SPPR!$A:$A,0),20)),$C380*INDEX(SPPR!$E:$X,MATCH($A380,SPPR!$A:$A,0),20),""),"")</f>
        <v/>
      </c>
    </row>
    <row r="381">
      <c r="A381" t="inlineStr">
        <is>
          <t>Haliotis tuberculata</t>
        </is>
      </c>
      <c r="B381">
        <f>IFERROR(INDEX(SPPR!$D:$D,MATCH($A381,SPPR!$A:$A,0)),"")</f>
        <v/>
      </c>
      <c r="C381">
        <f>IFERROR(INDEX(Catch!$E:$BV,MATCH($A381,Catch!$A:$A,0),MATCH($B$4,Catch!$E$1:$BV$1,0)),0)</f>
        <v/>
      </c>
      <c r="D381">
        <f>IFERROR(IF(ISNUMBER(INDEX(SPPR!$E:$X,MATCH($A381,SPPR!$A:$A,0),1)),$C381*INDEX(SPPR!$E:$X,MATCH($A381,SPPR!$A:$A,0),1),""),"")</f>
        <v/>
      </c>
      <c r="E381">
        <f>IFERROR(IF(ISNUMBER(INDEX(SPPR!$E:$X,MATCH($A381,SPPR!$A:$A,0),2)),$C381*INDEX(SPPR!$E:$X,MATCH($A381,SPPR!$A:$A,0),2),""),"")</f>
        <v/>
      </c>
      <c r="F381">
        <f>IFERROR(IF(ISNUMBER(INDEX(SPPR!$E:$X,MATCH($A381,SPPR!$A:$A,0),3)),$C381*INDEX(SPPR!$E:$X,MATCH($A381,SPPR!$A:$A,0),3),""),"")</f>
        <v/>
      </c>
      <c r="G381">
        <f>IFERROR(IF(ISNUMBER(INDEX(SPPR!$E:$X,MATCH($A381,SPPR!$A:$A,0),4)),$C381*INDEX(SPPR!$E:$X,MATCH($A381,SPPR!$A:$A,0),4),""),"")</f>
        <v/>
      </c>
      <c r="H381">
        <f>IFERROR(IF(ISNUMBER(INDEX(SPPR!$E:$X,MATCH($A381,SPPR!$A:$A,0),5)),$C381*INDEX(SPPR!$E:$X,MATCH($A381,SPPR!$A:$A,0),5),""),"")</f>
        <v/>
      </c>
      <c r="I381">
        <f>IFERROR(IF(ISNUMBER(INDEX(SPPR!$E:$X,MATCH($A381,SPPR!$A:$A,0),6)),$C381*INDEX(SPPR!$E:$X,MATCH($A381,SPPR!$A:$A,0),6),""),"")</f>
        <v/>
      </c>
      <c r="J381">
        <f>IFERROR(IF(ISNUMBER(INDEX(SPPR!$E:$X,MATCH($A381,SPPR!$A:$A,0),7)),$C381*INDEX(SPPR!$E:$X,MATCH($A381,SPPR!$A:$A,0),7),""),"")</f>
        <v/>
      </c>
      <c r="K381">
        <f>IFERROR(IF(ISNUMBER(INDEX(SPPR!$E:$X,MATCH($A381,SPPR!$A:$A,0),8)),$C381*INDEX(SPPR!$E:$X,MATCH($A381,SPPR!$A:$A,0),8),""),"")</f>
        <v/>
      </c>
      <c r="L381">
        <f>IFERROR(IF(ISNUMBER(INDEX(SPPR!$E:$X,MATCH($A381,SPPR!$A:$A,0),9)),$C381*INDEX(SPPR!$E:$X,MATCH($A381,SPPR!$A:$A,0),9),""),"")</f>
        <v/>
      </c>
      <c r="M381">
        <f>IFERROR(IF(ISNUMBER(INDEX(SPPR!$E:$X,MATCH($A381,SPPR!$A:$A,0),10)),$C381*INDEX(SPPR!$E:$X,MATCH($A381,SPPR!$A:$A,0),10),""),"")</f>
        <v/>
      </c>
      <c r="N381">
        <f>IFERROR(IF(ISNUMBER(INDEX(SPPR!$E:$X,MATCH($A381,SPPR!$A:$A,0),11)),$C381*INDEX(SPPR!$E:$X,MATCH($A381,SPPR!$A:$A,0),11),""),"")</f>
        <v/>
      </c>
      <c r="O381">
        <f>IFERROR(IF(ISNUMBER(INDEX(SPPR!$E:$X,MATCH($A381,SPPR!$A:$A,0),12)),$C381*INDEX(SPPR!$E:$X,MATCH($A381,SPPR!$A:$A,0),12),""),"")</f>
        <v/>
      </c>
      <c r="P381">
        <f>IFERROR(IF(ISNUMBER(INDEX(SPPR!$E:$X,MATCH($A381,SPPR!$A:$A,0),13)),$C381*INDEX(SPPR!$E:$X,MATCH($A381,SPPR!$A:$A,0),13),""),"")</f>
        <v/>
      </c>
      <c r="Q381">
        <f>IFERROR(IF(ISNUMBER(INDEX(SPPR!$E:$X,MATCH($A381,SPPR!$A:$A,0),14)),$C381*INDEX(SPPR!$E:$X,MATCH($A381,SPPR!$A:$A,0),14),""),"")</f>
        <v/>
      </c>
      <c r="R381">
        <f>IFERROR(IF(ISNUMBER(INDEX(SPPR!$E:$X,MATCH($A381,SPPR!$A:$A,0),15)),$C381*INDEX(SPPR!$E:$X,MATCH($A381,SPPR!$A:$A,0),15),""),"")</f>
        <v/>
      </c>
      <c r="S381">
        <f>IFERROR(IF(ISNUMBER(INDEX(SPPR!$E:$X,MATCH($A381,SPPR!$A:$A,0),16)),$C381*INDEX(SPPR!$E:$X,MATCH($A381,SPPR!$A:$A,0),16),""),"")</f>
        <v/>
      </c>
      <c r="T381">
        <f>IFERROR(IF(ISNUMBER(INDEX(SPPR!$E:$X,MATCH($A381,SPPR!$A:$A,0),17)),$C381*INDEX(SPPR!$E:$X,MATCH($A381,SPPR!$A:$A,0),17),""),"")</f>
        <v/>
      </c>
      <c r="U381">
        <f>IFERROR(IF(ISNUMBER(INDEX(SPPR!$E:$X,MATCH($A381,SPPR!$A:$A,0),18)),$C381*INDEX(SPPR!$E:$X,MATCH($A381,SPPR!$A:$A,0),18),""),"")</f>
        <v/>
      </c>
      <c r="V381">
        <f>IFERROR(IF(ISNUMBER(INDEX(SPPR!$E:$X,MATCH($A381,SPPR!$A:$A,0),19)),$C381*INDEX(SPPR!$E:$X,MATCH($A381,SPPR!$A:$A,0),19),""),"")</f>
        <v/>
      </c>
      <c r="W381">
        <f>IFERROR(IF(ISNUMBER(INDEX(SPPR!$E:$X,MATCH($A381,SPPR!$A:$A,0),20)),$C381*INDEX(SPPR!$E:$X,MATCH($A381,SPPR!$A:$A,0),20),""),"")</f>
        <v/>
      </c>
    </row>
    <row r="382">
      <c r="A382" t="inlineStr">
        <is>
          <t>Ostreidae</t>
        </is>
      </c>
      <c r="B382">
        <f>IFERROR(INDEX(SPPR!$D:$D,MATCH($A382,SPPR!$A:$A,0)),"")</f>
        <v/>
      </c>
      <c r="C382">
        <f>IFERROR(INDEX(Catch!$E:$BV,MATCH($A382,Catch!$A:$A,0),MATCH($B$4,Catch!$E$1:$BV$1,0)),0)</f>
        <v/>
      </c>
      <c r="D382">
        <f>IFERROR(IF(ISNUMBER(INDEX(SPPR!$E:$X,MATCH($A382,SPPR!$A:$A,0),1)),$C382*INDEX(SPPR!$E:$X,MATCH($A382,SPPR!$A:$A,0),1),""),"")</f>
        <v/>
      </c>
      <c r="E382">
        <f>IFERROR(IF(ISNUMBER(INDEX(SPPR!$E:$X,MATCH($A382,SPPR!$A:$A,0),2)),$C382*INDEX(SPPR!$E:$X,MATCH($A382,SPPR!$A:$A,0),2),""),"")</f>
        <v/>
      </c>
      <c r="F382">
        <f>IFERROR(IF(ISNUMBER(INDEX(SPPR!$E:$X,MATCH($A382,SPPR!$A:$A,0),3)),$C382*INDEX(SPPR!$E:$X,MATCH($A382,SPPR!$A:$A,0),3),""),"")</f>
        <v/>
      </c>
      <c r="G382">
        <f>IFERROR(IF(ISNUMBER(INDEX(SPPR!$E:$X,MATCH($A382,SPPR!$A:$A,0),4)),$C382*INDEX(SPPR!$E:$X,MATCH($A382,SPPR!$A:$A,0),4),""),"")</f>
        <v/>
      </c>
      <c r="H382">
        <f>IFERROR(IF(ISNUMBER(INDEX(SPPR!$E:$X,MATCH($A382,SPPR!$A:$A,0),5)),$C382*INDEX(SPPR!$E:$X,MATCH($A382,SPPR!$A:$A,0),5),""),"")</f>
        <v/>
      </c>
      <c r="I382">
        <f>IFERROR(IF(ISNUMBER(INDEX(SPPR!$E:$X,MATCH($A382,SPPR!$A:$A,0),6)),$C382*INDEX(SPPR!$E:$X,MATCH($A382,SPPR!$A:$A,0),6),""),"")</f>
        <v/>
      </c>
      <c r="J382">
        <f>IFERROR(IF(ISNUMBER(INDEX(SPPR!$E:$X,MATCH($A382,SPPR!$A:$A,0),7)),$C382*INDEX(SPPR!$E:$X,MATCH($A382,SPPR!$A:$A,0),7),""),"")</f>
        <v/>
      </c>
      <c r="K382">
        <f>IFERROR(IF(ISNUMBER(INDEX(SPPR!$E:$X,MATCH($A382,SPPR!$A:$A,0),8)),$C382*INDEX(SPPR!$E:$X,MATCH($A382,SPPR!$A:$A,0),8),""),"")</f>
        <v/>
      </c>
      <c r="L382">
        <f>IFERROR(IF(ISNUMBER(INDEX(SPPR!$E:$X,MATCH($A382,SPPR!$A:$A,0),9)),$C382*INDEX(SPPR!$E:$X,MATCH($A382,SPPR!$A:$A,0),9),""),"")</f>
        <v/>
      </c>
      <c r="M382">
        <f>IFERROR(IF(ISNUMBER(INDEX(SPPR!$E:$X,MATCH($A382,SPPR!$A:$A,0),10)),$C382*INDEX(SPPR!$E:$X,MATCH($A382,SPPR!$A:$A,0),10),""),"")</f>
        <v/>
      </c>
      <c r="N382">
        <f>IFERROR(IF(ISNUMBER(INDEX(SPPR!$E:$X,MATCH($A382,SPPR!$A:$A,0),11)),$C382*INDEX(SPPR!$E:$X,MATCH($A382,SPPR!$A:$A,0),11),""),"")</f>
        <v/>
      </c>
      <c r="O382">
        <f>IFERROR(IF(ISNUMBER(INDEX(SPPR!$E:$X,MATCH($A382,SPPR!$A:$A,0),12)),$C382*INDEX(SPPR!$E:$X,MATCH($A382,SPPR!$A:$A,0),12),""),"")</f>
        <v/>
      </c>
      <c r="P382">
        <f>IFERROR(IF(ISNUMBER(INDEX(SPPR!$E:$X,MATCH($A382,SPPR!$A:$A,0),13)),$C382*INDEX(SPPR!$E:$X,MATCH($A382,SPPR!$A:$A,0),13),""),"")</f>
        <v/>
      </c>
      <c r="Q382">
        <f>IFERROR(IF(ISNUMBER(INDEX(SPPR!$E:$X,MATCH($A382,SPPR!$A:$A,0),14)),$C382*INDEX(SPPR!$E:$X,MATCH($A382,SPPR!$A:$A,0),14),""),"")</f>
        <v/>
      </c>
      <c r="R382">
        <f>IFERROR(IF(ISNUMBER(INDEX(SPPR!$E:$X,MATCH($A382,SPPR!$A:$A,0),15)),$C382*INDEX(SPPR!$E:$X,MATCH($A382,SPPR!$A:$A,0),15),""),"")</f>
        <v/>
      </c>
      <c r="S382">
        <f>IFERROR(IF(ISNUMBER(INDEX(SPPR!$E:$X,MATCH($A382,SPPR!$A:$A,0),16)),$C382*INDEX(SPPR!$E:$X,MATCH($A382,SPPR!$A:$A,0),16),""),"")</f>
        <v/>
      </c>
      <c r="T382">
        <f>IFERROR(IF(ISNUMBER(INDEX(SPPR!$E:$X,MATCH($A382,SPPR!$A:$A,0),17)),$C382*INDEX(SPPR!$E:$X,MATCH($A382,SPPR!$A:$A,0),17),""),"")</f>
        <v/>
      </c>
      <c r="U382">
        <f>IFERROR(IF(ISNUMBER(INDEX(SPPR!$E:$X,MATCH($A382,SPPR!$A:$A,0),18)),$C382*INDEX(SPPR!$E:$X,MATCH($A382,SPPR!$A:$A,0),18),""),"")</f>
        <v/>
      </c>
      <c r="V382">
        <f>IFERROR(IF(ISNUMBER(INDEX(SPPR!$E:$X,MATCH($A382,SPPR!$A:$A,0),19)),$C382*INDEX(SPPR!$E:$X,MATCH($A382,SPPR!$A:$A,0),19),""),"")</f>
        <v/>
      </c>
      <c r="W382">
        <f>IFERROR(IF(ISNUMBER(INDEX(SPPR!$E:$X,MATCH($A382,SPPR!$A:$A,0),20)),$C382*INDEX(SPPR!$E:$X,MATCH($A382,SPPR!$A:$A,0),20),""),"")</f>
        <v/>
      </c>
    </row>
    <row r="383">
      <c r="A383" t="inlineStr">
        <is>
          <t>Murex</t>
        </is>
      </c>
      <c r="B383">
        <f>IFERROR(INDEX(SPPR!$D:$D,MATCH($A383,SPPR!$A:$A,0)),"")</f>
        <v/>
      </c>
      <c r="C383">
        <f>IFERROR(INDEX(Catch!$E:$BV,MATCH($A383,Catch!$A:$A,0),MATCH($B$4,Catch!$E$1:$BV$1,0)),0)</f>
        <v/>
      </c>
      <c r="D383">
        <f>IFERROR(IF(ISNUMBER(INDEX(SPPR!$E:$X,MATCH($A383,SPPR!$A:$A,0),1)),$C383*INDEX(SPPR!$E:$X,MATCH($A383,SPPR!$A:$A,0),1),""),"")</f>
        <v/>
      </c>
      <c r="E383">
        <f>IFERROR(IF(ISNUMBER(INDEX(SPPR!$E:$X,MATCH($A383,SPPR!$A:$A,0),2)),$C383*INDEX(SPPR!$E:$X,MATCH($A383,SPPR!$A:$A,0),2),""),"")</f>
        <v/>
      </c>
      <c r="F383">
        <f>IFERROR(IF(ISNUMBER(INDEX(SPPR!$E:$X,MATCH($A383,SPPR!$A:$A,0),3)),$C383*INDEX(SPPR!$E:$X,MATCH($A383,SPPR!$A:$A,0),3),""),"")</f>
        <v/>
      </c>
      <c r="G383">
        <f>IFERROR(IF(ISNUMBER(INDEX(SPPR!$E:$X,MATCH($A383,SPPR!$A:$A,0),4)),$C383*INDEX(SPPR!$E:$X,MATCH($A383,SPPR!$A:$A,0),4),""),"")</f>
        <v/>
      </c>
      <c r="H383">
        <f>IFERROR(IF(ISNUMBER(INDEX(SPPR!$E:$X,MATCH($A383,SPPR!$A:$A,0),5)),$C383*INDEX(SPPR!$E:$X,MATCH($A383,SPPR!$A:$A,0),5),""),"")</f>
        <v/>
      </c>
      <c r="I383">
        <f>IFERROR(IF(ISNUMBER(INDEX(SPPR!$E:$X,MATCH($A383,SPPR!$A:$A,0),6)),$C383*INDEX(SPPR!$E:$X,MATCH($A383,SPPR!$A:$A,0),6),""),"")</f>
        <v/>
      </c>
      <c r="J383">
        <f>IFERROR(IF(ISNUMBER(INDEX(SPPR!$E:$X,MATCH($A383,SPPR!$A:$A,0),7)),$C383*INDEX(SPPR!$E:$X,MATCH($A383,SPPR!$A:$A,0),7),""),"")</f>
        <v/>
      </c>
      <c r="K383">
        <f>IFERROR(IF(ISNUMBER(INDEX(SPPR!$E:$X,MATCH($A383,SPPR!$A:$A,0),8)),$C383*INDEX(SPPR!$E:$X,MATCH($A383,SPPR!$A:$A,0),8),""),"")</f>
        <v/>
      </c>
      <c r="L383">
        <f>IFERROR(IF(ISNUMBER(INDEX(SPPR!$E:$X,MATCH($A383,SPPR!$A:$A,0),9)),$C383*INDEX(SPPR!$E:$X,MATCH($A383,SPPR!$A:$A,0),9),""),"")</f>
        <v/>
      </c>
      <c r="M383">
        <f>IFERROR(IF(ISNUMBER(INDEX(SPPR!$E:$X,MATCH($A383,SPPR!$A:$A,0),10)),$C383*INDEX(SPPR!$E:$X,MATCH($A383,SPPR!$A:$A,0),10),""),"")</f>
        <v/>
      </c>
      <c r="N383">
        <f>IFERROR(IF(ISNUMBER(INDEX(SPPR!$E:$X,MATCH($A383,SPPR!$A:$A,0),11)),$C383*INDEX(SPPR!$E:$X,MATCH($A383,SPPR!$A:$A,0),11),""),"")</f>
        <v/>
      </c>
      <c r="O383">
        <f>IFERROR(IF(ISNUMBER(INDEX(SPPR!$E:$X,MATCH($A383,SPPR!$A:$A,0),12)),$C383*INDEX(SPPR!$E:$X,MATCH($A383,SPPR!$A:$A,0),12),""),"")</f>
        <v/>
      </c>
      <c r="P383">
        <f>IFERROR(IF(ISNUMBER(INDEX(SPPR!$E:$X,MATCH($A383,SPPR!$A:$A,0),13)),$C383*INDEX(SPPR!$E:$X,MATCH($A383,SPPR!$A:$A,0),13),""),"")</f>
        <v/>
      </c>
      <c r="Q383">
        <f>IFERROR(IF(ISNUMBER(INDEX(SPPR!$E:$X,MATCH($A383,SPPR!$A:$A,0),14)),$C383*INDEX(SPPR!$E:$X,MATCH($A383,SPPR!$A:$A,0),14),""),"")</f>
        <v/>
      </c>
      <c r="R383">
        <f>IFERROR(IF(ISNUMBER(INDEX(SPPR!$E:$X,MATCH($A383,SPPR!$A:$A,0),15)),$C383*INDEX(SPPR!$E:$X,MATCH($A383,SPPR!$A:$A,0),15),""),"")</f>
        <v/>
      </c>
      <c r="S383">
        <f>IFERROR(IF(ISNUMBER(INDEX(SPPR!$E:$X,MATCH($A383,SPPR!$A:$A,0),16)),$C383*INDEX(SPPR!$E:$X,MATCH($A383,SPPR!$A:$A,0),16),""),"")</f>
        <v/>
      </c>
      <c r="T383">
        <f>IFERROR(IF(ISNUMBER(INDEX(SPPR!$E:$X,MATCH($A383,SPPR!$A:$A,0),17)),$C383*INDEX(SPPR!$E:$X,MATCH($A383,SPPR!$A:$A,0),17),""),"")</f>
        <v/>
      </c>
      <c r="U383">
        <f>IFERROR(IF(ISNUMBER(INDEX(SPPR!$E:$X,MATCH($A383,SPPR!$A:$A,0),18)),$C383*INDEX(SPPR!$E:$X,MATCH($A383,SPPR!$A:$A,0),18),""),"")</f>
        <v/>
      </c>
      <c r="V383">
        <f>IFERROR(IF(ISNUMBER(INDEX(SPPR!$E:$X,MATCH($A383,SPPR!$A:$A,0),19)),$C383*INDEX(SPPR!$E:$X,MATCH($A383,SPPR!$A:$A,0),19),""),"")</f>
        <v/>
      </c>
      <c r="W383">
        <f>IFERROR(IF(ISNUMBER(INDEX(SPPR!$E:$X,MATCH($A383,SPPR!$A:$A,0),20)),$C383*INDEX(SPPR!$E:$X,MATCH($A383,SPPR!$A:$A,0),20),""),"")</f>
        <v/>
      </c>
    </row>
    <row r="384">
      <c r="A384" t="inlineStr">
        <is>
          <t>Modiolus</t>
        </is>
      </c>
      <c r="B384">
        <f>IFERROR(INDEX(SPPR!$D:$D,MATCH($A384,SPPR!$A:$A,0)),"")</f>
        <v/>
      </c>
      <c r="C384">
        <f>IFERROR(INDEX(Catch!$E:$BV,MATCH($A384,Catch!$A:$A,0),MATCH($B$4,Catch!$E$1:$BV$1,0)),0)</f>
        <v/>
      </c>
      <c r="D384">
        <f>IFERROR(IF(ISNUMBER(INDEX(SPPR!$E:$X,MATCH($A384,SPPR!$A:$A,0),1)),$C384*INDEX(SPPR!$E:$X,MATCH($A384,SPPR!$A:$A,0),1),""),"")</f>
        <v/>
      </c>
      <c r="E384">
        <f>IFERROR(IF(ISNUMBER(INDEX(SPPR!$E:$X,MATCH($A384,SPPR!$A:$A,0),2)),$C384*INDEX(SPPR!$E:$X,MATCH($A384,SPPR!$A:$A,0),2),""),"")</f>
        <v/>
      </c>
      <c r="F384">
        <f>IFERROR(IF(ISNUMBER(INDEX(SPPR!$E:$X,MATCH($A384,SPPR!$A:$A,0),3)),$C384*INDEX(SPPR!$E:$X,MATCH($A384,SPPR!$A:$A,0),3),""),"")</f>
        <v/>
      </c>
      <c r="G384">
        <f>IFERROR(IF(ISNUMBER(INDEX(SPPR!$E:$X,MATCH($A384,SPPR!$A:$A,0),4)),$C384*INDEX(SPPR!$E:$X,MATCH($A384,SPPR!$A:$A,0),4),""),"")</f>
        <v/>
      </c>
      <c r="H384">
        <f>IFERROR(IF(ISNUMBER(INDEX(SPPR!$E:$X,MATCH($A384,SPPR!$A:$A,0),5)),$C384*INDEX(SPPR!$E:$X,MATCH($A384,SPPR!$A:$A,0),5),""),"")</f>
        <v/>
      </c>
      <c r="I384">
        <f>IFERROR(IF(ISNUMBER(INDEX(SPPR!$E:$X,MATCH($A384,SPPR!$A:$A,0),6)),$C384*INDEX(SPPR!$E:$X,MATCH($A384,SPPR!$A:$A,0),6),""),"")</f>
        <v/>
      </c>
      <c r="J384">
        <f>IFERROR(IF(ISNUMBER(INDEX(SPPR!$E:$X,MATCH($A384,SPPR!$A:$A,0),7)),$C384*INDEX(SPPR!$E:$X,MATCH($A384,SPPR!$A:$A,0),7),""),"")</f>
        <v/>
      </c>
      <c r="K384">
        <f>IFERROR(IF(ISNUMBER(INDEX(SPPR!$E:$X,MATCH($A384,SPPR!$A:$A,0),8)),$C384*INDEX(SPPR!$E:$X,MATCH($A384,SPPR!$A:$A,0),8),""),"")</f>
        <v/>
      </c>
      <c r="L384">
        <f>IFERROR(IF(ISNUMBER(INDEX(SPPR!$E:$X,MATCH($A384,SPPR!$A:$A,0),9)),$C384*INDEX(SPPR!$E:$X,MATCH($A384,SPPR!$A:$A,0),9),""),"")</f>
        <v/>
      </c>
      <c r="M384">
        <f>IFERROR(IF(ISNUMBER(INDEX(SPPR!$E:$X,MATCH($A384,SPPR!$A:$A,0),10)),$C384*INDEX(SPPR!$E:$X,MATCH($A384,SPPR!$A:$A,0),10),""),"")</f>
        <v/>
      </c>
      <c r="N384">
        <f>IFERROR(IF(ISNUMBER(INDEX(SPPR!$E:$X,MATCH($A384,SPPR!$A:$A,0),11)),$C384*INDEX(SPPR!$E:$X,MATCH($A384,SPPR!$A:$A,0),11),""),"")</f>
        <v/>
      </c>
      <c r="O384">
        <f>IFERROR(IF(ISNUMBER(INDEX(SPPR!$E:$X,MATCH($A384,SPPR!$A:$A,0),12)),$C384*INDEX(SPPR!$E:$X,MATCH($A384,SPPR!$A:$A,0),12),""),"")</f>
        <v/>
      </c>
      <c r="P384">
        <f>IFERROR(IF(ISNUMBER(INDEX(SPPR!$E:$X,MATCH($A384,SPPR!$A:$A,0),13)),$C384*INDEX(SPPR!$E:$X,MATCH($A384,SPPR!$A:$A,0),13),""),"")</f>
        <v/>
      </c>
      <c r="Q384">
        <f>IFERROR(IF(ISNUMBER(INDEX(SPPR!$E:$X,MATCH($A384,SPPR!$A:$A,0),14)),$C384*INDEX(SPPR!$E:$X,MATCH($A384,SPPR!$A:$A,0),14),""),"")</f>
        <v/>
      </c>
      <c r="R384">
        <f>IFERROR(IF(ISNUMBER(INDEX(SPPR!$E:$X,MATCH($A384,SPPR!$A:$A,0),15)),$C384*INDEX(SPPR!$E:$X,MATCH($A384,SPPR!$A:$A,0),15),""),"")</f>
        <v/>
      </c>
      <c r="S384">
        <f>IFERROR(IF(ISNUMBER(INDEX(SPPR!$E:$X,MATCH($A384,SPPR!$A:$A,0),16)),$C384*INDEX(SPPR!$E:$X,MATCH($A384,SPPR!$A:$A,0),16),""),"")</f>
        <v/>
      </c>
      <c r="T384">
        <f>IFERROR(IF(ISNUMBER(INDEX(SPPR!$E:$X,MATCH($A384,SPPR!$A:$A,0),17)),$C384*INDEX(SPPR!$E:$X,MATCH($A384,SPPR!$A:$A,0),17),""),"")</f>
        <v/>
      </c>
      <c r="U384">
        <f>IFERROR(IF(ISNUMBER(INDEX(SPPR!$E:$X,MATCH($A384,SPPR!$A:$A,0),18)),$C384*INDEX(SPPR!$E:$X,MATCH($A384,SPPR!$A:$A,0),18),""),"")</f>
        <v/>
      </c>
      <c r="V384">
        <f>IFERROR(IF(ISNUMBER(INDEX(SPPR!$E:$X,MATCH($A384,SPPR!$A:$A,0),19)),$C384*INDEX(SPPR!$E:$X,MATCH($A384,SPPR!$A:$A,0),19),""),"")</f>
        <v/>
      </c>
      <c r="W384">
        <f>IFERROR(IF(ISNUMBER(INDEX(SPPR!$E:$X,MATCH($A384,SPPR!$A:$A,0),20)),$C384*INDEX(SPPR!$E:$X,MATCH($A384,SPPR!$A:$A,0),20),""),"")</f>
        <v/>
      </c>
    </row>
    <row r="385">
      <c r="A385" t="inlineStr">
        <is>
          <t>Solen vagina</t>
        </is>
      </c>
      <c r="B385">
        <f>IFERROR(INDEX(SPPR!$D:$D,MATCH($A385,SPPR!$A:$A,0)),"")</f>
        <v/>
      </c>
      <c r="C385">
        <f>IFERROR(INDEX(Catch!$E:$BV,MATCH($A385,Catch!$A:$A,0),MATCH($B$4,Catch!$E$1:$BV$1,0)),0)</f>
        <v/>
      </c>
      <c r="D385">
        <f>IFERROR(IF(ISNUMBER(INDEX(SPPR!$E:$X,MATCH($A385,SPPR!$A:$A,0),1)),$C385*INDEX(SPPR!$E:$X,MATCH($A385,SPPR!$A:$A,0),1),""),"")</f>
        <v/>
      </c>
      <c r="E385">
        <f>IFERROR(IF(ISNUMBER(INDEX(SPPR!$E:$X,MATCH($A385,SPPR!$A:$A,0),2)),$C385*INDEX(SPPR!$E:$X,MATCH($A385,SPPR!$A:$A,0),2),""),"")</f>
        <v/>
      </c>
      <c r="F385">
        <f>IFERROR(IF(ISNUMBER(INDEX(SPPR!$E:$X,MATCH($A385,SPPR!$A:$A,0),3)),$C385*INDEX(SPPR!$E:$X,MATCH($A385,SPPR!$A:$A,0),3),""),"")</f>
        <v/>
      </c>
      <c r="G385">
        <f>IFERROR(IF(ISNUMBER(INDEX(SPPR!$E:$X,MATCH($A385,SPPR!$A:$A,0),4)),$C385*INDEX(SPPR!$E:$X,MATCH($A385,SPPR!$A:$A,0),4),""),"")</f>
        <v/>
      </c>
      <c r="H385">
        <f>IFERROR(IF(ISNUMBER(INDEX(SPPR!$E:$X,MATCH($A385,SPPR!$A:$A,0),5)),$C385*INDEX(SPPR!$E:$X,MATCH($A385,SPPR!$A:$A,0),5),""),"")</f>
        <v/>
      </c>
      <c r="I385">
        <f>IFERROR(IF(ISNUMBER(INDEX(SPPR!$E:$X,MATCH($A385,SPPR!$A:$A,0),6)),$C385*INDEX(SPPR!$E:$X,MATCH($A385,SPPR!$A:$A,0),6),""),"")</f>
        <v/>
      </c>
      <c r="J385">
        <f>IFERROR(IF(ISNUMBER(INDEX(SPPR!$E:$X,MATCH($A385,SPPR!$A:$A,0),7)),$C385*INDEX(SPPR!$E:$X,MATCH($A385,SPPR!$A:$A,0),7),""),"")</f>
        <v/>
      </c>
      <c r="K385">
        <f>IFERROR(IF(ISNUMBER(INDEX(SPPR!$E:$X,MATCH($A385,SPPR!$A:$A,0),8)),$C385*INDEX(SPPR!$E:$X,MATCH($A385,SPPR!$A:$A,0),8),""),"")</f>
        <v/>
      </c>
      <c r="L385">
        <f>IFERROR(IF(ISNUMBER(INDEX(SPPR!$E:$X,MATCH($A385,SPPR!$A:$A,0),9)),$C385*INDEX(SPPR!$E:$X,MATCH($A385,SPPR!$A:$A,0),9),""),"")</f>
        <v/>
      </c>
      <c r="M385">
        <f>IFERROR(IF(ISNUMBER(INDEX(SPPR!$E:$X,MATCH($A385,SPPR!$A:$A,0),10)),$C385*INDEX(SPPR!$E:$X,MATCH($A385,SPPR!$A:$A,0),10),""),"")</f>
        <v/>
      </c>
      <c r="N385">
        <f>IFERROR(IF(ISNUMBER(INDEX(SPPR!$E:$X,MATCH($A385,SPPR!$A:$A,0),11)),$C385*INDEX(SPPR!$E:$X,MATCH($A385,SPPR!$A:$A,0),11),""),"")</f>
        <v/>
      </c>
      <c r="O385">
        <f>IFERROR(IF(ISNUMBER(INDEX(SPPR!$E:$X,MATCH($A385,SPPR!$A:$A,0),12)),$C385*INDEX(SPPR!$E:$X,MATCH($A385,SPPR!$A:$A,0),12),""),"")</f>
        <v/>
      </c>
      <c r="P385">
        <f>IFERROR(IF(ISNUMBER(INDEX(SPPR!$E:$X,MATCH($A385,SPPR!$A:$A,0),13)),$C385*INDEX(SPPR!$E:$X,MATCH($A385,SPPR!$A:$A,0),13),""),"")</f>
        <v/>
      </c>
      <c r="Q385">
        <f>IFERROR(IF(ISNUMBER(INDEX(SPPR!$E:$X,MATCH($A385,SPPR!$A:$A,0),14)),$C385*INDEX(SPPR!$E:$X,MATCH($A385,SPPR!$A:$A,0),14),""),"")</f>
        <v/>
      </c>
      <c r="R385">
        <f>IFERROR(IF(ISNUMBER(INDEX(SPPR!$E:$X,MATCH($A385,SPPR!$A:$A,0),15)),$C385*INDEX(SPPR!$E:$X,MATCH($A385,SPPR!$A:$A,0),15),""),"")</f>
        <v/>
      </c>
      <c r="S385">
        <f>IFERROR(IF(ISNUMBER(INDEX(SPPR!$E:$X,MATCH($A385,SPPR!$A:$A,0),16)),$C385*INDEX(SPPR!$E:$X,MATCH($A385,SPPR!$A:$A,0),16),""),"")</f>
        <v/>
      </c>
      <c r="T385">
        <f>IFERROR(IF(ISNUMBER(INDEX(SPPR!$E:$X,MATCH($A385,SPPR!$A:$A,0),17)),$C385*INDEX(SPPR!$E:$X,MATCH($A385,SPPR!$A:$A,0),17),""),"")</f>
        <v/>
      </c>
      <c r="U385">
        <f>IFERROR(IF(ISNUMBER(INDEX(SPPR!$E:$X,MATCH($A385,SPPR!$A:$A,0),18)),$C385*INDEX(SPPR!$E:$X,MATCH($A385,SPPR!$A:$A,0),18),""),"")</f>
        <v/>
      </c>
      <c r="V385">
        <f>IFERROR(IF(ISNUMBER(INDEX(SPPR!$E:$X,MATCH($A385,SPPR!$A:$A,0),19)),$C385*INDEX(SPPR!$E:$X,MATCH($A385,SPPR!$A:$A,0),19),""),"")</f>
        <v/>
      </c>
      <c r="W385">
        <f>IFERROR(IF(ISNUMBER(INDEX(SPPR!$E:$X,MATCH($A385,SPPR!$A:$A,0),20)),$C385*INDEX(SPPR!$E:$X,MATCH($A385,SPPR!$A:$A,0),20),""),"")</f>
        <v/>
      </c>
    </row>
    <row r="386">
      <c r="A386" t="inlineStr">
        <is>
          <t>Trichiurus</t>
        </is>
      </c>
      <c r="B386">
        <f>IFERROR(INDEX(SPPR!$D:$D,MATCH($A386,SPPR!$A:$A,0)),"")</f>
        <v/>
      </c>
      <c r="C386">
        <f>IFERROR(INDEX(Catch!$E:$BV,MATCH($A386,Catch!$A:$A,0),MATCH($B$4,Catch!$E$1:$BV$1,0)),0)</f>
        <v/>
      </c>
      <c r="D386">
        <f>IFERROR(IF(ISNUMBER(INDEX(SPPR!$E:$X,MATCH($A386,SPPR!$A:$A,0),1)),$C386*INDEX(SPPR!$E:$X,MATCH($A386,SPPR!$A:$A,0),1),""),"")</f>
        <v/>
      </c>
      <c r="E386">
        <f>IFERROR(IF(ISNUMBER(INDEX(SPPR!$E:$X,MATCH($A386,SPPR!$A:$A,0),2)),$C386*INDEX(SPPR!$E:$X,MATCH($A386,SPPR!$A:$A,0),2),""),"")</f>
        <v/>
      </c>
      <c r="F386">
        <f>IFERROR(IF(ISNUMBER(INDEX(SPPR!$E:$X,MATCH($A386,SPPR!$A:$A,0),3)),$C386*INDEX(SPPR!$E:$X,MATCH($A386,SPPR!$A:$A,0),3),""),"")</f>
        <v/>
      </c>
      <c r="G386">
        <f>IFERROR(IF(ISNUMBER(INDEX(SPPR!$E:$X,MATCH($A386,SPPR!$A:$A,0),4)),$C386*INDEX(SPPR!$E:$X,MATCH($A386,SPPR!$A:$A,0),4),""),"")</f>
        <v/>
      </c>
      <c r="H386">
        <f>IFERROR(IF(ISNUMBER(INDEX(SPPR!$E:$X,MATCH($A386,SPPR!$A:$A,0),5)),$C386*INDEX(SPPR!$E:$X,MATCH($A386,SPPR!$A:$A,0),5),""),"")</f>
        <v/>
      </c>
      <c r="I386">
        <f>IFERROR(IF(ISNUMBER(INDEX(SPPR!$E:$X,MATCH($A386,SPPR!$A:$A,0),6)),$C386*INDEX(SPPR!$E:$X,MATCH($A386,SPPR!$A:$A,0),6),""),"")</f>
        <v/>
      </c>
      <c r="J386">
        <f>IFERROR(IF(ISNUMBER(INDEX(SPPR!$E:$X,MATCH($A386,SPPR!$A:$A,0),7)),$C386*INDEX(SPPR!$E:$X,MATCH($A386,SPPR!$A:$A,0),7),""),"")</f>
        <v/>
      </c>
      <c r="K386">
        <f>IFERROR(IF(ISNUMBER(INDEX(SPPR!$E:$X,MATCH($A386,SPPR!$A:$A,0),8)),$C386*INDEX(SPPR!$E:$X,MATCH($A386,SPPR!$A:$A,0),8),""),"")</f>
        <v/>
      </c>
      <c r="L386">
        <f>IFERROR(IF(ISNUMBER(INDEX(SPPR!$E:$X,MATCH($A386,SPPR!$A:$A,0),9)),$C386*INDEX(SPPR!$E:$X,MATCH($A386,SPPR!$A:$A,0),9),""),"")</f>
        <v/>
      </c>
      <c r="M386">
        <f>IFERROR(IF(ISNUMBER(INDEX(SPPR!$E:$X,MATCH($A386,SPPR!$A:$A,0),10)),$C386*INDEX(SPPR!$E:$X,MATCH($A386,SPPR!$A:$A,0),10),""),"")</f>
        <v/>
      </c>
      <c r="N386">
        <f>IFERROR(IF(ISNUMBER(INDEX(SPPR!$E:$X,MATCH($A386,SPPR!$A:$A,0),11)),$C386*INDEX(SPPR!$E:$X,MATCH($A386,SPPR!$A:$A,0),11),""),"")</f>
        <v/>
      </c>
      <c r="O386">
        <f>IFERROR(IF(ISNUMBER(INDEX(SPPR!$E:$X,MATCH($A386,SPPR!$A:$A,0),12)),$C386*INDEX(SPPR!$E:$X,MATCH($A386,SPPR!$A:$A,0),12),""),"")</f>
        <v/>
      </c>
      <c r="P386">
        <f>IFERROR(IF(ISNUMBER(INDEX(SPPR!$E:$X,MATCH($A386,SPPR!$A:$A,0),13)),$C386*INDEX(SPPR!$E:$X,MATCH($A386,SPPR!$A:$A,0),13),""),"")</f>
        <v/>
      </c>
      <c r="Q386">
        <f>IFERROR(IF(ISNUMBER(INDEX(SPPR!$E:$X,MATCH($A386,SPPR!$A:$A,0),14)),$C386*INDEX(SPPR!$E:$X,MATCH($A386,SPPR!$A:$A,0),14),""),"")</f>
        <v/>
      </c>
      <c r="R386">
        <f>IFERROR(IF(ISNUMBER(INDEX(SPPR!$E:$X,MATCH($A386,SPPR!$A:$A,0),15)),$C386*INDEX(SPPR!$E:$X,MATCH($A386,SPPR!$A:$A,0),15),""),"")</f>
        <v/>
      </c>
      <c r="S386">
        <f>IFERROR(IF(ISNUMBER(INDEX(SPPR!$E:$X,MATCH($A386,SPPR!$A:$A,0),16)),$C386*INDEX(SPPR!$E:$X,MATCH($A386,SPPR!$A:$A,0),16),""),"")</f>
        <v/>
      </c>
      <c r="T386">
        <f>IFERROR(IF(ISNUMBER(INDEX(SPPR!$E:$X,MATCH($A386,SPPR!$A:$A,0),17)),$C386*INDEX(SPPR!$E:$X,MATCH($A386,SPPR!$A:$A,0),17),""),"")</f>
        <v/>
      </c>
      <c r="U386">
        <f>IFERROR(IF(ISNUMBER(INDEX(SPPR!$E:$X,MATCH($A386,SPPR!$A:$A,0),18)),$C386*INDEX(SPPR!$E:$X,MATCH($A386,SPPR!$A:$A,0),18),""),"")</f>
        <v/>
      </c>
      <c r="V386">
        <f>IFERROR(IF(ISNUMBER(INDEX(SPPR!$E:$X,MATCH($A386,SPPR!$A:$A,0),19)),$C386*INDEX(SPPR!$E:$X,MATCH($A386,SPPR!$A:$A,0),19),""),"")</f>
        <v/>
      </c>
      <c r="W386">
        <f>IFERROR(IF(ISNUMBER(INDEX(SPPR!$E:$X,MATCH($A386,SPPR!$A:$A,0),20)),$C386*INDEX(SPPR!$E:$X,MATCH($A386,SPPR!$A:$A,0),20),""),"")</f>
        <v/>
      </c>
    </row>
    <row r="387">
      <c r="A387" t="inlineStr">
        <is>
          <t>Petromyzontidae</t>
        </is>
      </c>
      <c r="B387">
        <f>IFERROR(INDEX(SPPR!$D:$D,MATCH($A387,SPPR!$A:$A,0)),"")</f>
        <v/>
      </c>
      <c r="C387">
        <f>IFERROR(INDEX(Catch!$E:$BV,MATCH($A387,Catch!$A:$A,0),MATCH($B$4,Catch!$E$1:$BV$1,0)),0)</f>
        <v/>
      </c>
      <c r="D387">
        <f>IFERROR(IF(ISNUMBER(INDEX(SPPR!$E:$X,MATCH($A387,SPPR!$A:$A,0),1)),$C387*INDEX(SPPR!$E:$X,MATCH($A387,SPPR!$A:$A,0),1),""),"")</f>
        <v/>
      </c>
      <c r="E387">
        <f>IFERROR(IF(ISNUMBER(INDEX(SPPR!$E:$X,MATCH($A387,SPPR!$A:$A,0),2)),$C387*INDEX(SPPR!$E:$X,MATCH($A387,SPPR!$A:$A,0),2),""),"")</f>
        <v/>
      </c>
      <c r="F387">
        <f>IFERROR(IF(ISNUMBER(INDEX(SPPR!$E:$X,MATCH($A387,SPPR!$A:$A,0),3)),$C387*INDEX(SPPR!$E:$X,MATCH($A387,SPPR!$A:$A,0),3),""),"")</f>
        <v/>
      </c>
      <c r="G387">
        <f>IFERROR(IF(ISNUMBER(INDEX(SPPR!$E:$X,MATCH($A387,SPPR!$A:$A,0),4)),$C387*INDEX(SPPR!$E:$X,MATCH($A387,SPPR!$A:$A,0),4),""),"")</f>
        <v/>
      </c>
      <c r="H387">
        <f>IFERROR(IF(ISNUMBER(INDEX(SPPR!$E:$X,MATCH($A387,SPPR!$A:$A,0),5)),$C387*INDEX(SPPR!$E:$X,MATCH($A387,SPPR!$A:$A,0),5),""),"")</f>
        <v/>
      </c>
      <c r="I387">
        <f>IFERROR(IF(ISNUMBER(INDEX(SPPR!$E:$X,MATCH($A387,SPPR!$A:$A,0),6)),$C387*INDEX(SPPR!$E:$X,MATCH($A387,SPPR!$A:$A,0),6),""),"")</f>
        <v/>
      </c>
      <c r="J387">
        <f>IFERROR(IF(ISNUMBER(INDEX(SPPR!$E:$X,MATCH($A387,SPPR!$A:$A,0),7)),$C387*INDEX(SPPR!$E:$X,MATCH($A387,SPPR!$A:$A,0),7),""),"")</f>
        <v/>
      </c>
      <c r="K387">
        <f>IFERROR(IF(ISNUMBER(INDEX(SPPR!$E:$X,MATCH($A387,SPPR!$A:$A,0),8)),$C387*INDEX(SPPR!$E:$X,MATCH($A387,SPPR!$A:$A,0),8),""),"")</f>
        <v/>
      </c>
      <c r="L387">
        <f>IFERROR(IF(ISNUMBER(INDEX(SPPR!$E:$X,MATCH($A387,SPPR!$A:$A,0),9)),$C387*INDEX(SPPR!$E:$X,MATCH($A387,SPPR!$A:$A,0),9),""),"")</f>
        <v/>
      </c>
      <c r="M387">
        <f>IFERROR(IF(ISNUMBER(INDEX(SPPR!$E:$X,MATCH($A387,SPPR!$A:$A,0),10)),$C387*INDEX(SPPR!$E:$X,MATCH($A387,SPPR!$A:$A,0),10),""),"")</f>
        <v/>
      </c>
      <c r="N387">
        <f>IFERROR(IF(ISNUMBER(INDEX(SPPR!$E:$X,MATCH($A387,SPPR!$A:$A,0),11)),$C387*INDEX(SPPR!$E:$X,MATCH($A387,SPPR!$A:$A,0),11),""),"")</f>
        <v/>
      </c>
      <c r="O387">
        <f>IFERROR(IF(ISNUMBER(INDEX(SPPR!$E:$X,MATCH($A387,SPPR!$A:$A,0),12)),$C387*INDEX(SPPR!$E:$X,MATCH($A387,SPPR!$A:$A,0),12),""),"")</f>
        <v/>
      </c>
      <c r="P387">
        <f>IFERROR(IF(ISNUMBER(INDEX(SPPR!$E:$X,MATCH($A387,SPPR!$A:$A,0),13)),$C387*INDEX(SPPR!$E:$X,MATCH($A387,SPPR!$A:$A,0),13),""),"")</f>
        <v/>
      </c>
      <c r="Q387">
        <f>IFERROR(IF(ISNUMBER(INDEX(SPPR!$E:$X,MATCH($A387,SPPR!$A:$A,0),14)),$C387*INDEX(SPPR!$E:$X,MATCH($A387,SPPR!$A:$A,0),14),""),"")</f>
        <v/>
      </c>
      <c r="R387">
        <f>IFERROR(IF(ISNUMBER(INDEX(SPPR!$E:$X,MATCH($A387,SPPR!$A:$A,0),15)),$C387*INDEX(SPPR!$E:$X,MATCH($A387,SPPR!$A:$A,0),15),""),"")</f>
        <v/>
      </c>
      <c r="S387">
        <f>IFERROR(IF(ISNUMBER(INDEX(SPPR!$E:$X,MATCH($A387,SPPR!$A:$A,0),16)),$C387*INDEX(SPPR!$E:$X,MATCH($A387,SPPR!$A:$A,0),16),""),"")</f>
        <v/>
      </c>
      <c r="T387">
        <f>IFERROR(IF(ISNUMBER(INDEX(SPPR!$E:$X,MATCH($A387,SPPR!$A:$A,0),17)),$C387*INDEX(SPPR!$E:$X,MATCH($A387,SPPR!$A:$A,0),17),""),"")</f>
        <v/>
      </c>
      <c r="U387">
        <f>IFERROR(IF(ISNUMBER(INDEX(SPPR!$E:$X,MATCH($A387,SPPR!$A:$A,0),18)),$C387*INDEX(SPPR!$E:$X,MATCH($A387,SPPR!$A:$A,0),18),""),"")</f>
        <v/>
      </c>
      <c r="V387">
        <f>IFERROR(IF(ISNUMBER(INDEX(SPPR!$E:$X,MATCH($A387,SPPR!$A:$A,0),19)),$C387*INDEX(SPPR!$E:$X,MATCH($A387,SPPR!$A:$A,0),19),""),"")</f>
        <v/>
      </c>
      <c r="W387">
        <f>IFERROR(IF(ISNUMBER(INDEX(SPPR!$E:$X,MATCH($A387,SPPR!$A:$A,0),20)),$C387*INDEX(SPPR!$E:$X,MATCH($A387,SPPR!$A:$A,0),20),""),"")</f>
        <v/>
      </c>
    </row>
    <row r="388">
      <c r="A388" t="inlineStr">
        <is>
          <t>Chelon saliens</t>
        </is>
      </c>
      <c r="B388">
        <f>IFERROR(INDEX(SPPR!$D:$D,MATCH($A388,SPPR!$A:$A,0)),"")</f>
        <v/>
      </c>
      <c r="C388">
        <f>IFERROR(INDEX(Catch!$E:$BV,MATCH($A388,Catch!$A:$A,0),MATCH($B$4,Catch!$E$1:$BV$1,0)),0)</f>
        <v/>
      </c>
      <c r="D388">
        <f>IFERROR(IF(ISNUMBER(INDEX(SPPR!$E:$X,MATCH($A388,SPPR!$A:$A,0),1)),$C388*INDEX(SPPR!$E:$X,MATCH($A388,SPPR!$A:$A,0),1),""),"")</f>
        <v/>
      </c>
      <c r="E388">
        <f>IFERROR(IF(ISNUMBER(INDEX(SPPR!$E:$X,MATCH($A388,SPPR!$A:$A,0),2)),$C388*INDEX(SPPR!$E:$X,MATCH($A388,SPPR!$A:$A,0),2),""),"")</f>
        <v/>
      </c>
      <c r="F388">
        <f>IFERROR(IF(ISNUMBER(INDEX(SPPR!$E:$X,MATCH($A388,SPPR!$A:$A,0),3)),$C388*INDEX(SPPR!$E:$X,MATCH($A388,SPPR!$A:$A,0),3),""),"")</f>
        <v/>
      </c>
      <c r="G388">
        <f>IFERROR(IF(ISNUMBER(INDEX(SPPR!$E:$X,MATCH($A388,SPPR!$A:$A,0),4)),$C388*INDEX(SPPR!$E:$X,MATCH($A388,SPPR!$A:$A,0),4),""),"")</f>
        <v/>
      </c>
      <c r="H388">
        <f>IFERROR(IF(ISNUMBER(INDEX(SPPR!$E:$X,MATCH($A388,SPPR!$A:$A,0),5)),$C388*INDEX(SPPR!$E:$X,MATCH($A388,SPPR!$A:$A,0),5),""),"")</f>
        <v/>
      </c>
      <c r="I388">
        <f>IFERROR(IF(ISNUMBER(INDEX(SPPR!$E:$X,MATCH($A388,SPPR!$A:$A,0),6)),$C388*INDEX(SPPR!$E:$X,MATCH($A388,SPPR!$A:$A,0),6),""),"")</f>
        <v/>
      </c>
      <c r="J388">
        <f>IFERROR(IF(ISNUMBER(INDEX(SPPR!$E:$X,MATCH($A388,SPPR!$A:$A,0),7)),$C388*INDEX(SPPR!$E:$X,MATCH($A388,SPPR!$A:$A,0),7),""),"")</f>
        <v/>
      </c>
      <c r="K388">
        <f>IFERROR(IF(ISNUMBER(INDEX(SPPR!$E:$X,MATCH($A388,SPPR!$A:$A,0),8)),$C388*INDEX(SPPR!$E:$X,MATCH($A388,SPPR!$A:$A,0),8),""),"")</f>
        <v/>
      </c>
      <c r="L388">
        <f>IFERROR(IF(ISNUMBER(INDEX(SPPR!$E:$X,MATCH($A388,SPPR!$A:$A,0),9)),$C388*INDEX(SPPR!$E:$X,MATCH($A388,SPPR!$A:$A,0),9),""),"")</f>
        <v/>
      </c>
      <c r="M388">
        <f>IFERROR(IF(ISNUMBER(INDEX(SPPR!$E:$X,MATCH($A388,SPPR!$A:$A,0),10)),$C388*INDEX(SPPR!$E:$X,MATCH($A388,SPPR!$A:$A,0),10),""),"")</f>
        <v/>
      </c>
      <c r="N388">
        <f>IFERROR(IF(ISNUMBER(INDEX(SPPR!$E:$X,MATCH($A388,SPPR!$A:$A,0),11)),$C388*INDEX(SPPR!$E:$X,MATCH($A388,SPPR!$A:$A,0),11),""),"")</f>
        <v/>
      </c>
      <c r="O388">
        <f>IFERROR(IF(ISNUMBER(INDEX(SPPR!$E:$X,MATCH($A388,SPPR!$A:$A,0),12)),$C388*INDEX(SPPR!$E:$X,MATCH($A388,SPPR!$A:$A,0),12),""),"")</f>
        <v/>
      </c>
      <c r="P388">
        <f>IFERROR(IF(ISNUMBER(INDEX(SPPR!$E:$X,MATCH($A388,SPPR!$A:$A,0),13)),$C388*INDEX(SPPR!$E:$X,MATCH($A388,SPPR!$A:$A,0),13),""),"")</f>
        <v/>
      </c>
      <c r="Q388">
        <f>IFERROR(IF(ISNUMBER(INDEX(SPPR!$E:$X,MATCH($A388,SPPR!$A:$A,0),14)),$C388*INDEX(SPPR!$E:$X,MATCH($A388,SPPR!$A:$A,0),14),""),"")</f>
        <v/>
      </c>
      <c r="R388">
        <f>IFERROR(IF(ISNUMBER(INDEX(SPPR!$E:$X,MATCH($A388,SPPR!$A:$A,0),15)),$C388*INDEX(SPPR!$E:$X,MATCH($A388,SPPR!$A:$A,0),15),""),"")</f>
        <v/>
      </c>
      <c r="S388">
        <f>IFERROR(IF(ISNUMBER(INDEX(SPPR!$E:$X,MATCH($A388,SPPR!$A:$A,0),16)),$C388*INDEX(SPPR!$E:$X,MATCH($A388,SPPR!$A:$A,0),16),""),"")</f>
        <v/>
      </c>
      <c r="T388">
        <f>IFERROR(IF(ISNUMBER(INDEX(SPPR!$E:$X,MATCH($A388,SPPR!$A:$A,0),17)),$C388*INDEX(SPPR!$E:$X,MATCH($A388,SPPR!$A:$A,0),17),""),"")</f>
        <v/>
      </c>
      <c r="U388">
        <f>IFERROR(IF(ISNUMBER(INDEX(SPPR!$E:$X,MATCH($A388,SPPR!$A:$A,0),18)),$C388*INDEX(SPPR!$E:$X,MATCH($A388,SPPR!$A:$A,0),18),""),"")</f>
        <v/>
      </c>
      <c r="V388">
        <f>IFERROR(IF(ISNUMBER(INDEX(SPPR!$E:$X,MATCH($A388,SPPR!$A:$A,0),19)),$C388*INDEX(SPPR!$E:$X,MATCH($A388,SPPR!$A:$A,0),19),""),"")</f>
        <v/>
      </c>
      <c r="W388">
        <f>IFERROR(IF(ISNUMBER(INDEX(SPPR!$E:$X,MATCH($A388,SPPR!$A:$A,0),20)),$C388*INDEX(SPPR!$E:$X,MATCH($A388,SPPR!$A:$A,0),20),""),"")</f>
        <v/>
      </c>
    </row>
    <row r="389">
      <c r="A389" t="inlineStr">
        <is>
          <t>Dasyatidae</t>
        </is>
      </c>
      <c r="B389">
        <f>IFERROR(INDEX(SPPR!$D:$D,MATCH($A389,SPPR!$A:$A,0)),"")</f>
        <v/>
      </c>
      <c r="C389">
        <f>IFERROR(INDEX(Catch!$E:$BV,MATCH($A389,Catch!$A:$A,0),MATCH($B$4,Catch!$E$1:$BV$1,0)),0)</f>
        <v/>
      </c>
      <c r="D389">
        <f>IFERROR(IF(ISNUMBER(INDEX(SPPR!$E:$X,MATCH($A389,SPPR!$A:$A,0),1)),$C389*INDEX(SPPR!$E:$X,MATCH($A389,SPPR!$A:$A,0),1),""),"")</f>
        <v/>
      </c>
      <c r="E389">
        <f>IFERROR(IF(ISNUMBER(INDEX(SPPR!$E:$X,MATCH($A389,SPPR!$A:$A,0),2)),$C389*INDEX(SPPR!$E:$X,MATCH($A389,SPPR!$A:$A,0),2),""),"")</f>
        <v/>
      </c>
      <c r="F389">
        <f>IFERROR(IF(ISNUMBER(INDEX(SPPR!$E:$X,MATCH($A389,SPPR!$A:$A,0),3)),$C389*INDEX(SPPR!$E:$X,MATCH($A389,SPPR!$A:$A,0),3),""),"")</f>
        <v/>
      </c>
      <c r="G389">
        <f>IFERROR(IF(ISNUMBER(INDEX(SPPR!$E:$X,MATCH($A389,SPPR!$A:$A,0),4)),$C389*INDEX(SPPR!$E:$X,MATCH($A389,SPPR!$A:$A,0),4),""),"")</f>
        <v/>
      </c>
      <c r="H389">
        <f>IFERROR(IF(ISNUMBER(INDEX(SPPR!$E:$X,MATCH($A389,SPPR!$A:$A,0),5)),$C389*INDEX(SPPR!$E:$X,MATCH($A389,SPPR!$A:$A,0),5),""),"")</f>
        <v/>
      </c>
      <c r="I389">
        <f>IFERROR(IF(ISNUMBER(INDEX(SPPR!$E:$X,MATCH($A389,SPPR!$A:$A,0),6)),$C389*INDEX(SPPR!$E:$X,MATCH($A389,SPPR!$A:$A,0),6),""),"")</f>
        <v/>
      </c>
      <c r="J389">
        <f>IFERROR(IF(ISNUMBER(INDEX(SPPR!$E:$X,MATCH($A389,SPPR!$A:$A,0),7)),$C389*INDEX(SPPR!$E:$X,MATCH($A389,SPPR!$A:$A,0),7),""),"")</f>
        <v/>
      </c>
      <c r="K389">
        <f>IFERROR(IF(ISNUMBER(INDEX(SPPR!$E:$X,MATCH($A389,SPPR!$A:$A,0),8)),$C389*INDEX(SPPR!$E:$X,MATCH($A389,SPPR!$A:$A,0),8),""),"")</f>
        <v/>
      </c>
      <c r="L389">
        <f>IFERROR(IF(ISNUMBER(INDEX(SPPR!$E:$X,MATCH($A389,SPPR!$A:$A,0),9)),$C389*INDEX(SPPR!$E:$X,MATCH($A389,SPPR!$A:$A,0),9),""),"")</f>
        <v/>
      </c>
      <c r="M389">
        <f>IFERROR(IF(ISNUMBER(INDEX(SPPR!$E:$X,MATCH($A389,SPPR!$A:$A,0),10)),$C389*INDEX(SPPR!$E:$X,MATCH($A389,SPPR!$A:$A,0),10),""),"")</f>
        <v/>
      </c>
      <c r="N389">
        <f>IFERROR(IF(ISNUMBER(INDEX(SPPR!$E:$X,MATCH($A389,SPPR!$A:$A,0),11)),$C389*INDEX(SPPR!$E:$X,MATCH($A389,SPPR!$A:$A,0),11),""),"")</f>
        <v/>
      </c>
      <c r="O389">
        <f>IFERROR(IF(ISNUMBER(INDEX(SPPR!$E:$X,MATCH($A389,SPPR!$A:$A,0),12)),$C389*INDEX(SPPR!$E:$X,MATCH($A389,SPPR!$A:$A,0),12),""),"")</f>
        <v/>
      </c>
      <c r="P389">
        <f>IFERROR(IF(ISNUMBER(INDEX(SPPR!$E:$X,MATCH($A389,SPPR!$A:$A,0),13)),$C389*INDEX(SPPR!$E:$X,MATCH($A389,SPPR!$A:$A,0),13),""),"")</f>
        <v/>
      </c>
      <c r="Q389">
        <f>IFERROR(IF(ISNUMBER(INDEX(SPPR!$E:$X,MATCH($A389,SPPR!$A:$A,0),14)),$C389*INDEX(SPPR!$E:$X,MATCH($A389,SPPR!$A:$A,0),14),""),"")</f>
        <v/>
      </c>
      <c r="R389">
        <f>IFERROR(IF(ISNUMBER(INDEX(SPPR!$E:$X,MATCH($A389,SPPR!$A:$A,0),15)),$C389*INDEX(SPPR!$E:$X,MATCH($A389,SPPR!$A:$A,0),15),""),"")</f>
        <v/>
      </c>
      <c r="S389">
        <f>IFERROR(IF(ISNUMBER(INDEX(SPPR!$E:$X,MATCH($A389,SPPR!$A:$A,0),16)),$C389*INDEX(SPPR!$E:$X,MATCH($A389,SPPR!$A:$A,0),16),""),"")</f>
        <v/>
      </c>
      <c r="T389">
        <f>IFERROR(IF(ISNUMBER(INDEX(SPPR!$E:$X,MATCH($A389,SPPR!$A:$A,0),17)),$C389*INDEX(SPPR!$E:$X,MATCH($A389,SPPR!$A:$A,0),17),""),"")</f>
        <v/>
      </c>
      <c r="U389">
        <f>IFERROR(IF(ISNUMBER(INDEX(SPPR!$E:$X,MATCH($A389,SPPR!$A:$A,0),18)),$C389*INDEX(SPPR!$E:$X,MATCH($A389,SPPR!$A:$A,0),18),""),"")</f>
        <v/>
      </c>
      <c r="V389">
        <f>IFERROR(IF(ISNUMBER(INDEX(SPPR!$E:$X,MATCH($A389,SPPR!$A:$A,0),19)),$C389*INDEX(SPPR!$E:$X,MATCH($A389,SPPR!$A:$A,0),19),""),"")</f>
        <v/>
      </c>
      <c r="W389">
        <f>IFERROR(IF(ISNUMBER(INDEX(SPPR!$E:$X,MATCH($A389,SPPR!$A:$A,0),20)),$C389*INDEX(SPPR!$E:$X,MATCH($A389,SPPR!$A:$A,0),20),""),"")</f>
        <v/>
      </c>
    </row>
    <row r="390">
      <c r="A390" t="inlineStr">
        <is>
          <t>Patella</t>
        </is>
      </c>
      <c r="B390">
        <f>IFERROR(INDEX(SPPR!$D:$D,MATCH($A390,SPPR!$A:$A,0)),"")</f>
        <v/>
      </c>
      <c r="C390">
        <f>IFERROR(INDEX(Catch!$E:$BV,MATCH($A390,Catch!$A:$A,0),MATCH($B$4,Catch!$E$1:$BV$1,0)),0)</f>
        <v/>
      </c>
      <c r="D390">
        <f>IFERROR(IF(ISNUMBER(INDEX(SPPR!$E:$X,MATCH($A390,SPPR!$A:$A,0),1)),$C390*INDEX(SPPR!$E:$X,MATCH($A390,SPPR!$A:$A,0),1),""),"")</f>
        <v/>
      </c>
      <c r="E390">
        <f>IFERROR(IF(ISNUMBER(INDEX(SPPR!$E:$X,MATCH($A390,SPPR!$A:$A,0),2)),$C390*INDEX(SPPR!$E:$X,MATCH($A390,SPPR!$A:$A,0),2),""),"")</f>
        <v/>
      </c>
      <c r="F390">
        <f>IFERROR(IF(ISNUMBER(INDEX(SPPR!$E:$X,MATCH($A390,SPPR!$A:$A,0),3)),$C390*INDEX(SPPR!$E:$X,MATCH($A390,SPPR!$A:$A,0),3),""),"")</f>
        <v/>
      </c>
      <c r="G390">
        <f>IFERROR(IF(ISNUMBER(INDEX(SPPR!$E:$X,MATCH($A390,SPPR!$A:$A,0),4)),$C390*INDEX(SPPR!$E:$X,MATCH($A390,SPPR!$A:$A,0),4),""),"")</f>
        <v/>
      </c>
      <c r="H390">
        <f>IFERROR(IF(ISNUMBER(INDEX(SPPR!$E:$X,MATCH($A390,SPPR!$A:$A,0),5)),$C390*INDEX(SPPR!$E:$X,MATCH($A390,SPPR!$A:$A,0),5),""),"")</f>
        <v/>
      </c>
      <c r="I390">
        <f>IFERROR(IF(ISNUMBER(INDEX(SPPR!$E:$X,MATCH($A390,SPPR!$A:$A,0),6)),$C390*INDEX(SPPR!$E:$X,MATCH($A390,SPPR!$A:$A,0),6),""),"")</f>
        <v/>
      </c>
      <c r="J390">
        <f>IFERROR(IF(ISNUMBER(INDEX(SPPR!$E:$X,MATCH($A390,SPPR!$A:$A,0),7)),$C390*INDEX(SPPR!$E:$X,MATCH($A390,SPPR!$A:$A,0),7),""),"")</f>
        <v/>
      </c>
      <c r="K390">
        <f>IFERROR(IF(ISNUMBER(INDEX(SPPR!$E:$X,MATCH($A390,SPPR!$A:$A,0),8)),$C390*INDEX(SPPR!$E:$X,MATCH($A390,SPPR!$A:$A,0),8),""),"")</f>
        <v/>
      </c>
      <c r="L390">
        <f>IFERROR(IF(ISNUMBER(INDEX(SPPR!$E:$X,MATCH($A390,SPPR!$A:$A,0),9)),$C390*INDEX(SPPR!$E:$X,MATCH($A390,SPPR!$A:$A,0),9),""),"")</f>
        <v/>
      </c>
      <c r="M390">
        <f>IFERROR(IF(ISNUMBER(INDEX(SPPR!$E:$X,MATCH($A390,SPPR!$A:$A,0),10)),$C390*INDEX(SPPR!$E:$X,MATCH($A390,SPPR!$A:$A,0),10),""),"")</f>
        <v/>
      </c>
      <c r="N390">
        <f>IFERROR(IF(ISNUMBER(INDEX(SPPR!$E:$X,MATCH($A390,SPPR!$A:$A,0),11)),$C390*INDEX(SPPR!$E:$X,MATCH($A390,SPPR!$A:$A,0),11),""),"")</f>
        <v/>
      </c>
      <c r="O390">
        <f>IFERROR(IF(ISNUMBER(INDEX(SPPR!$E:$X,MATCH($A390,SPPR!$A:$A,0),12)),$C390*INDEX(SPPR!$E:$X,MATCH($A390,SPPR!$A:$A,0),12),""),"")</f>
        <v/>
      </c>
      <c r="P390">
        <f>IFERROR(IF(ISNUMBER(INDEX(SPPR!$E:$X,MATCH($A390,SPPR!$A:$A,0),13)),$C390*INDEX(SPPR!$E:$X,MATCH($A390,SPPR!$A:$A,0),13),""),"")</f>
        <v/>
      </c>
      <c r="Q390">
        <f>IFERROR(IF(ISNUMBER(INDEX(SPPR!$E:$X,MATCH($A390,SPPR!$A:$A,0),14)),$C390*INDEX(SPPR!$E:$X,MATCH($A390,SPPR!$A:$A,0),14),""),"")</f>
        <v/>
      </c>
      <c r="R390">
        <f>IFERROR(IF(ISNUMBER(INDEX(SPPR!$E:$X,MATCH($A390,SPPR!$A:$A,0),15)),$C390*INDEX(SPPR!$E:$X,MATCH($A390,SPPR!$A:$A,0),15),""),"")</f>
        <v/>
      </c>
      <c r="S390">
        <f>IFERROR(IF(ISNUMBER(INDEX(SPPR!$E:$X,MATCH($A390,SPPR!$A:$A,0),16)),$C390*INDEX(SPPR!$E:$X,MATCH($A390,SPPR!$A:$A,0),16),""),"")</f>
        <v/>
      </c>
      <c r="T390">
        <f>IFERROR(IF(ISNUMBER(INDEX(SPPR!$E:$X,MATCH($A390,SPPR!$A:$A,0),17)),$C390*INDEX(SPPR!$E:$X,MATCH($A390,SPPR!$A:$A,0),17),""),"")</f>
        <v/>
      </c>
      <c r="U390">
        <f>IFERROR(IF(ISNUMBER(INDEX(SPPR!$E:$X,MATCH($A390,SPPR!$A:$A,0),18)),$C390*INDEX(SPPR!$E:$X,MATCH($A390,SPPR!$A:$A,0),18),""),"")</f>
        <v/>
      </c>
      <c r="V390">
        <f>IFERROR(IF(ISNUMBER(INDEX(SPPR!$E:$X,MATCH($A390,SPPR!$A:$A,0),19)),$C390*INDEX(SPPR!$E:$X,MATCH($A390,SPPR!$A:$A,0),19),""),"")</f>
        <v/>
      </c>
      <c r="W390">
        <f>IFERROR(IF(ISNUMBER(INDEX(SPPR!$E:$X,MATCH($A390,SPPR!$A:$A,0),20)),$C390*INDEX(SPPR!$E:$X,MATCH($A390,SPPR!$A:$A,0),20),""),"")</f>
        <v/>
      </c>
    </row>
    <row r="391">
      <c r="A391" t="inlineStr">
        <is>
          <t>Merluccius</t>
        </is>
      </c>
      <c r="B391">
        <f>IFERROR(INDEX(SPPR!$D:$D,MATCH($A391,SPPR!$A:$A,0)),"")</f>
        <v/>
      </c>
      <c r="C391">
        <f>IFERROR(INDEX(Catch!$E:$BV,MATCH($A391,Catch!$A:$A,0),MATCH($B$4,Catch!$E$1:$BV$1,0)),0)</f>
        <v/>
      </c>
      <c r="D391">
        <f>IFERROR(IF(ISNUMBER(INDEX(SPPR!$E:$X,MATCH($A391,SPPR!$A:$A,0),1)),$C391*INDEX(SPPR!$E:$X,MATCH($A391,SPPR!$A:$A,0),1),""),"")</f>
        <v/>
      </c>
      <c r="E391">
        <f>IFERROR(IF(ISNUMBER(INDEX(SPPR!$E:$X,MATCH($A391,SPPR!$A:$A,0),2)),$C391*INDEX(SPPR!$E:$X,MATCH($A391,SPPR!$A:$A,0),2),""),"")</f>
        <v/>
      </c>
      <c r="F391">
        <f>IFERROR(IF(ISNUMBER(INDEX(SPPR!$E:$X,MATCH($A391,SPPR!$A:$A,0),3)),$C391*INDEX(SPPR!$E:$X,MATCH($A391,SPPR!$A:$A,0),3),""),"")</f>
        <v/>
      </c>
      <c r="G391">
        <f>IFERROR(IF(ISNUMBER(INDEX(SPPR!$E:$X,MATCH($A391,SPPR!$A:$A,0),4)),$C391*INDEX(SPPR!$E:$X,MATCH($A391,SPPR!$A:$A,0),4),""),"")</f>
        <v/>
      </c>
      <c r="H391">
        <f>IFERROR(IF(ISNUMBER(INDEX(SPPR!$E:$X,MATCH($A391,SPPR!$A:$A,0),5)),$C391*INDEX(SPPR!$E:$X,MATCH($A391,SPPR!$A:$A,0),5),""),"")</f>
        <v/>
      </c>
      <c r="I391">
        <f>IFERROR(IF(ISNUMBER(INDEX(SPPR!$E:$X,MATCH($A391,SPPR!$A:$A,0),6)),$C391*INDEX(SPPR!$E:$X,MATCH($A391,SPPR!$A:$A,0),6),""),"")</f>
        <v/>
      </c>
      <c r="J391">
        <f>IFERROR(IF(ISNUMBER(INDEX(SPPR!$E:$X,MATCH($A391,SPPR!$A:$A,0),7)),$C391*INDEX(SPPR!$E:$X,MATCH($A391,SPPR!$A:$A,0),7),""),"")</f>
        <v/>
      </c>
      <c r="K391">
        <f>IFERROR(IF(ISNUMBER(INDEX(SPPR!$E:$X,MATCH($A391,SPPR!$A:$A,0),8)),$C391*INDEX(SPPR!$E:$X,MATCH($A391,SPPR!$A:$A,0),8),""),"")</f>
        <v/>
      </c>
      <c r="L391">
        <f>IFERROR(IF(ISNUMBER(INDEX(SPPR!$E:$X,MATCH($A391,SPPR!$A:$A,0),9)),$C391*INDEX(SPPR!$E:$X,MATCH($A391,SPPR!$A:$A,0),9),""),"")</f>
        <v/>
      </c>
      <c r="M391">
        <f>IFERROR(IF(ISNUMBER(INDEX(SPPR!$E:$X,MATCH($A391,SPPR!$A:$A,0),10)),$C391*INDEX(SPPR!$E:$X,MATCH($A391,SPPR!$A:$A,0),10),""),"")</f>
        <v/>
      </c>
      <c r="N391">
        <f>IFERROR(IF(ISNUMBER(INDEX(SPPR!$E:$X,MATCH($A391,SPPR!$A:$A,0),11)),$C391*INDEX(SPPR!$E:$X,MATCH($A391,SPPR!$A:$A,0),11),""),"")</f>
        <v/>
      </c>
      <c r="O391">
        <f>IFERROR(IF(ISNUMBER(INDEX(SPPR!$E:$X,MATCH($A391,SPPR!$A:$A,0),12)),$C391*INDEX(SPPR!$E:$X,MATCH($A391,SPPR!$A:$A,0),12),""),"")</f>
        <v/>
      </c>
      <c r="P391">
        <f>IFERROR(IF(ISNUMBER(INDEX(SPPR!$E:$X,MATCH($A391,SPPR!$A:$A,0),13)),$C391*INDEX(SPPR!$E:$X,MATCH($A391,SPPR!$A:$A,0),13),""),"")</f>
        <v/>
      </c>
      <c r="Q391">
        <f>IFERROR(IF(ISNUMBER(INDEX(SPPR!$E:$X,MATCH($A391,SPPR!$A:$A,0),14)),$C391*INDEX(SPPR!$E:$X,MATCH($A391,SPPR!$A:$A,0),14),""),"")</f>
        <v/>
      </c>
      <c r="R391">
        <f>IFERROR(IF(ISNUMBER(INDEX(SPPR!$E:$X,MATCH($A391,SPPR!$A:$A,0),15)),$C391*INDEX(SPPR!$E:$X,MATCH($A391,SPPR!$A:$A,0),15),""),"")</f>
        <v/>
      </c>
      <c r="S391">
        <f>IFERROR(IF(ISNUMBER(INDEX(SPPR!$E:$X,MATCH($A391,SPPR!$A:$A,0),16)),$C391*INDEX(SPPR!$E:$X,MATCH($A391,SPPR!$A:$A,0),16),""),"")</f>
        <v/>
      </c>
      <c r="T391">
        <f>IFERROR(IF(ISNUMBER(INDEX(SPPR!$E:$X,MATCH($A391,SPPR!$A:$A,0),17)),$C391*INDEX(SPPR!$E:$X,MATCH($A391,SPPR!$A:$A,0),17),""),"")</f>
        <v/>
      </c>
      <c r="U391">
        <f>IFERROR(IF(ISNUMBER(INDEX(SPPR!$E:$X,MATCH($A391,SPPR!$A:$A,0),18)),$C391*INDEX(SPPR!$E:$X,MATCH($A391,SPPR!$A:$A,0),18),""),"")</f>
        <v/>
      </c>
      <c r="V391">
        <f>IFERROR(IF(ISNUMBER(INDEX(SPPR!$E:$X,MATCH($A391,SPPR!$A:$A,0),19)),$C391*INDEX(SPPR!$E:$X,MATCH($A391,SPPR!$A:$A,0),19),""),"")</f>
        <v/>
      </c>
      <c r="W391">
        <f>IFERROR(IF(ISNUMBER(INDEX(SPPR!$E:$X,MATCH($A391,SPPR!$A:$A,0),20)),$C391*INDEX(SPPR!$E:$X,MATCH($A391,SPPR!$A:$A,0),20),""),"")</f>
        <v/>
      </c>
    </row>
  </sheetData>
  <dataValidations count="1">
    <dataValidation sqref="B4" showDropDown="0" showInputMessage="0" showErrorMessage="0" allowBlank="0" type="list">
      <formula1>=Catch!$E$1:$BV$1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B3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4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</cols>
  <sheetData>
    <row r="1">
      <c r="A1" s="1" t="inlineStr">
        <is>
          <t>The model's own compartments, and their SPPR under each method.</t>
        </is>
      </c>
    </row>
    <row r="2">
      <c r="A2" t="inlineStr">
        <is>
          <t>Group names here are authoritative. Everything in the other sheets joins on them character for character.</t>
        </is>
      </c>
    </row>
    <row r="4">
      <c r="A4" s="4" t="inlineStr">
        <is>
          <t>seq</t>
        </is>
      </c>
      <c r="B4" s="4" t="inlineStr">
        <is>
          <t>group_name</t>
        </is>
      </c>
      <c r="C4" s="4" t="inlineStr">
        <is>
          <t>type</t>
        </is>
      </c>
      <c r="D4" s="4" t="inlineStr">
        <is>
          <t>TL</t>
        </is>
      </c>
      <c r="E4" s="4" t="inlineStr">
        <is>
          <t>GE</t>
        </is>
      </c>
      <c r="F4" s="4" t="inlineStr">
        <is>
          <t>EE</t>
        </is>
      </c>
      <c r="G4" s="4" t="inlineStr">
        <is>
          <t>biomass</t>
        </is>
      </c>
      <c r="H4" s="4" t="inlineStr">
        <is>
          <t>model catch</t>
        </is>
      </c>
      <c r="I4" s="4" t="inlineStr">
        <is>
          <t>SPPR_1986</t>
        </is>
      </c>
      <c r="J4" s="4" t="inlineStr">
        <is>
          <t>SPPR_1995_TE0.1</t>
        </is>
      </c>
      <c r="K4" s="4" t="inlineStr">
        <is>
          <t>SPPR_1995_TEmean</t>
        </is>
      </c>
      <c r="L4" s="4" t="inlineStr">
        <is>
          <t>Ulanowicz_globalTEmean</t>
        </is>
      </c>
      <c r="M4" s="4" t="inlineStr">
        <is>
          <t>Ulanowicz_TE</t>
        </is>
      </c>
      <c r="N4" s="4" t="inlineStr">
        <is>
          <t>EwE_TE_noEE</t>
        </is>
      </c>
      <c r="O4" s="4" t="inlineStr">
        <is>
          <t>EwE_TE_EE</t>
        </is>
      </c>
      <c r="P4" s="4" t="inlineStr">
        <is>
          <t>SPPR_2015</t>
        </is>
      </c>
      <c r="Q4" s="4" t="inlineStr">
        <is>
          <t>new_TE_noEEfix</t>
        </is>
      </c>
      <c r="R4" s="4" t="inlineStr">
        <is>
          <t>new_TE_EEfix</t>
        </is>
      </c>
      <c r="S4" s="4" t="inlineStr">
        <is>
          <t>new_GE</t>
        </is>
      </c>
      <c r="T4" s="4" t="inlineStr">
        <is>
          <t>new_WithEgestion</t>
        </is>
      </c>
      <c r="U4" s="4" t="inlineStr">
        <is>
          <t>sym_TE_asPP</t>
        </is>
      </c>
      <c r="V4" s="4" t="inlineStr">
        <is>
          <t>sym_TE_asDC</t>
        </is>
      </c>
      <c r="W4" s="4" t="inlineStr">
        <is>
          <t>sym_GE_asPP</t>
        </is>
      </c>
      <c r="X4" s="4" t="inlineStr">
        <is>
          <t>sym_GE_asDC</t>
        </is>
      </c>
      <c r="Y4" s="4" t="inlineStr">
        <is>
          <t>sym_WithEgestion_asPP</t>
        </is>
      </c>
      <c r="Z4" s="4" t="inlineStr">
        <is>
          <t>sym_WithEgestion_asDC</t>
        </is>
      </c>
      <c r="AA4" s="4" t="inlineStr">
        <is>
          <t>MC_new_GE</t>
        </is>
      </c>
      <c r="AB4" s="4" t="inlineStr">
        <is>
          <t>MC_new_TE_EEfix</t>
        </is>
      </c>
    </row>
    <row r="5">
      <c r="A5" t="n">
        <v>1</v>
      </c>
      <c r="B5" t="inlineStr">
        <is>
          <t>Phytoplankton</t>
        </is>
      </c>
      <c r="C5" t="inlineStr">
        <is>
          <t>PP</t>
        </is>
      </c>
      <c r="D5" t="n">
        <v>1</v>
      </c>
      <c r="E5" t="n">
        <v>1</v>
      </c>
      <c r="F5" t="n">
        <v>0.29</v>
      </c>
      <c r="G5" t="n">
        <v>7.5</v>
      </c>
      <c r="H5" t="n">
        <v>0</v>
      </c>
      <c r="I5" t="n">
        <v>327.790917</v>
      </c>
      <c r="J5" t="n">
        <v>1</v>
      </c>
      <c r="K5" t="n">
        <v>1</v>
      </c>
      <c r="L5" t="n">
        <v>1</v>
      </c>
      <c r="M5" t="n">
        <v>1</v>
      </c>
      <c r="N5" t="n">
        <v>0</v>
      </c>
      <c r="O5" t="n">
        <v>0.29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2</v>
      </c>
      <c r="B6" t="inlineStr">
        <is>
          <t>Small zooplankton</t>
        </is>
      </c>
      <c r="C6" t="inlineStr">
        <is>
          <t>Regular</t>
        </is>
      </c>
      <c r="D6" t="n">
        <v>2.052631578947369</v>
      </c>
      <c r="E6" t="n">
        <v>0.3056666666666666</v>
      </c>
      <c r="F6" t="n">
        <v>0.84</v>
      </c>
      <c r="G6" t="n">
        <v>16</v>
      </c>
      <c r="H6" t="n">
        <v>0</v>
      </c>
      <c r="I6" t="n">
        <v>327.790917</v>
      </c>
      <c r="J6" t="n">
        <v>10</v>
      </c>
      <c r="K6" t="n">
        <v>5.727631</v>
      </c>
      <c r="L6" t="n">
        <v>5.441249</v>
      </c>
      <c r="M6" t="n">
        <v>3.699953</v>
      </c>
      <c r="N6" t="n">
        <v>3.699953</v>
      </c>
      <c r="O6" t="n">
        <v>3.107961</v>
      </c>
      <c r="P6" t="n">
        <v>4.548861</v>
      </c>
      <c r="Q6" t="n">
        <v>4.548861</v>
      </c>
      <c r="R6" t="n">
        <v>4.548861</v>
      </c>
      <c r="S6" t="n">
        <v>3.732065</v>
      </c>
      <c r="T6" t="n">
        <v>2.090513</v>
      </c>
      <c r="U6" t="n">
        <v>4.548861</v>
      </c>
      <c r="V6" t="n">
        <v>4.548861</v>
      </c>
      <c r="W6" t="n">
        <v>3.732065</v>
      </c>
      <c r="X6" t="n">
        <v>3.732065</v>
      </c>
      <c r="Y6" t="n">
        <v>2.090513</v>
      </c>
      <c r="Z6" t="n">
        <v>2.090513</v>
      </c>
      <c r="AA6" t="n">
        <v>3.729529</v>
      </c>
      <c r="AB6" t="n">
        <v>4.501225</v>
      </c>
    </row>
    <row r="7">
      <c r="A7" t="n">
        <v>3</v>
      </c>
      <c r="B7" t="inlineStr">
        <is>
          <t>Large zooplankton</t>
        </is>
      </c>
      <c r="C7" t="inlineStr">
        <is>
          <t>Regular</t>
        </is>
      </c>
      <c r="D7" t="n">
        <v>2.390581717451523</v>
      </c>
      <c r="E7" t="n">
        <v>0.32</v>
      </c>
      <c r="F7" t="n">
        <v>0.9</v>
      </c>
      <c r="G7" t="n">
        <v>14.32</v>
      </c>
      <c r="H7" t="n">
        <v>0</v>
      </c>
      <c r="I7" t="n">
        <v>327.790917</v>
      </c>
      <c r="J7" t="n">
        <v>20.943663</v>
      </c>
      <c r="K7" t="n">
        <v>10.030553</v>
      </c>
      <c r="L7" t="n">
        <v>13.199789</v>
      </c>
      <c r="M7" t="n">
        <v>6.157937</v>
      </c>
      <c r="N7" t="n">
        <v>6.157937</v>
      </c>
      <c r="O7" t="n">
        <v>5.542143</v>
      </c>
      <c r="P7" t="n">
        <v>8.442342</v>
      </c>
      <c r="Q7" t="n">
        <v>8.442342</v>
      </c>
      <c r="R7" t="n">
        <v>8.442342</v>
      </c>
      <c r="S7" t="n">
        <v>6.642375</v>
      </c>
      <c r="T7" t="n">
        <v>3.737611</v>
      </c>
      <c r="U7" t="n">
        <v>8.442342</v>
      </c>
      <c r="V7" t="n">
        <v>8.442342</v>
      </c>
      <c r="W7" t="n">
        <v>6.642375</v>
      </c>
      <c r="X7" t="n">
        <v>6.642375</v>
      </c>
      <c r="Y7" t="n">
        <v>3.737611</v>
      </c>
      <c r="Z7" t="n">
        <v>3.737611</v>
      </c>
      <c r="AA7" t="n">
        <v>6.670992</v>
      </c>
      <c r="AB7" t="n">
        <v>9.011415</v>
      </c>
    </row>
    <row r="8">
      <c r="A8" t="n">
        <v>4</v>
      </c>
      <c r="B8" t="inlineStr">
        <is>
          <t>Infauna</t>
        </is>
      </c>
      <c r="C8" t="inlineStr">
        <is>
          <t>Regular</t>
        </is>
      </c>
      <c r="D8" t="n">
        <v>2.001001001001001</v>
      </c>
      <c r="E8" t="n">
        <v>0.25</v>
      </c>
      <c r="F8" t="n">
        <v>0.9</v>
      </c>
      <c r="G8" t="n">
        <v>2.54</v>
      </c>
      <c r="H8" t="n">
        <v>0</v>
      </c>
      <c r="I8" t="n">
        <v>327.790917</v>
      </c>
      <c r="J8" t="n">
        <v>10</v>
      </c>
      <c r="K8" t="n">
        <v>5.727631</v>
      </c>
      <c r="L8" t="n">
        <v>5.721903</v>
      </c>
      <c r="M8" t="n">
        <v>4.44</v>
      </c>
      <c r="N8" t="n">
        <v>4.44</v>
      </c>
      <c r="O8" t="n">
        <v>3.996</v>
      </c>
      <c r="P8" t="n">
        <v>3.864936</v>
      </c>
      <c r="Q8" t="n">
        <v>3.864936</v>
      </c>
      <c r="R8" t="n">
        <v>3.864936</v>
      </c>
      <c r="S8" t="n">
        <v>4.247203</v>
      </c>
      <c r="T8" t="n">
        <v>3.679841</v>
      </c>
      <c r="U8" t="n">
        <v>3.864936</v>
      </c>
      <c r="V8" t="n">
        <v>3.864936</v>
      </c>
      <c r="W8" t="n">
        <v>4.247203</v>
      </c>
      <c r="X8" t="n">
        <v>4.247203</v>
      </c>
      <c r="Y8" t="n">
        <v>3.679841</v>
      </c>
      <c r="Z8" t="n">
        <v>3.679841</v>
      </c>
      <c r="AA8" t="n">
        <v>4.187569</v>
      </c>
      <c r="AB8" t="n">
        <v>3.928919</v>
      </c>
    </row>
    <row r="9">
      <c r="A9" t="n">
        <v>5</v>
      </c>
      <c r="B9" t="inlineStr">
        <is>
          <t>Epifauna</t>
        </is>
      </c>
      <c r="C9" t="inlineStr">
        <is>
          <t>Regular</t>
        </is>
      </c>
      <c r="D9" t="n">
        <v>2.473766810979188</v>
      </c>
      <c r="E9" t="n">
        <v>0.2490020646937371</v>
      </c>
      <c r="F9" t="n">
        <v>0.88</v>
      </c>
      <c r="G9" t="n">
        <v>1.36</v>
      </c>
      <c r="H9" t="n">
        <v>0.01508879</v>
      </c>
      <c r="I9" t="n">
        <v>327.790917</v>
      </c>
      <c r="J9" t="n">
        <v>28.994229</v>
      </c>
      <c r="K9" t="n">
        <v>12.834993</v>
      </c>
      <c r="L9" t="n">
        <v>17.954978</v>
      </c>
      <c r="M9" t="n">
        <v>11.374014</v>
      </c>
      <c r="N9" t="n">
        <v>11.374014</v>
      </c>
      <c r="O9" t="n">
        <v>10.009132</v>
      </c>
      <c r="P9" t="n">
        <v>10.950321</v>
      </c>
      <c r="Q9" t="n">
        <v>10.950321</v>
      </c>
      <c r="R9" t="n">
        <v>10.950321</v>
      </c>
      <c r="S9" t="n">
        <v>10.041084</v>
      </c>
      <c r="T9" t="n">
        <v>6.846302</v>
      </c>
      <c r="U9" t="n">
        <v>10.950321</v>
      </c>
      <c r="V9" t="n">
        <v>10.950321</v>
      </c>
      <c r="W9" t="n">
        <v>10.041084</v>
      </c>
      <c r="X9" t="n">
        <v>10.041084</v>
      </c>
      <c r="Y9" t="n">
        <v>6.846302</v>
      </c>
      <c r="Z9" t="n">
        <v>6.846302</v>
      </c>
      <c r="AA9" t="n">
        <v>9.947857000000001</v>
      </c>
      <c r="AB9" t="n">
        <v>10.794705</v>
      </c>
    </row>
    <row r="10">
      <c r="A10" t="n">
        <v>6</v>
      </c>
      <c r="B10" t="inlineStr">
        <is>
          <t>Crustacea</t>
        </is>
      </c>
      <c r="C10" t="inlineStr">
        <is>
          <t>Regular</t>
        </is>
      </c>
      <c r="D10" t="n">
        <v>2.943346069935173</v>
      </c>
      <c r="E10" t="n">
        <v>0.1681547619047619</v>
      </c>
      <c r="F10" t="n">
        <v>0.8100000000000001</v>
      </c>
      <c r="G10" t="n">
        <v>2.41</v>
      </c>
      <c r="H10" t="n">
        <v>0.0430258553</v>
      </c>
      <c r="I10" t="n">
        <v>327.790917</v>
      </c>
      <c r="J10" t="n">
        <v>79.403785</v>
      </c>
      <c r="K10" t="n">
        <v>27.544327</v>
      </c>
      <c r="L10" t="n">
        <v>45.837748</v>
      </c>
      <c r="M10" t="n">
        <v>38.918317</v>
      </c>
      <c r="N10" t="n">
        <v>38.964516</v>
      </c>
      <c r="O10" t="n">
        <v>31.561258</v>
      </c>
      <c r="P10" t="n">
        <v>47.671907</v>
      </c>
      <c r="Q10" t="n">
        <v>47.671907</v>
      </c>
      <c r="R10" t="n">
        <v>47.671907</v>
      </c>
      <c r="S10" t="n">
        <v>34.575524</v>
      </c>
      <c r="T10" t="n">
        <v>19.020842</v>
      </c>
      <c r="U10" t="n">
        <v>47.671907</v>
      </c>
      <c r="V10" t="n">
        <v>47.671907</v>
      </c>
      <c r="W10" t="n">
        <v>34.575524</v>
      </c>
      <c r="X10" t="n">
        <v>34.575524</v>
      </c>
      <c r="Y10" t="n">
        <v>19.020842</v>
      </c>
      <c r="Z10" t="n">
        <v>19.020842</v>
      </c>
      <c r="AA10" t="n">
        <v>34.954015</v>
      </c>
      <c r="AB10" t="n">
        <v>47.765312</v>
      </c>
    </row>
    <row r="11">
      <c r="A11" t="n">
        <v>7</v>
      </c>
      <c r="B11" t="inlineStr">
        <is>
          <t>Squid &amp; Octopus</t>
        </is>
      </c>
      <c r="C11" t="inlineStr">
        <is>
          <t>Regular</t>
        </is>
      </c>
      <c r="D11" t="n">
        <v>3.266517368424181</v>
      </c>
      <c r="E11" t="n">
        <v>0.1333333333333333</v>
      </c>
      <c r="F11" t="n">
        <v>0.95</v>
      </c>
      <c r="G11" t="n">
        <v>0.09</v>
      </c>
      <c r="H11" t="n">
        <v>0.003547</v>
      </c>
      <c r="I11" t="n">
        <v>327.790917</v>
      </c>
      <c r="J11" t="n">
        <v>160.967585</v>
      </c>
      <c r="K11" t="n">
        <v>47.060072</v>
      </c>
      <c r="L11" t="n">
        <v>88.258037</v>
      </c>
      <c r="M11" t="n">
        <v>77.00034599999999</v>
      </c>
      <c r="N11" t="n">
        <v>77.34926</v>
      </c>
      <c r="O11" t="n">
        <v>73.481797</v>
      </c>
      <c r="P11" t="n">
        <v>94.097724</v>
      </c>
      <c r="Q11" t="n">
        <v>94.097724</v>
      </c>
      <c r="R11" t="n">
        <v>94.097724</v>
      </c>
      <c r="S11" t="n">
        <v>70.413555</v>
      </c>
      <c r="T11" t="n">
        <v>31.50612</v>
      </c>
      <c r="U11" t="n">
        <v>94.097724</v>
      </c>
      <c r="V11" t="n">
        <v>94.097724</v>
      </c>
      <c r="W11" t="n">
        <v>70.413555</v>
      </c>
      <c r="X11" t="n">
        <v>70.413555</v>
      </c>
      <c r="Y11" t="n">
        <v>31.50612</v>
      </c>
      <c r="Z11" t="n">
        <v>31.50612</v>
      </c>
      <c r="AA11" t="n">
        <v>71.270959</v>
      </c>
      <c r="AB11" t="n">
        <v>97.60397</v>
      </c>
    </row>
    <row r="12">
      <c r="A12" t="n">
        <v>8</v>
      </c>
      <c r="B12" t="inlineStr">
        <is>
          <t>Flatfishes</t>
        </is>
      </c>
      <c r="C12" t="inlineStr">
        <is>
          <t>Regular</t>
        </is>
      </c>
      <c r="D12" t="n">
        <v>3.382419552284309</v>
      </c>
      <c r="E12" t="n">
        <v>0.1658878504672897</v>
      </c>
      <c r="F12" t="n">
        <v>0.91</v>
      </c>
      <c r="G12" t="n">
        <v>1.11</v>
      </c>
      <c r="H12" t="n">
        <v>0.13243256411</v>
      </c>
      <c r="I12" t="n">
        <v>327.790917</v>
      </c>
      <c r="J12" t="n">
        <v>222.264878</v>
      </c>
      <c r="K12" t="n">
        <v>60.099306</v>
      </c>
      <c r="L12" t="n">
        <v>123.58001</v>
      </c>
      <c r="M12" t="n">
        <v>98.981683</v>
      </c>
      <c r="N12" t="n">
        <v>101.310188</v>
      </c>
      <c r="O12" t="n">
        <v>92.19227100000001</v>
      </c>
      <c r="P12" t="n">
        <v>114.167454</v>
      </c>
      <c r="Q12" t="n">
        <v>114.167454</v>
      </c>
      <c r="R12" t="n">
        <v>114.167454</v>
      </c>
      <c r="S12" t="n">
        <v>82.349557</v>
      </c>
      <c r="T12" t="n">
        <v>38.756383</v>
      </c>
      <c r="U12" t="n">
        <v>114.167454</v>
      </c>
      <c r="V12" t="n">
        <v>114.167454</v>
      </c>
      <c r="W12" t="n">
        <v>82.349557</v>
      </c>
      <c r="X12" t="n">
        <v>82.349557</v>
      </c>
      <c r="Y12" t="n">
        <v>38.756383</v>
      </c>
      <c r="Z12" t="n">
        <v>38.756383</v>
      </c>
      <c r="AA12" t="n">
        <v>82.655303</v>
      </c>
      <c r="AB12" t="n">
        <v>113.898256</v>
      </c>
    </row>
    <row r="13">
      <c r="A13" t="n">
        <v>9</v>
      </c>
      <c r="B13" t="inlineStr">
        <is>
          <t>Turbot</t>
        </is>
      </c>
      <c r="C13" t="inlineStr">
        <is>
          <t>Regular</t>
        </is>
      </c>
      <c r="D13" t="n">
        <v>3.53663946000909</v>
      </c>
      <c r="E13" t="n">
        <v>0.2025316455696203</v>
      </c>
      <c r="F13" t="n">
        <v>0.82</v>
      </c>
      <c r="G13" t="n">
        <v>0.02</v>
      </c>
      <c r="H13" t="n">
        <v>0.009365409999999999</v>
      </c>
      <c r="I13" t="n">
        <v>327.790917</v>
      </c>
      <c r="J13" t="n">
        <v>313.661078</v>
      </c>
      <c r="K13" t="n">
        <v>78.028773</v>
      </c>
      <c r="L13" t="n">
        <v>173.783269</v>
      </c>
      <c r="M13" t="n">
        <v>125.902727</v>
      </c>
      <c r="N13" t="n">
        <v>126.240259</v>
      </c>
      <c r="O13" t="n">
        <v>103.517013</v>
      </c>
      <c r="P13" t="n">
        <v>148.298511</v>
      </c>
      <c r="Q13" t="n">
        <v>148.298511</v>
      </c>
      <c r="R13" t="n">
        <v>148.298511</v>
      </c>
      <c r="S13" t="n">
        <v>92.320391</v>
      </c>
      <c r="T13" t="n">
        <v>41.231981</v>
      </c>
      <c r="U13" t="n">
        <v>148.298511</v>
      </c>
      <c r="V13" t="n">
        <v>148.298511</v>
      </c>
      <c r="W13" t="n">
        <v>92.320391</v>
      </c>
      <c r="X13" t="n">
        <v>92.320391</v>
      </c>
      <c r="Y13" t="n">
        <v>41.231981</v>
      </c>
      <c r="Z13" t="n">
        <v>41.231981</v>
      </c>
      <c r="AA13" t="n">
        <v>93.952403</v>
      </c>
      <c r="AB13" t="n">
        <v>152.987929</v>
      </c>
    </row>
    <row r="14">
      <c r="A14" t="n">
        <v>10</v>
      </c>
      <c r="B14" t="inlineStr">
        <is>
          <t>Cod</t>
        </is>
      </c>
      <c r="C14" t="inlineStr">
        <is>
          <t>Regular</t>
        </is>
      </c>
      <c r="D14" t="n">
        <v>3.897868523140009</v>
      </c>
      <c r="E14" t="n">
        <v>0.2352941176470588</v>
      </c>
      <c r="F14" t="n">
        <v>0.86</v>
      </c>
      <c r="G14" t="n">
        <v>0.41</v>
      </c>
      <c r="H14" t="n">
        <v>0.15281435787</v>
      </c>
      <c r="I14" t="n">
        <v>327.790917</v>
      </c>
      <c r="J14" t="n">
        <v>696.743167</v>
      </c>
      <c r="K14" t="n">
        <v>142.882184</v>
      </c>
      <c r="L14" t="n">
        <v>300.714592</v>
      </c>
      <c r="M14" t="n">
        <v>173.457711</v>
      </c>
      <c r="N14" t="n">
        <v>181.068044</v>
      </c>
      <c r="O14" t="n">
        <v>155.718518</v>
      </c>
      <c r="P14" t="n">
        <v>222.178859</v>
      </c>
      <c r="Q14" t="n">
        <v>222.178859</v>
      </c>
      <c r="R14" t="n">
        <v>222.178859</v>
      </c>
      <c r="S14" t="n">
        <v>135.264542</v>
      </c>
      <c r="T14" t="n">
        <v>51.548611</v>
      </c>
      <c r="U14" t="n">
        <v>222.178859</v>
      </c>
      <c r="V14" t="n">
        <v>222.178859</v>
      </c>
      <c r="W14" t="n">
        <v>135.264542</v>
      </c>
      <c r="X14" t="n">
        <v>135.264542</v>
      </c>
      <c r="Y14" t="n">
        <v>51.548611</v>
      </c>
      <c r="Z14" t="n">
        <v>51.548611</v>
      </c>
      <c r="AA14" t="n">
        <v>138.759026</v>
      </c>
      <c r="AB14" t="n">
        <v>228.970309</v>
      </c>
    </row>
    <row r="15">
      <c r="A15" t="n">
        <v>11</v>
      </c>
      <c r="B15" t="inlineStr">
        <is>
          <t>Ling</t>
        </is>
      </c>
      <c r="C15" t="inlineStr">
        <is>
          <t>Regular</t>
        </is>
      </c>
      <c r="D15" t="n">
        <v>4.321329972464686</v>
      </c>
      <c r="E15" t="n">
        <v>0.2984615384615384</v>
      </c>
      <c r="F15" t="n">
        <v>0.9399999999999999</v>
      </c>
      <c r="G15" t="n">
        <v>0.06</v>
      </c>
      <c r="H15" t="n">
        <v>0.049640059</v>
      </c>
      <c r="I15" t="n">
        <v>327.790917</v>
      </c>
      <c r="J15" t="n">
        <v>1898.245398</v>
      </c>
      <c r="K15" t="n">
        <v>305.428226</v>
      </c>
      <c r="L15" t="n">
        <v>911.558009</v>
      </c>
      <c r="M15" t="n">
        <v>376.10347</v>
      </c>
      <c r="N15" t="n">
        <v>391.847098</v>
      </c>
      <c r="O15" t="n">
        <v>368.336273</v>
      </c>
      <c r="P15" t="n">
        <v>491.495581</v>
      </c>
      <c r="Q15" t="n">
        <v>491.495581</v>
      </c>
      <c r="R15" t="n">
        <v>491.495581</v>
      </c>
      <c r="S15" t="n">
        <v>302.549286</v>
      </c>
      <c r="T15" t="n">
        <v>96.52297900000001</v>
      </c>
      <c r="U15" t="n">
        <v>491.495581</v>
      </c>
      <c r="V15" t="n">
        <v>491.495581</v>
      </c>
      <c r="W15" t="n">
        <v>302.549286</v>
      </c>
      <c r="X15" t="n">
        <v>302.549286</v>
      </c>
      <c r="Y15" t="n">
        <v>96.52297900000001</v>
      </c>
      <c r="Z15" t="n">
        <v>96.52297900000001</v>
      </c>
      <c r="AA15" t="n">
        <v>307.895008</v>
      </c>
      <c r="AB15" t="n">
        <v>544.500349</v>
      </c>
    </row>
    <row r="16">
      <c r="A16" t="n">
        <v>12</v>
      </c>
      <c r="B16" t="inlineStr">
        <is>
          <t>Haddock</t>
        </is>
      </c>
      <c r="C16" t="inlineStr">
        <is>
          <t>Regular</t>
        </is>
      </c>
      <c r="D16" t="n">
        <v>3.496343644045425</v>
      </c>
      <c r="E16" t="n">
        <v>0.1718170580964153</v>
      </c>
      <c r="F16" t="n">
        <v>0.92</v>
      </c>
      <c r="G16" t="n">
        <v>0.54</v>
      </c>
      <c r="H16" t="n">
        <v>0.28868586999</v>
      </c>
      <c r="I16" t="n">
        <v>327.790917</v>
      </c>
      <c r="J16" t="n">
        <v>277.618274</v>
      </c>
      <c r="K16" t="n">
        <v>71.133236</v>
      </c>
      <c r="L16" t="n">
        <v>141.133429</v>
      </c>
      <c r="M16" t="n">
        <v>101.684518</v>
      </c>
      <c r="N16" t="n">
        <v>105.679445</v>
      </c>
      <c r="O16" t="n">
        <v>97.22508999999999</v>
      </c>
      <c r="P16" t="n">
        <v>121.373593</v>
      </c>
      <c r="Q16" t="n">
        <v>121.373593</v>
      </c>
      <c r="R16" t="n">
        <v>121.373593</v>
      </c>
      <c r="S16" t="n">
        <v>86.54459300000001</v>
      </c>
      <c r="T16" t="n">
        <v>37.95581</v>
      </c>
      <c r="U16" t="n">
        <v>121.373593</v>
      </c>
      <c r="V16" t="n">
        <v>121.373593</v>
      </c>
      <c r="W16" t="n">
        <v>86.54459300000001</v>
      </c>
      <c r="X16" t="n">
        <v>86.54459300000001</v>
      </c>
      <c r="Y16" t="n">
        <v>37.95581</v>
      </c>
      <c r="Z16" t="n">
        <v>37.95581</v>
      </c>
      <c r="AA16" t="n">
        <v>86.777429</v>
      </c>
      <c r="AB16" t="n">
        <v>120.50799</v>
      </c>
    </row>
    <row r="17">
      <c r="A17" t="n">
        <v>13</v>
      </c>
      <c r="B17" t="inlineStr">
        <is>
          <t>Whiting</t>
        </is>
      </c>
      <c r="C17" t="inlineStr">
        <is>
          <t>Regular</t>
        </is>
      </c>
      <c r="D17" t="n">
        <v>4.001698653655549</v>
      </c>
      <c r="E17" t="n">
        <v>0.1590013140604468</v>
      </c>
      <c r="F17" t="n">
        <v>0.89</v>
      </c>
      <c r="G17" t="n">
        <v>0.25</v>
      </c>
      <c r="H17" t="n">
        <v>0.0953792262</v>
      </c>
      <c r="I17" t="n">
        <v>327.790917</v>
      </c>
      <c r="J17" t="n">
        <v>846.004185</v>
      </c>
      <c r="K17" t="n">
        <v>165.529429</v>
      </c>
      <c r="L17" t="n">
        <v>323.753532</v>
      </c>
      <c r="M17" t="n">
        <v>252.276122</v>
      </c>
      <c r="N17" t="n">
        <v>268.755772</v>
      </c>
      <c r="O17" t="n">
        <v>239.192637</v>
      </c>
      <c r="P17" t="n">
        <v>351.703825</v>
      </c>
      <c r="Q17" t="n">
        <v>351.703825</v>
      </c>
      <c r="R17" t="n">
        <v>351.703825</v>
      </c>
      <c r="S17" t="n">
        <v>218.809009</v>
      </c>
      <c r="T17" t="n">
        <v>79.803292</v>
      </c>
      <c r="U17" t="n">
        <v>351.703825</v>
      </c>
      <c r="V17" t="n">
        <v>351.703825</v>
      </c>
      <c r="W17" t="n">
        <v>218.809009</v>
      </c>
      <c r="X17" t="n">
        <v>218.809009</v>
      </c>
      <c r="Y17" t="n">
        <v>79.803292</v>
      </c>
      <c r="Z17" t="n">
        <v>79.803292</v>
      </c>
      <c r="AA17" t="n">
        <v>217.320589</v>
      </c>
      <c r="AB17" t="n">
        <v>367.290101</v>
      </c>
    </row>
    <row r="18">
      <c r="A18" t="n">
        <v>14</v>
      </c>
      <c r="B18" t="inlineStr">
        <is>
          <t>Hake</t>
        </is>
      </c>
      <c r="C18" t="inlineStr">
        <is>
          <t>Regular</t>
        </is>
      </c>
      <c r="D18" t="n">
        <v>4.607998233185942</v>
      </c>
      <c r="E18" t="n">
        <v>0.2961038961038961</v>
      </c>
      <c r="F18" t="n">
        <v>0.92</v>
      </c>
      <c r="G18" t="n">
        <v>0.05</v>
      </c>
      <c r="H18" t="n">
        <v>0.046699903</v>
      </c>
      <c r="I18" t="n">
        <v>327.790917</v>
      </c>
      <c r="J18" t="n">
        <v>3460.403727</v>
      </c>
      <c r="K18" t="n">
        <v>481.470476</v>
      </c>
      <c r="L18" t="n">
        <v>916.217923</v>
      </c>
      <c r="M18" t="n">
        <v>505.277782</v>
      </c>
      <c r="N18" t="n">
        <v>553.81095</v>
      </c>
      <c r="O18" t="n">
        <v>509.506074</v>
      </c>
      <c r="P18" t="n">
        <v>696.576775</v>
      </c>
      <c r="Q18" t="n">
        <v>696.576775</v>
      </c>
      <c r="R18" t="n">
        <v>696.576775</v>
      </c>
      <c r="S18" t="n">
        <v>427.075473</v>
      </c>
      <c r="T18" t="n">
        <v>136.464814</v>
      </c>
      <c r="U18" t="n">
        <v>696.576775</v>
      </c>
      <c r="V18" t="n">
        <v>696.576775</v>
      </c>
      <c r="W18" t="n">
        <v>427.075473</v>
      </c>
      <c r="X18" t="n">
        <v>427.075473</v>
      </c>
      <c r="Y18" t="n">
        <v>136.464814</v>
      </c>
      <c r="Z18" t="n">
        <v>136.464814</v>
      </c>
      <c r="AA18" t="n">
        <v>429.835101</v>
      </c>
      <c r="AB18" t="n">
        <v>722.871201</v>
      </c>
    </row>
    <row r="19">
      <c r="A19" t="n">
        <v>15</v>
      </c>
      <c r="B19" t="inlineStr">
        <is>
          <t>Saithe</t>
        </is>
      </c>
      <c r="C19" t="inlineStr">
        <is>
          <t>Regular</t>
        </is>
      </c>
      <c r="D19" t="n">
        <v>4.0566088718564</v>
      </c>
      <c r="E19" t="n">
        <v>0.2097264437689969</v>
      </c>
      <c r="F19" t="n">
        <v>0.91</v>
      </c>
      <c r="G19" t="n">
        <v>1.21</v>
      </c>
      <c r="H19" t="n">
        <v>0.4950016</v>
      </c>
      <c r="I19" t="n">
        <v>327.790917</v>
      </c>
      <c r="J19" t="n">
        <v>1016.575113</v>
      </c>
      <c r="K19" t="n">
        <v>190.25522</v>
      </c>
      <c r="L19" t="n">
        <v>383.159293</v>
      </c>
      <c r="M19" t="n">
        <v>222.035395</v>
      </c>
      <c r="N19" t="n">
        <v>227.903672</v>
      </c>
      <c r="O19" t="n">
        <v>207.392342</v>
      </c>
      <c r="P19" t="n">
        <v>281.759128</v>
      </c>
      <c r="Q19" t="n">
        <v>281.759128</v>
      </c>
      <c r="R19" t="n">
        <v>281.759128</v>
      </c>
      <c r="S19" t="n">
        <v>178.968187</v>
      </c>
      <c r="T19" t="n">
        <v>67.772812</v>
      </c>
      <c r="U19" t="n">
        <v>281.759128</v>
      </c>
      <c r="V19" t="n">
        <v>281.759128</v>
      </c>
      <c r="W19" t="n">
        <v>178.968187</v>
      </c>
      <c r="X19" t="n">
        <v>178.968187</v>
      </c>
      <c r="Y19" t="n">
        <v>67.772812</v>
      </c>
      <c r="Z19" t="n">
        <v>67.772812</v>
      </c>
      <c r="AA19" t="n">
        <v>177.57024</v>
      </c>
      <c r="AB19" t="n">
        <v>297.607844</v>
      </c>
    </row>
    <row r="20">
      <c r="A20" t="n">
        <v>16</v>
      </c>
      <c r="B20" t="inlineStr">
        <is>
          <t>Monkfish</t>
        </is>
      </c>
      <c r="C20" t="inlineStr">
        <is>
          <t>Regular</t>
        </is>
      </c>
      <c r="D20" t="n">
        <v>4.557435273602437</v>
      </c>
      <c r="E20" t="n">
        <v>0.217741935483871</v>
      </c>
      <c r="F20" t="n">
        <v>0.93</v>
      </c>
      <c r="G20" t="n">
        <v>0.08</v>
      </c>
      <c r="H20" t="n">
        <v>0.0381222301601</v>
      </c>
      <c r="I20" t="n">
        <v>327.790917</v>
      </c>
      <c r="J20" t="n">
        <v>3156.036008</v>
      </c>
      <c r="K20" t="n">
        <v>449.016361</v>
      </c>
      <c r="L20" t="n">
        <v>891.8267070000001</v>
      </c>
      <c r="M20" t="n">
        <v>565.367315</v>
      </c>
      <c r="N20" t="n">
        <v>600.432108</v>
      </c>
      <c r="O20" t="n">
        <v>558.4018600000001</v>
      </c>
      <c r="P20" t="n">
        <v>755.080363</v>
      </c>
      <c r="Q20" t="n">
        <v>755.080363</v>
      </c>
      <c r="R20" t="n">
        <v>755.080363</v>
      </c>
      <c r="S20" t="n">
        <v>449.38351</v>
      </c>
      <c r="T20" t="n">
        <v>146.238125</v>
      </c>
      <c r="U20" t="n">
        <v>755.080363</v>
      </c>
      <c r="V20" t="n">
        <v>755.080363</v>
      </c>
      <c r="W20" t="n">
        <v>449.38351</v>
      </c>
      <c r="X20" t="n">
        <v>449.38351</v>
      </c>
      <c r="Y20" t="n">
        <v>146.238125</v>
      </c>
      <c r="Z20" t="n">
        <v>146.238125</v>
      </c>
      <c r="AA20" t="n">
        <v>459.784631</v>
      </c>
      <c r="AB20" t="n">
        <v>760.218023</v>
      </c>
    </row>
    <row r="21">
      <c r="A21" t="n">
        <v>17</v>
      </c>
      <c r="B21" t="inlineStr">
        <is>
          <t>Large Dem. fish</t>
        </is>
      </c>
      <c r="C21" t="inlineStr">
        <is>
          <t>Regular</t>
        </is>
      </c>
      <c r="D21" t="n">
        <v>3.87241933456316</v>
      </c>
      <c r="E21" t="n">
        <v>0.1243093922651934</v>
      </c>
      <c r="F21" t="n">
        <v>0.9399999999999999</v>
      </c>
      <c r="G21" t="n">
        <v>0.32</v>
      </c>
      <c r="H21" t="n">
        <v>0.0528106639</v>
      </c>
      <c r="I21" t="n">
        <v>327.790917</v>
      </c>
      <c r="J21" t="n">
        <v>665.972772</v>
      </c>
      <c r="K21" t="n">
        <v>138.073221</v>
      </c>
      <c r="L21" t="n">
        <v>328.210407</v>
      </c>
      <c r="M21" t="n">
        <v>321.185641</v>
      </c>
      <c r="N21" t="n">
        <v>337.306601</v>
      </c>
      <c r="O21" t="n">
        <v>317.068205</v>
      </c>
      <c r="P21" t="n">
        <v>461.958282</v>
      </c>
      <c r="Q21" t="n">
        <v>461.958282</v>
      </c>
      <c r="R21" t="n">
        <v>461.958282</v>
      </c>
      <c r="S21" t="n">
        <v>304.533157</v>
      </c>
      <c r="T21" t="n">
        <v>108.42706</v>
      </c>
      <c r="U21" t="n">
        <v>461.958282</v>
      </c>
      <c r="V21" t="n">
        <v>461.958282</v>
      </c>
      <c r="W21" t="n">
        <v>304.533157</v>
      </c>
      <c r="X21" t="n">
        <v>304.533157</v>
      </c>
      <c r="Y21" t="n">
        <v>108.42706</v>
      </c>
      <c r="Z21" t="n">
        <v>108.42706</v>
      </c>
      <c r="AA21" t="n">
        <v>306.991308</v>
      </c>
      <c r="AB21" t="n">
        <v>468.161038</v>
      </c>
    </row>
    <row r="22">
      <c r="A22" t="n">
        <v>18</v>
      </c>
      <c r="B22" t="inlineStr">
        <is>
          <t>Herring</t>
        </is>
      </c>
      <c r="C22" t="inlineStr">
        <is>
          <t>Regular</t>
        </is>
      </c>
      <c r="D22" t="n">
        <v>3.386267254237439</v>
      </c>
      <c r="E22" t="n">
        <v>0.2</v>
      </c>
      <c r="F22" t="n">
        <v>0.9</v>
      </c>
      <c r="G22" t="n">
        <v>2.6</v>
      </c>
      <c r="H22" t="n">
        <v>1.08200270073</v>
      </c>
      <c r="I22" t="n">
        <v>327.790917</v>
      </c>
      <c r="J22" t="n">
        <v>210.203586</v>
      </c>
      <c r="K22" t="n">
        <v>57.610703</v>
      </c>
      <c r="L22" t="n">
        <v>83.392549</v>
      </c>
      <c r="M22" t="n">
        <v>40.057152</v>
      </c>
      <c r="N22" t="n">
        <v>40.08291</v>
      </c>
      <c r="O22" t="n">
        <v>36.074619</v>
      </c>
      <c r="P22" t="n">
        <v>52.411478</v>
      </c>
      <c r="Q22" t="n">
        <v>52.411478</v>
      </c>
      <c r="R22" t="n">
        <v>52.411478</v>
      </c>
      <c r="S22" t="n">
        <v>36.902807</v>
      </c>
      <c r="T22" t="n">
        <v>16.338091</v>
      </c>
      <c r="U22" t="n">
        <v>52.411478</v>
      </c>
      <c r="V22" t="n">
        <v>52.411478</v>
      </c>
      <c r="W22" t="n">
        <v>36.902807</v>
      </c>
      <c r="X22" t="n">
        <v>36.902807</v>
      </c>
      <c r="Y22" t="n">
        <v>16.338091</v>
      </c>
      <c r="Z22" t="n">
        <v>16.338091</v>
      </c>
      <c r="AA22" t="n">
        <v>38.051778</v>
      </c>
      <c r="AB22" t="n">
        <v>55.881978</v>
      </c>
    </row>
    <row r="23">
      <c r="A23" t="n">
        <v>19</v>
      </c>
      <c r="B23" t="inlineStr">
        <is>
          <t>Small pelagics</t>
        </is>
      </c>
      <c r="C23" t="inlineStr">
        <is>
          <t>Regular</t>
        </is>
      </c>
      <c r="D23" t="n">
        <v>3.22643087522614</v>
      </c>
      <c r="E23" t="n">
        <v>0.2223529411764706</v>
      </c>
      <c r="F23" t="n">
        <v>0.88</v>
      </c>
      <c r="G23" t="n">
        <v>6.07</v>
      </c>
      <c r="H23" t="n">
        <v>0.615653</v>
      </c>
      <c r="I23" t="n">
        <v>327.790917</v>
      </c>
      <c r="J23" t="n">
        <v>148.024912</v>
      </c>
      <c r="K23" t="n">
        <v>44.163101</v>
      </c>
      <c r="L23" t="n">
        <v>58.893278</v>
      </c>
      <c r="M23" t="n">
        <v>29.57747</v>
      </c>
      <c r="N23" t="n">
        <v>29.708263</v>
      </c>
      <c r="O23" t="n">
        <v>26.143271</v>
      </c>
      <c r="P23" t="n">
        <v>37.444032</v>
      </c>
      <c r="Q23" t="n">
        <v>37.444032</v>
      </c>
      <c r="R23" t="n">
        <v>37.444032</v>
      </c>
      <c r="S23" t="n">
        <v>26.825837</v>
      </c>
      <c r="T23" t="n">
        <v>12.629082</v>
      </c>
      <c r="U23" t="n">
        <v>37.444032</v>
      </c>
      <c r="V23" t="n">
        <v>37.444032</v>
      </c>
      <c r="W23" t="n">
        <v>26.825837</v>
      </c>
      <c r="X23" t="n">
        <v>26.825837</v>
      </c>
      <c r="Y23" t="n">
        <v>12.629082</v>
      </c>
      <c r="Z23" t="n">
        <v>12.629082</v>
      </c>
      <c r="AA23" t="n">
        <v>26.643813</v>
      </c>
      <c r="AB23" t="n">
        <v>39.607714</v>
      </c>
    </row>
    <row r="24">
      <c r="A24" t="n">
        <v>20</v>
      </c>
      <c r="B24" t="inlineStr">
        <is>
          <t>Large Pelagics</t>
        </is>
      </c>
      <c r="C24" t="inlineStr">
        <is>
          <t>Regular</t>
        </is>
      </c>
      <c r="D24" t="n">
        <v>3.672807139589016</v>
      </c>
      <c r="E24" t="n">
        <v>0.1118012422360248</v>
      </c>
      <c r="F24" t="n">
        <v>0.9</v>
      </c>
      <c r="G24" t="n">
        <v>2.41</v>
      </c>
      <c r="H24" t="n">
        <v>0.312147276</v>
      </c>
      <c r="I24" t="n">
        <v>327.790917</v>
      </c>
      <c r="J24" t="n">
        <v>409.325031</v>
      </c>
      <c r="K24" t="n">
        <v>95.473426</v>
      </c>
      <c r="L24" t="n">
        <v>171.971164</v>
      </c>
      <c r="M24" t="n">
        <v>151.710468</v>
      </c>
      <c r="N24" t="n">
        <v>166.941311</v>
      </c>
      <c r="O24" t="n">
        <v>150.24718</v>
      </c>
      <c r="P24" t="n">
        <v>208.675232</v>
      </c>
      <c r="Q24" t="n">
        <v>208.675232</v>
      </c>
      <c r="R24" t="n">
        <v>208.675232</v>
      </c>
      <c r="S24" t="n">
        <v>139.225251</v>
      </c>
      <c r="T24" t="n">
        <v>55.587338</v>
      </c>
      <c r="U24" t="n">
        <v>208.675232</v>
      </c>
      <c r="V24" t="n">
        <v>208.675232</v>
      </c>
      <c r="W24" t="n">
        <v>139.225251</v>
      </c>
      <c r="X24" t="n">
        <v>139.225251</v>
      </c>
      <c r="Y24" t="n">
        <v>55.587338</v>
      </c>
      <c r="Z24" t="n">
        <v>55.587338</v>
      </c>
      <c r="AA24" t="n">
        <v>138.889014</v>
      </c>
      <c r="AB24" t="n">
        <v>209.882396</v>
      </c>
    </row>
    <row r="25">
      <c r="A25" t="n">
        <v>21</v>
      </c>
      <c r="B25" t="inlineStr">
        <is>
          <t>Sharks &amp; rays</t>
        </is>
      </c>
      <c r="C25" t="inlineStr">
        <is>
          <t>Regular</t>
        </is>
      </c>
      <c r="D25" t="n">
        <v>3.769550040749193</v>
      </c>
      <c r="E25" t="n">
        <v>0.1218130311614731</v>
      </c>
      <c r="F25" t="n">
        <v>0.4299999999999999</v>
      </c>
      <c r="G25" t="n">
        <v>0.51</v>
      </c>
      <c r="H25" t="n">
        <v>0.02916809628</v>
      </c>
      <c r="I25" t="n">
        <v>327.790917</v>
      </c>
      <c r="J25" t="n">
        <v>522.28227</v>
      </c>
      <c r="K25" t="n">
        <v>114.842938</v>
      </c>
      <c r="L25" t="n">
        <v>326.928715</v>
      </c>
      <c r="M25" t="n">
        <v>732.255138</v>
      </c>
      <c r="N25" t="n">
        <v>761.48662</v>
      </c>
      <c r="O25" t="n">
        <v>327.439247</v>
      </c>
      <c r="P25" t="n">
        <v>1275.246638</v>
      </c>
      <c r="Q25" t="n">
        <v>1275.246638</v>
      </c>
      <c r="R25" t="n">
        <v>1275.246638</v>
      </c>
      <c r="S25" t="n">
        <v>317.659957</v>
      </c>
      <c r="T25" t="n">
        <v>115.247551</v>
      </c>
      <c r="U25" t="n">
        <v>1275.246638</v>
      </c>
      <c r="V25" t="n">
        <v>1275.246638</v>
      </c>
      <c r="W25" t="n">
        <v>317.659957</v>
      </c>
      <c r="X25" t="n">
        <v>317.659957</v>
      </c>
      <c r="Y25" t="n">
        <v>115.247551</v>
      </c>
      <c r="Z25" t="n">
        <v>115.247551</v>
      </c>
      <c r="AA25" t="n">
        <v>327.701462</v>
      </c>
      <c r="AB25" t="n">
        <v>1310.378519</v>
      </c>
    </row>
    <row r="26">
      <c r="A26" t="n">
        <v>22</v>
      </c>
      <c r="B26" t="inlineStr">
        <is>
          <t>Seabirds</t>
        </is>
      </c>
      <c r="C26" t="inlineStr">
        <is>
          <t>Regular</t>
        </is>
      </c>
      <c r="D26" t="n">
        <v>3.709437064423375</v>
      </c>
      <c r="E26" t="n">
        <v>0.005993407252022775</v>
      </c>
      <c r="F26" t="n">
        <v>0.03000000000000003</v>
      </c>
      <c r="G26" t="n">
        <v>0.01</v>
      </c>
      <c r="H26" t="n">
        <v>0</v>
      </c>
      <c r="I26" t="n">
        <v>327.790917</v>
      </c>
      <c r="J26" t="n">
        <v>461.058506</v>
      </c>
      <c r="K26" t="n">
        <v>104.486581</v>
      </c>
      <c r="L26" t="n">
        <v>351.809436</v>
      </c>
      <c r="M26" t="n">
        <v>205976.679238</v>
      </c>
      <c r="N26" t="n">
        <v>212600.231288</v>
      </c>
      <c r="O26" t="n">
        <v>6378.006939</v>
      </c>
      <c r="P26" t="n">
        <v>-2376869.511534</v>
      </c>
      <c r="Q26" t="n">
        <v>-2376869.511535</v>
      </c>
      <c r="R26" t="n">
        <v>-2376869.511535</v>
      </c>
      <c r="S26" t="n">
        <v>5696.026435</v>
      </c>
      <c r="T26" t="n">
        <v>1960.279118</v>
      </c>
      <c r="U26" t="n">
        <v>-2376869.511535</v>
      </c>
      <c r="V26" t="n">
        <v>-2376869.511535</v>
      </c>
      <c r="W26" t="n">
        <v>5696.026435</v>
      </c>
      <c r="X26" t="n">
        <v>5696.026435</v>
      </c>
      <c r="Y26" t="n">
        <v>1960.279118</v>
      </c>
      <c r="Z26" t="n">
        <v>1960.279118</v>
      </c>
      <c r="AA26" t="n">
        <v>5696.849331</v>
      </c>
      <c r="AB26" t="n">
        <v>4646017.502797</v>
      </c>
    </row>
    <row r="27">
      <c r="A27" t="n">
        <v>23</v>
      </c>
      <c r="B27" t="inlineStr">
        <is>
          <t>Seals</t>
        </is>
      </c>
      <c r="C27" t="inlineStr">
        <is>
          <t>Regular</t>
        </is>
      </c>
      <c r="D27" t="n">
        <v>4.701240659226823</v>
      </c>
      <c r="E27" t="n">
        <v>0.004169562195969423</v>
      </c>
      <c r="F27" t="n">
        <v>0.03000000000000003</v>
      </c>
      <c r="G27" t="n">
        <v>0.02</v>
      </c>
      <c r="H27" t="n">
        <v>3.4e-05</v>
      </c>
      <c r="I27" t="n">
        <v>327.790917</v>
      </c>
      <c r="J27" t="n">
        <v>4451.784058</v>
      </c>
      <c r="K27" t="n">
        <v>582.770655</v>
      </c>
      <c r="L27" t="n">
        <v>1472.363982</v>
      </c>
      <c r="M27" t="n">
        <v>1344098.917964</v>
      </c>
      <c r="N27" t="n">
        <v>1392609.383187</v>
      </c>
      <c r="O27" t="n">
        <v>41778.281496</v>
      </c>
      <c r="P27" t="n">
        <v>1798800.35451</v>
      </c>
      <c r="Q27" t="n">
        <v>1798800.354511</v>
      </c>
      <c r="R27" t="n">
        <v>1798800.354511</v>
      </c>
      <c r="S27" t="n">
        <v>31956.89761</v>
      </c>
      <c r="T27" t="n">
        <v>9700.708478</v>
      </c>
      <c r="U27" t="n">
        <v>1798800.354511</v>
      </c>
      <c r="V27" t="n">
        <v>1798800.354511</v>
      </c>
      <c r="W27" t="n">
        <v>31956.89761</v>
      </c>
      <c r="X27" t="n">
        <v>31956.89761</v>
      </c>
      <c r="Y27" t="n">
        <v>9700.708478</v>
      </c>
      <c r="Z27" t="n">
        <v>9700.708478</v>
      </c>
      <c r="AA27" t="n">
        <v>31977.336874</v>
      </c>
      <c r="AB27" t="n">
        <v>1862684.447758</v>
      </c>
    </row>
    <row r="28">
      <c r="A28" t="n">
        <v>24</v>
      </c>
      <c r="B28" t="inlineStr">
        <is>
          <t>Cetaceans</t>
        </is>
      </c>
      <c r="C28" t="inlineStr">
        <is>
          <t>Regular</t>
        </is>
      </c>
      <c r="D28" t="n">
        <v>4.355909093798591</v>
      </c>
      <c r="E28" t="n">
        <v>0.002372479240806643</v>
      </c>
      <c r="F28" t="n">
        <v>0.04000000000000004</v>
      </c>
      <c r="G28" t="n">
        <v>0.12</v>
      </c>
      <c r="H28" t="n">
        <v>9.65e-05</v>
      </c>
      <c r="I28" t="n">
        <v>327.790917</v>
      </c>
      <c r="J28" t="n">
        <v>1983.607239</v>
      </c>
      <c r="K28" t="n">
        <v>315.783196</v>
      </c>
      <c r="L28" t="n">
        <v>833.3283740000001</v>
      </c>
      <c r="M28" t="n">
        <v>1162437.42719</v>
      </c>
      <c r="N28" t="n">
        <v>1210471.58486</v>
      </c>
      <c r="O28" t="n">
        <v>48418.863394</v>
      </c>
      <c r="P28" t="n">
        <v>1626665.389537</v>
      </c>
      <c r="Q28" t="n">
        <v>1626665.389538</v>
      </c>
      <c r="R28" t="n">
        <v>1626665.389538</v>
      </c>
      <c r="S28" t="n">
        <v>36113.69471</v>
      </c>
      <c r="T28" t="n">
        <v>11383.300647</v>
      </c>
      <c r="U28" t="n">
        <v>1626665.389538</v>
      </c>
      <c r="V28" t="n">
        <v>1626665.389538</v>
      </c>
      <c r="W28" t="n">
        <v>36113.69471</v>
      </c>
      <c r="X28" t="n">
        <v>36113.69471</v>
      </c>
      <c r="Y28" t="n">
        <v>11383.300647</v>
      </c>
      <c r="Z28" t="n">
        <v>11383.300647</v>
      </c>
      <c r="AA28" t="n">
        <v>36356.189094</v>
      </c>
      <c r="AB28" t="n">
        <v>1707078.69454</v>
      </c>
    </row>
    <row r="29">
      <c r="A29" t="n">
        <v>25</v>
      </c>
      <c r="B29" t="inlineStr">
        <is>
          <t>Detritus</t>
        </is>
      </c>
      <c r="C29" t="inlineStr">
        <is>
          <t>DET</t>
        </is>
      </c>
      <c r="D29" t="n">
        <v>1</v>
      </c>
      <c r="E29" t="n">
        <v>1</v>
      </c>
      <c r="F29" t="n">
        <v>1</v>
      </c>
      <c r="G29" t="n">
        <v>100</v>
      </c>
      <c r="H29" t="n">
        <v>0</v>
      </c>
      <c r="I29" t="n">
        <v>327.790917</v>
      </c>
      <c r="J29" t="n">
        <v>1</v>
      </c>
      <c r="K29" t="n">
        <v>1</v>
      </c>
      <c r="L29" t="n">
        <v>1</v>
      </c>
      <c r="M29" t="n">
        <v>1</v>
      </c>
      <c r="N29" t="n">
        <v>0</v>
      </c>
      <c r="O29" t="n">
        <v>1</v>
      </c>
      <c r="P29" t="n">
        <v>0.810449</v>
      </c>
      <c r="Q29" t="n">
        <v>0.810449</v>
      </c>
      <c r="R29" t="n">
        <v>0.810449</v>
      </c>
      <c r="S29" t="n">
        <v>1.083291</v>
      </c>
      <c r="T29" t="n">
        <v>1.209489</v>
      </c>
      <c r="U29" t="n">
        <v>0.810449</v>
      </c>
      <c r="V29" t="n">
        <v>0.810449</v>
      </c>
      <c r="W29" t="n">
        <v>1.083291</v>
      </c>
      <c r="X29" t="n">
        <v>1.083291</v>
      </c>
      <c r="Y29" t="n">
        <v>1.209489</v>
      </c>
      <c r="Z29" t="n">
        <v>1.209489</v>
      </c>
      <c r="AA29" t="n">
        <v>1.084412</v>
      </c>
      <c r="AB29" t="n">
        <v>0.810449</v>
      </c>
    </row>
    <row r="30">
      <c r="A30" t="n">
        <v>26</v>
      </c>
      <c r="B30" t="inlineStr">
        <is>
          <t>diet_import</t>
        </is>
      </c>
      <c r="C30" t="inlineStr">
        <is>
          <t>Import</t>
        </is>
      </c>
      <c r="D30" t="n">
        <v>1</v>
      </c>
      <c r="E30" t="n">
        <v>0</v>
      </c>
      <c r="F30" t="n">
        <v>0</v>
      </c>
      <c r="G30" t="n">
        <v>1</v>
      </c>
      <c r="H30" t="n">
        <v>0</v>
      </c>
      <c r="I30" t="n">
        <v>327.790917</v>
      </c>
      <c r="J30" t="n">
        <v>1</v>
      </c>
      <c r="K30" t="n">
        <v>1</v>
      </c>
      <c r="L30" t="n">
        <v>1</v>
      </c>
      <c r="M30" t="n">
        <v>1</v>
      </c>
      <c r="N30" t="n">
        <v>0</v>
      </c>
      <c r="O30" t="n">
        <v>0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W30" t="n">
        <v>1</v>
      </c>
      <c r="Y30" t="n">
        <v>1</v>
      </c>
      <c r="AA30" t="n">
        <v>1</v>
      </c>
      <c r="AB30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1" t="inlineStr">
        <is>
          <t>Net primary production, 2019, tonnes carbon per year</t>
        </is>
      </c>
    </row>
    <row r="3">
      <c r="A3" s="4" t="inlineStr">
        <is>
          <t>satellite_model</t>
        </is>
      </c>
      <c r="B3" s="4" t="inlineStr">
        <is>
          <t>npp_tC_yr</t>
        </is>
      </c>
    </row>
    <row r="4">
      <c r="A4" t="inlineStr">
        <is>
          <t>Antoine-Morel</t>
        </is>
      </c>
      <c r="B4" t="n">
        <v>161645256.1656947</v>
      </c>
    </row>
    <row r="5">
      <c r="A5" t="inlineStr">
        <is>
          <t>VGPM</t>
        </is>
      </c>
      <c r="B5" t="n">
        <v>248040420.9995942</v>
      </c>
    </row>
    <row r="6">
      <c r="A6" t="inlineStr">
        <is>
          <t>Eppley</t>
        </is>
      </c>
      <c r="B6" t="n">
        <v>172162545.4344741</v>
      </c>
    </row>
    <row r="7">
      <c r="A7" t="inlineStr">
        <is>
          <t>CbPM</t>
        </is>
      </c>
      <c r="B7" t="n">
        <v>180301950.0216753</v>
      </c>
    </row>
    <row r="8">
      <c r="A8" t="inlineStr">
        <is>
          <t>CAFE</t>
        </is>
      </c>
      <c r="B8" t="n">
        <v>104589176.9387955</v>
      </c>
    </row>
    <row r="10">
      <c r="A10" t="inlineStr">
        <is>
          <t>ensemble median</t>
        </is>
      </c>
      <c r="B10" t="n">
        <v>172162545.4344741</v>
      </c>
    </row>
    <row r="11">
      <c r="A11" t="inlineStr">
        <is>
          <t>ensemble min</t>
        </is>
      </c>
      <c r="B11" t="n">
        <v>104589176.9387955</v>
      </c>
    </row>
    <row r="12">
      <c r="A12" t="inlineStr">
        <is>
          <t>ensemble max</t>
        </is>
      </c>
      <c r="B12" t="n">
        <v>248040420.9995942</v>
      </c>
    </row>
    <row r="13">
      <c r="A13" t="inlineStr">
        <is>
          <t>water area (km2)</t>
        </is>
      </c>
      <c r="B13" t="n">
        <v>680902.5042289781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2026-09-07T09:06:23Z</dcterms:created>
  <dcterms:modified xsi:type="dcterms:W3CDTF">2026-09-07T09:06:26Z</dcterms:modified>
</cp:coreProperties>
</file>