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54a9845d244042" /></Relationships>
</file>

<file path=xl/workbook.xml><?xml version="1.0" encoding="utf-8"?>
<x:workbook xmlns:x="http://schemas.openxmlformats.org/spreadsheetml/2006/main">
  <x:sheets>
    <x:sheet xmlns:r="http://schemas.openxmlformats.org/officeDocument/2006/relationships" name="Taxon appendix" sheetId="1" r:id="R23d47153d8224be3"/>
    <x:sheet xmlns:r="http://schemas.openxmlformats.org/officeDocument/2006/relationships" name="Coverage" sheetId="2" r:id="Rfa1e56429fdd4536"/>
    <x:sheet xmlns:r="http://schemas.openxmlformats.org/officeDocument/2006/relationships" name="Allocation evidence" sheetId="3" r:id="Rb6840358554e4123"/>
    <x:sheet xmlns:r="http://schemas.openxmlformats.org/officeDocument/2006/relationships" name="Sources" sheetId="4" r:id="Red688ca7a611470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
    <x:numFmt numFmtId="203" formatCode="#,##0.000000"/>
    <x:numFmt numFmtId="204" formatCode="0.0000%"/>
  </x:numFmts>
  <x:fonts count="5">
    <x:font>
      <x:sz val="11"/>
      <x:name val="Carlito"/>
    </x:font>
    <x:font>
      <x:sz val="11"/>
      <x:color rgb="FF1F2933"/>
      <x:name val="Calibri"/>
    </x:font>
    <x:font>
      <x:b/>
      <x:sz val="16"/>
      <x:color rgb="FF1F2933"/>
      <x:name val="Calibri"/>
    </x:font>
    <x:font>
      <x:b/>
      <x:sz val="11"/>
      <x:color rgb="FFFFFFFF"/>
      <x:name val="Calibri"/>
    </x:font>
    <x:font>
      <x:sz val="11"/>
      <x:color rgb="FF0563C1"/>
      <x:name val="Calibri"/>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x:xf>
    <x:xf numFmtId="201" fontId="1" fillId="0" borderId="0" xfId="0" applyNumberFormat="1" applyFont="1" applyFill="1" applyBorder="1" applyAlignment="1">
      <x:alignment horizontal="right" vertical="top"/>
    </x:xf>
    <x:xf numFmtId="202" fontId="1" fillId="0" borderId="0" xfId="0" applyNumberFormat="1" applyFont="1" applyFill="1" applyBorder="1" applyAlignment="1">
      <x:alignment vertical="top"/>
    </x:xf>
    <x:xf numFmtId="202" fontId="3" fillId="2"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cellXfs>
  <x:cellStyles count="1">
    <x:cellStyle name="Normal" xfId="0"/>
  </x:cellStyles>
  <x:dxfs count="1">
    <x:dxf>
      <x:font>
        <x:color rgb="FF7A3C09"/>
      </x:font>
      <x:fill>
        <x:patternFill patternType="solid">
          <x:bgColor rgb="FFFF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0183576b04492" /><Relationship Type="http://schemas.openxmlformats.org/officeDocument/2006/relationships/theme" Target="/xl/theme/theme1.xml" Id="R688e3e06cb6c4044" /><Relationship Type="http://schemas.openxmlformats.org/officeDocument/2006/relationships/sharedStrings" Target="/xl/sharedStrings.xml" Id="R9dc84df887af4ae1" /><Relationship Type="http://schemas.openxmlformats.org/officeDocument/2006/relationships/worksheet" Target="/xl/worksheets/sheet1.xml" Id="R23d47153d8224be3" /><Relationship Type="http://schemas.openxmlformats.org/officeDocument/2006/relationships/worksheet" Target="/xl/worksheets/sheet2.xml" Id="Rfa1e56429fdd4536" /><Relationship Type="http://schemas.openxmlformats.org/officeDocument/2006/relationships/worksheet" Target="/xl/worksheets/sheet3.xml" Id="Rb6840358554e4123" /><Relationship Type="http://schemas.openxmlformats.org/officeDocument/2006/relationships/worksheet" Target="/xl/worksheets/sheet4.xml" Id="Red688ca7a611470b" /></Relationships>
</file>

<file path=xl/tables/table1.xml><?xml version="1.0" encoding="utf-8"?>
<x:table xmlns:x="http://schemas.openxmlformats.org/spreadsheetml/2006/main" id="1" name="TaxonMappings" displayName="TaxonMappings" ref="A5:G435" headerRowCount="1" totalsRowCount="0" totalsRowShown="0">
  <x:autoFilter ref="A5:G43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AllocationCandidates" displayName="AllocationCandidates" ref="A4:J84" headerRowCount="1" totalsRowCount="0" totalsRowShown="0">
  <x:autoFilter ref="A4:J84"/>
  <x:tableColumns count="10">
    <x:tableColumn id="1" name="Taxon"/>
    <x:tableColumn id="2" name="Group ID"/>
    <x:tableColumn id="3" name="Group name"/>
    <x:tableColumn id="4" name="Source quantity"/>
    <x:tableColumn id="5" name="Field and period"/>
    <x:tableColumn id="6" name="Units"/>
    <x:tableColumn id="7" name="Candidate total"/>
    <x:tableColumn id="8" name="Weight"/>
    <x:tableColumn id="9" name="Confidence"/>
    <x:tableColumn id="10" name="Eligibility and assumption"/>
  </x:tableColumns>
  <x:tableStyleInfo name="TableStyleMedium2" showFirstColumn="0" showLastColumn="0" showRowStripes="1" showColumnStripes="0"/>
</x:table>
</file>

<file path=xl/tables/table3.xml><?xml version="1.0" encoding="utf-8"?>
<x:table xmlns:x="http://schemas.openxmlformats.org/spreadsheetml/2006/main" id="3" name="DescriptiveSources" displayName="DescriptiveSources" ref="A4:D26" headerRowCount="1" totalsRowCount="0" totalsRowShown="0">
  <x:autoFilter ref="A4:D26"/>
  <x:tableColumns count="4">
    <x:tableColumn id="1" name="Source"/>
    <x:tableColumn id="2" name="What it supports"/>
    <x:tableColumn id="3" name="Locator and scope"/>
    <x:tableColumn id="4" name="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958a59360c4e19" /></Relationships>
</file>

<file path=xl/worksheets/_rels/sheet3.xml.rels>&#65279;<?xml version="1.0" encoding="utf-8"?><Relationships xmlns="http://schemas.openxmlformats.org/package/2006/relationships"><Relationship Type="http://schemas.openxmlformats.org/officeDocument/2006/relationships/table" Target="/xl/tables/table2.xml" Id="R46fdc01a4322466f" /></Relationships>
</file>

<file path=xl/worksheets/_rels/sheet4.xml.rels><?xml version='1.0' encoding='UTF-8' standalone='yes'?>
<Relationships xmlns="http://schemas.openxmlformats.org/package/2006/relationships"><Relationship Type="http://schemas.openxmlformats.org/officeDocument/2006/relationships/table" Target="/xl/tables/table3.xml" Id="Rd06ec79b114e4204"/><Relationship Id="rIdHyperlink1" Type="http://schemas.openxmlformats.org/officeDocument/2006/relationships/hyperlink" Target="papers/ARAB-2005/CMFRI-Bulletin-51-88a9c885.pdf" TargetMode="External"/><Relationship Id="rIdHyperlink2" Type="http://schemas.openxmlformats.org/officeDocument/2006/relationships/hyperlink" Target="https://eprints.cmfri.org.in/3945/" TargetMode="External"/><Relationship Id="rIdHyperlink3" Type="http://schemas.openxmlformats.org/officeDocument/2006/relationships/hyperlink" Target="LME_032.xlsx" TargetMode="External"/><Relationship Id="rIdHyperlink4" Type="http://schemas.openxmlformats.org/officeDocument/2006/relationships/hyperlink" Target="raw/LME_032-catch.zip" TargetMode="External"/><Relationship Id="rIdHyperlink5" Type="http://schemas.openxmlformats.org/officeDocument/2006/relationships/hyperlink" Target="raw/LME_032-exploited.json" TargetMode="External"/><Relationship Id="rIdHyperlink6" Type="http://schemas.openxmlformats.org/officeDocument/2006/relationships/hyperlink" Target="../../common_reference_data/taxonomic_references/provenance.json" TargetMode="External"/><Relationship Id="rIdHyperlink7" Type="http://schemas.openxmlformats.org/officeDocument/2006/relationships/hyperlink" Target="validation_reports/32_1_Arabian_Sea_off_Karnataka_%282000%29/mapping/WoRMS_response.json" TargetMode="External"/><Relationship Id="rIdHyperlink8" Type="http://schemas.openxmlformats.org/officeDocument/2006/relationships/hyperlink" Target="validation_reports/32_1_Arabian_Sea_off_Karnataka_%282000%29/mapping/adopted_taxon_audit.json" TargetMode="External"/><Relationship Id="rIdHyperlink9" Type="http://schemas.openxmlformats.org/officeDocument/2006/relationships/hyperlink" Target="validation_reports/32_1_Arabian_Sea_off_Karnataka_%282000%29/mapping/allocation_evidence.json" TargetMode="External"/><Relationship Id="rIdHyperlink10" Type="http://schemas.openxmlformats.org/officeDocument/2006/relationships/hyperlink" Target="https://www.fishbase.se/summary/Istiophorus_platypterus.html" TargetMode="External"/><Relationship Id="rIdHyperlink11" Type="http://schemas.openxmlformats.org/officeDocument/2006/relationships/hyperlink" Target="https://www.fishbase.se/summary/Xiphias_gladius.html" TargetMode="External"/><Relationship Id="rIdHyperlink12" Type="http://schemas.openxmlformats.org/officeDocument/2006/relationships/hyperlink" Target="https://www.fishbase.se/summary/Ablennes-hians.html" TargetMode="External"/><Relationship Id="rIdHyperlink13" Type="http://schemas.openxmlformats.org/officeDocument/2006/relationships/hyperlink" Target="https://eprints.cmfri.org.in/15537/" TargetMode="External"/><Relationship Id="rIdHyperlink14" Type="http://schemas.openxmlformats.org/officeDocument/2006/relationships/hyperlink" Target="https://www.fishbase.org/Summary/Siganus-canaliculatus" TargetMode="External"/><Relationship Id="rIdHyperlink15" Type="http://schemas.openxmlformats.org/officeDocument/2006/relationships/hyperlink" Target="https://doi.org/10.3389/fmars.2017.00285" TargetMode="External"/><Relationship Id="rIdHyperlink16" Type="http://schemas.openxmlformats.org/officeDocument/2006/relationships/hyperlink" Target="https://www.fishbase.org/Summary/FamilySummary.cfm?Family=Labridae" TargetMode="External"/><Relationship Id="rIdHyperlink17" Type="http://schemas.openxmlformats.org/officeDocument/2006/relationships/hyperlink" Target="https://www.fao.org/4/a0653e/a0653e07.htm" TargetMode="External"/><Relationship Id="rIdHyperlink18" Type="http://schemas.openxmlformats.org/officeDocument/2006/relationships/hyperlink" Target="https://fishbase.se/summary/1042" TargetMode="External"/><Relationship Id="rIdHyperlink19" Type="http://schemas.openxmlformats.org/officeDocument/2006/relationships/hyperlink" Target="https://www.fisheries.noaa.gov/species/opah/science" TargetMode="External"/><Relationship Id="rIdHyperlink20" Type="http://schemas.openxmlformats.org/officeDocument/2006/relationships/hyperlink" Target="validation_reports/32_1_Arabian_Sea_off_Karnataka_%282000%29/source/source_table_reconciliation.json" TargetMode="External"/><Relationship Id="rIdHyperlink21" Type="http://schemas.openxmlformats.org/officeDocument/2006/relationships/hyperlink" Target="validation_reports/32_1_Arabian_Sea_off_Karnataka_%282000%29/diagnostics/adopted_summary.json" TargetMode="External"/><Relationship Id="rIdHyperlink22" Type="http://schemas.openxmlformats.org/officeDocument/2006/relationships/hyperlink" Target="validation_reports/32_1_Arabian_Sea_off_Karnataka_%282000%29/geography/geography_assessment.json" TargetMode="External"/></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9" hidden="0" customWidth="1"/>
    <x:col min="3" max="3" width="20" hidden="0" customWidth="1"/>
    <x:col min="4" max="4" width="27" hidden="0" customWidth="1"/>
    <x:col min="5" max="5" width="62" hidden="0" customWidth="1"/>
    <x:col min="6" max="6" width="17" hidden="0" customWidth="1"/>
    <x:col min="7" max="7" width="105" hidden="0" customWidth="1"/>
  </x:cols>
  <x:sheetData>
    <x:row r="1" ht="27" customHeight="1">
      <x:c r="A1" s="3" t="str">
        <x:v>LME 032 taxon mapping appendix</x:v>
      </x:c>
      <x:c r="B1" s="3"/>
      <x:c r="C1" s="3"/>
      <x:c r="D1" s="3"/>
      <x:c r="E1" s="3"/>
      <x:c r="F1" s="3"/>
      <x:c r="G1" s="3"/>
    </x:row>
    <x:row r="2" ht="23" customHeight="1">
      <x:c r="A2" s="2" t="str">
        <x:v>2019 landings | Independent simple trophic chain | Catch t wet weight; PPR t C</x:v>
      </x:c>
      <x:c r="B2" s="2"/>
      <x:c r="C2" s="2"/>
      <x:c r="D2" s="2"/>
      <x:c r="E2" s="2"/>
      <x:c r="F2" s="2"/>
      <x:c r="G2" s="2"/>
    </x:row>
    <x:row r="3" ht="23" customHeight="1">
      <x:c r="A3" s="2" t="str">
        <x:v>Sorted by unrounded simple-chain PPR descending; taxon breaks ties. ? = unavailable TL/coefficient.</x:v>
      </x:c>
      <x:c r="B3" s="2"/>
      <x:c r="C3" s="2"/>
      <x:c r="D3" s="2"/>
      <x:c r="E3" s="2"/>
      <x:c r="F3" s="2"/>
      <x:c r="G3" s="2"/>
    </x:row>
    <x:row r="4" ht="23" customHeight="1">
      <x:c r="A4" s="2" t="str">
        <x:v>430 taxa | Landings 5,223,696.119 t | PPR 514,724,666.461 t C | 37 missing coefficients, all with zero 2019 landings.</x:v>
      </x:c>
      <x:c r="B4" s="2"/>
      <x:c r="C4" s="2"/>
      <x:c r="D4" s="2"/>
      <x:c r="E4" s="2"/>
      <x:c r="F4" s="2"/>
      <x:c r="G4" s="2"/>
    </x:row>
    <x:row r="5" ht="34" customHeight="1">
      <x:c r="A5" s="6" t="str">
        <x:v>Taxon name</x:v>
      </x:c>
      <x:c r="B5" s="6" t="str">
        <x:v>TL</x:v>
      </x:c>
      <x:c r="C5" s="6" t="str">
        <x:v>Catch (t)</x:v>
      </x:c>
      <x:c r="D5" s="6" t="str">
        <x:v>Simple-chain PPR (t C)</x:v>
      </x:c>
      <x:c r="E5" s="6" t="str">
        <x:v>Mapped group names and weights</x:v>
      </x:c>
      <x:c r="F5" s="6" t="str">
        <x:v>Confidence level</x:v>
      </x:c>
      <x:c r="G5" s="6" t="str">
        <x:v>Reason</x:v>
      </x:c>
    </x:row>
    <x:row r="6" ht="80" customHeight="1">
      <x:c r="A6" s="2" t="str">
        <x:v>Katsuwonus pelamis</x:v>
      </x:c>
      <x:c r="B6" s="10" t="n">
        <x:v>4.43</x:v>
      </x:c>
      <x:c r="C6" s="11" t="n">
        <x:v>243529.1286940714</x:v>
      </x:c>
      <x:c r="D6" s="11" t="n">
        <x:v>72829680.62778774</x:v>
      </x:c>
      <x:c r="E6" s="9" t="str">
        <x:v>Tunas (100.0000%)</x:v>
      </x:c>
      <x:c r="F6" s="9" t="str">
        <x:v>Medium</x:v>
      </x:c>
      <x:c r="G6" s="9" t="str">
        <x:v>Taxonomy/catch ecology links Katsuwonus pelamis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7" ht="80" customHeight="1">
      <x:c r="A7" s="2" t="str">
        <x:v>Thunnus albacares</x:v>
      </x:c>
      <x:c r="B7" s="10" t="n">
        <x:v>4.41</x:v>
      </x:c>
      <x:c r="C7" s="11" t="n">
        <x:v>222031.9280930008</x:v>
      </x:c>
      <x:c r="D7" s="11" t="n">
        <x:v>63412214.62336547</x:v>
      </x:c>
      <x:c r="E7" s="9" t="str">
        <x:v>Tunas (100.0000%)</x:v>
      </x:c>
      <x:c r="F7" s="9" t="str">
        <x:v>Medium</x:v>
      </x:c>
      <x:c r="G7" s="9" t="str">
        <x:v>Taxonomy/catch ecology links Thunnus albacares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8" ht="64" customHeight="1">
      <x:c r="A8" s="2" t="str">
        <x:v>Scomberomorus commerson</x:v>
      </x:c>
      <x:c r="B8" s="10" t="n">
        <x:v>4.5</x:v>
      </x:c>
      <x:c r="C8" s="11" t="n">
        <x:v>98172.6892566576</x:v>
      </x:c>
      <x:c r="D8" s="11" t="n">
        <x:v>34494366.89722006</x:v>
      </x:c>
      <x:c r="E8" s="9" t="str">
        <x:v>Large Pelagics (100.0000%)</x:v>
      </x:c>
      <x:c r="F8" s="9" t="str">
        <x:v>High</x:v>
      </x:c>
      <x:c r="G8" s="9" t="str">
        <x:v>Source explicitly lists Scomberomorus commerson in Large Pelagics (CMFRI Bulletin 51 printed p. 11 / PDF p. 21; member 11). Single-group allocation adds no internal composition assumption. See Sources and Allocation evidence.</x:v>
      </x:c>
    </x:row>
    <x:row r="9" ht="64" customHeight="1">
      <x:c r="A9" s="2" t="str">
        <x:v>Trichiurus lepturus</x:v>
      </x:c>
      <x:c r="B9" s="10" t="n">
        <x:v>4.42</x:v>
      </x:c>
      <x:c r="C9" s="11" t="n">
        <x:v>74234.1031082304</x:v>
      </x:c>
      <x:c r="D9" s="11" t="n">
        <x:v>21695065.034737755</x:v>
      </x:c>
      <x:c r="E9" s="9" t="str">
        <x:v>Large Benthopelagics (100.0000%)</x:v>
      </x:c>
      <x:c r="F9" s="9" t="str">
        <x:v>High</x:v>
      </x:c>
      <x:c r="G9" s="9" t="str">
        <x:v>Source explicitly lists Trichiurus lepturus in Large Benthopelagics (CMFRI Bulletin 51 printed p. 11 / PDF p. 21; member 24). Single-group allocation adds no internal composition assumption. See Sources and Allocation evidence.</x:v>
      </x:c>
    </x:row>
    <x:row r="10" ht="80" customHeight="1">
      <x:c r="A10" s="2" t="str">
        <x:v>Carangidae</x:v>
      </x:c>
      <x:c r="B10" s="10" t="n">
        <x:v>4.05</x:v>
      </x:c>
      <x:c r="C10" s="11" t="n">
        <x:v>143907.3391550958</x:v>
      </x:c>
      <x:c r="D10" s="11" t="n">
        <x:v>17940743.36016766</x:v>
      </x:c>
      <x:c r="E10" s="9" t="str">
        <x:v>Large Benthopelagics (51.0811%); Med Benthic Carnivores (12.6891%); Small Benthopelagics (36.2298%)</x:v>
      </x:c>
      <x:c r="F10" s="9" t="str">
        <x:v>Medium</x:v>
      </x:c>
      <x:c r="G1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11" ht="96" customHeight="1">
      <x:c r="A11" s="2" t="str">
        <x:v>Harpadon nehereus</x:v>
      </x:c>
      <x:c r="B11" s="10" t="n">
        <x:v>4.2</x:v>
      </x:c>
      <x:c r="C11" s="11" t="n">
        <x:v>95792.89251542841</x:v>
      </x:c>
      <x:c r="D11" s="11" t="n">
        <x:v>16869055.91487352</x:v>
      </x:c>
      <x:c r="E11" s="9" t="str">
        <x:v>Large Benthic Carnivores (100.0000%)</x:v>
      </x:c>
      <x:c r="F11" s="9" t="str">
        <x:v>Low</x:v>
      </x:c>
      <x:c r="G11" s="9" t="str">
        <x:v>Analyst analogue to source lizardfishes Saurida (Bulletin p. 11): same aulopiform ambush-predator lineage; SAU benthopelagic habitat differs, so confidence is low and Large Benthopelagics is a material alternative. This is a guild extension, not explicit taxonomic membership; provider size bins are not the source model’s operative thresholds. Single-group allocation adds no internal composition assumption. See Sources and Allocation evidence.</x:v>
      </x:c>
    </x:row>
    <x:row r="12" ht="80" customHeight="1">
      <x:c r="A12" s="2" t="str">
        <x:v>Scomberoides commersonnianus</x:v>
      </x:c>
      <x:c r="B12" s="10" t="n">
        <x:v>4.48</x:v>
      </x:c>
      <x:c r="C12" s="11" t="n">
        <x:v>43941.1621795168</x:v>
      </x:c>
      <x:c r="D12" s="11" t="n">
        <x:v>14744465.36894399</x:v>
      </x:c>
      <x:c r="E12" s="9" t="str">
        <x:v>Large Benthopelagics (100.0000%)</x:v>
      </x:c>
      <x:c r="F12" s="9" t="str">
        <x:v>Medium</x:v>
      </x:c>
      <x:c r="G12" s="9" t="str">
        <x:v>Taxonomy/catch ecology links Scomberoides commersonnianus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13" ht="80" customHeight="1">
      <x:c r="A13" s="2" t="str">
        <x:v>Synodontidae</x:v>
      </x:c>
      <x:c r="B13" s="10" t="n">
        <x:v>4.3</x:v>
      </x:c>
      <x:c r="C13" s="11" t="n">
        <x:v>54340.5859083042</x:v>
      </x:c>
      <x:c r="D13" s="11" t="n">
        <x:v>12047080.359574255</x:v>
      </x:c>
      <x:c r="E13" s="9" t="str">
        <x:v>Large Benthic Carnivores (100.0000%)</x:v>
      </x:c>
      <x:c r="F13" s="9" t="str">
        <x:v>Medium</x:v>
      </x:c>
      <x:c r="G13" s="9" t="str">
        <x:v>Taxonomy/catch ecology links Synodontidae (Synodontidae)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4" ht="80" customHeight="1">
      <x:c r="A14" s="2" t="str">
        <x:v>Teuthida</x:v>
      </x:c>
      <x:c r="B14" s="10" t="n">
        <x:v>4.13</x:v>
      </x:c>
      <x:c r="C14" s="11" t="n">
        <x:v>79150.8219431701</x:v>
      </x:c>
      <x:c r="D14" s="11" t="n">
        <x:v>11863502.3253286</x:v>
      </x:c>
      <x:c r="E14" s="9" t="str">
        <x:v>Cephalopods (100.0000%)</x:v>
      </x:c>
      <x:c r="F14" s="9" t="str">
        <x:v>Medium</x:v>
      </x:c>
      <x:c r="G14" s="9" t="str">
        <x:v>Taxonomy/catch ecology links Teuthida (Teuthida)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5" ht="48" customHeight="1">
      <x:c r="A15" s="2" t="str">
        <x:v>Thunnus tonggol</x:v>
      </x:c>
      <x:c r="B15" s="10" t="n">
        <x:v>4.5</x:v>
      </x:c>
      <x:c r="C15" s="11" t="n">
        <x:v>33414.7520106393</x:v>
      </x:c>
      <x:c r="D15" s="11" t="n">
        <x:v>11740747.089256786</x:v>
      </x:c>
      <x:c r="E15" s="9" t="str">
        <x:v>Tunas (100.0000%)</x:v>
      </x:c>
      <x:c r="F15" s="9" t="str">
        <x:v>High</x:v>
      </x:c>
      <x:c r="G15" s="9" t="str">
        <x:v>Source explicitly lists Thunnus tonggol in Tunas (CMFRI Bulletin 51 printed p. 11 / PDF p. 21; member 17). Single-group allocation adds no internal composition assumption. See Sources and Allocation evidence.</x:v>
      </x:c>
    </x:row>
    <x:row r="16" ht="80" customHeight="1">
      <x:c r="A16" s="2" t="str">
        <x:v>Sphyraena</x:v>
      </x:c>
      <x:c r="B16" s="10" t="n">
        <x:v>4.4</x:v>
      </x:c>
      <x:c r="C16" s="11" t="n">
        <x:v>39134.2567723935</x:v>
      </x:c>
      <x:c r="D16" s="11" t="n">
        <x:v>10922312.065976355</x:v>
      </x:c>
      <x:c r="E16" s="9" t="str">
        <x:v>Large Pelagics (100.0000%)</x:v>
      </x:c>
      <x:c r="F16" s="9" t="str">
        <x:v>Medium</x:v>
      </x:c>
      <x:c r="G16" s="9" t="str">
        <x:v>Taxonomy/catch ecology links Sphyraena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7" ht="80" customHeight="1">
      <x:c r="A17" s="2" t="str">
        <x:v>Sphyraena barracuda</x:v>
      </x:c>
      <x:c r="B17" s="10" t="n">
        <x:v>4.49</x:v>
      </x:c>
      <x:c r="C17" s="11" t="n">
        <x:v>30549.2407858838</x:v>
      </x:c>
      <x:c r="D17" s="11" t="n">
        <x:v>10489575.474152738</x:v>
      </x:c>
      <x:c r="E17" s="9" t="str">
        <x:v>Large Pelagics (100.0000%)</x:v>
      </x:c>
      <x:c r="F17" s="9" t="str">
        <x:v>Medium</x:v>
      </x:c>
      <x:c r="G17" s="9" t="str">
        <x:v>Taxonomy/catch ecology links Sphyraena barracuda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8" ht="96" customHeight="1">
      <x:c r="A18" s="2" t="str">
        <x:v>Marine fishes not identified</x:v>
      </x:c>
      <x:c r="B18" s="10" t="n">
        <x:v>3.28</x:v>
      </x:c>
      <x:c r="C18" s="11" t="n">
        <x:v>493606.0262186922</x:v>
      </x:c>
      <x:c r="D18" s="11" t="n">
        <x:v>10450521.034551712</x:v>
      </x:c>
      <x:c r="E18" s="9" t="str">
        <x:v>Large Pelagics (3.1436%); Tunas (1.9201%); Large Benthopelagics (5.9643%); Large Benthic Carnivores (4.7749%); Med Benthic Carnivores (5.6075%); Small Benthic Carnivores (13.8658%); Small Benthopelagics (6.4571%); Mackerel (16.0578%); Clupeids (24.4520%); Anchovies (3.4155%); Benthic Omnivores (14.3415%)</x:v>
      </x:c>
      <x:c r="F18" s="9" t="str">
        <x:v>Very low</x:v>
      </x:c>
      <x:c r="G18" s="9" t="str">
        <x:v>Unidentified marine fish is approximated as the model’s harvested bony-fish compartments; separate shark/ray categories and non-fish pools are excluded. Its demersal tag alone does not define its composition. Allocation uses published model catch proportions, assumed constant across regions, years and catch bases; whole-group quantities are a composition proxy. See Sources and Allocation evidence.</x:v>
      </x:c>
    </x:row>
    <x:row r="19" ht="96" customHeight="1">
      <x:c r="A19" s="2" t="str">
        <x:v>Coryphaena hippurus</x:v>
      </x:c>
      <x:c r="B19" s="10" t="n">
        <x:v>4.37</x:v>
      </x:c>
      <x:c r="C19" s="11" t="n">
        <x:v>36934.3304686362</x:v>
      </x:c>
      <x:c r="D19" s="11" t="n">
        <x:v>9620280.195458397</x:v>
      </x:c>
      <x:c r="E19" s="9" t="str">
        <x:v>Large Pelagics (100.0000%)</x:v>
      </x:c>
      <x:c r="F19" s="9" t="str">
        <x:v>Medium</x:v>
      </x:c>
      <x:c r="G19" s="9" t="str">
        <x:v>Analyst ecological analogue: Coryphaena hippurus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20" ht="80" customHeight="1">
      <x:c r="A20" s="2" t="str">
        <x:v>Carcharhinidae</x:v>
      </x:c>
      <x:c r="B20" s="10" t="n">
        <x:v>4.24</x:v>
      </x:c>
      <x:c r="C20" s="11" t="n">
        <x:v>49660.4776866887</x:v>
      </x:c>
      <x:c r="D20" s="11" t="n">
        <x:v>9588891.031113056</x:v>
      </x:c>
      <x:c r="E20" s="9" t="str">
        <x:v>Sharks (100.0000%)</x:v>
      </x:c>
      <x:c r="F20" s="9" t="str">
        <x:v>High</x:v>
      </x:c>
      <x:c r="G2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 ht="80" customHeight="1">
      <x:c r="A21" s="2" t="str">
        <x:v>Alopias superciliosus</x:v>
      </x:c>
      <x:c r="B21" s="10" t="n">
        <x:v>4.51</x:v>
      </x:c>
      <x:c r="C21" s="11" t="n">
        <x:v>25711.1533105917</x:v>
      </x:c>
      <x:c r="D21" s="11" t="n">
        <x:v>9244406.804058537</x:v>
      </x:c>
      <x:c r="E21" s="9" t="str">
        <x:v>Sharks (100.0000%)</x:v>
      </x:c>
      <x:c r="F21" s="9" t="str">
        <x:v>High</x:v>
      </x:c>
      <x:c r="G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 ht="80" customHeight="1">
      <x:c r="A22" s="2" t="str">
        <x:v>Isurus oxyrinchus</x:v>
      </x:c>
      <x:c r="B22" s="10" t="n">
        <x:v>4.5</x:v>
      </x:c>
      <x:c r="C22" s="11" t="n">
        <x:v>25338.1160043816</x:v>
      </x:c>
      <x:c r="D22" s="11" t="n">
        <x:v>8902906.465712313</x:v>
      </x:c>
      <x:c r="E22" s="9" t="str">
        <x:v>Sharks (100.0000%)</x:v>
      </x:c>
      <x:c r="F22" s="9" t="str">
        <x:v>High</x:v>
      </x:c>
      <x:c r="G2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 ht="80" customHeight="1">
      <x:c r="A23" s="2" t="str">
        <x:v>Sciaenidae</x:v>
      </x:c>
      <x:c r="B23" s="10" t="n">
        <x:v>3.76</x:v>
      </x:c>
      <x:c r="C23" s="11" t="n">
        <x:v>136353.8684607191</x:v>
      </x:c>
      <x:c r="D23" s="11" t="n">
        <x:v>8718162.391412787</x:v>
      </x:c>
      <x:c r="E23" s="9" t="str">
        <x:v>Med Benthic Carnivores (100.0000%)</x:v>
      </x:c>
      <x:c r="F23" s="9" t="str">
        <x:v>Medium</x:v>
      </x:c>
      <x:c r="G23" s="9" t="str">
        <x:v>Taxonomy/catch ecology links Sciaenidae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 ht="80" customHeight="1">
      <x:c r="A24" s="2" t="str">
        <x:v>Thunnus obesus</x:v>
      </x:c>
      <x:c r="B24" s="10" t="n">
        <x:v>4.49</x:v>
      </x:c>
      <x:c r="C24" s="11" t="n">
        <x:v>22130.3281729363</x:v>
      </x:c>
      <x:c r="D24" s="11" t="n">
        <x:v>7598805.785872434</x:v>
      </x:c>
      <x:c r="E24" s="9" t="str">
        <x:v>Tunas (100.0000%)</x:v>
      </x:c>
      <x:c r="F24" s="9" t="str">
        <x:v>Medium</x:v>
      </x:c>
      <x:c r="G24" s="9" t="str">
        <x:v>Taxonomy/catch ecology links Thunnus obesus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25" ht="48" customHeight="1">
      <x:c r="A25" s="2" t="str">
        <x:v>Euthynnus affinis</x:v>
      </x:c>
      <x:c r="B25" s="10" t="n">
        <x:v>4.5</x:v>
      </x:c>
      <x:c r="C25" s="11" t="n">
        <x:v>19336.7028234089</x:v>
      </x:c>
      <x:c r="D25" s="11" t="n">
        <x:v>6794224.817753421</x:v>
      </x:c>
      <x:c r="E25" s="9" t="str">
        <x:v>Tunas (100.0000%)</x:v>
      </x:c>
      <x:c r="F25" s="9" t="str">
        <x:v>High</x:v>
      </x:c>
      <x:c r="G25" s="9" t="str">
        <x:v>Source explicitly lists Euthynnus affinis in Tunas (CMFRI Bulletin 51 printed p. 11 / PDF p. 21; member 16). Single-group allocation adds no internal composition assumption. See Sources and Allocation evidence.</x:v>
      </x:c>
    </x:row>
    <x:row r="26" ht="64" customHeight="1">
      <x:c r="A26" s="2" t="str">
        <x:v>Scomberomorus guttatus</x:v>
      </x:c>
      <x:c r="B26" s="10" t="n">
        <x:v>4.28</x:v>
      </x:c>
      <x:c r="C26" s="11" t="n">
        <x:v>26024.869424465</x:v>
      </x:c>
      <x:c r="D26" s="11" t="n">
        <x:v>5509929.597604539</x:v>
      </x:c>
      <x:c r="E26" s="9" t="str">
        <x:v>Large Pelagics (100.0000%)</x:v>
      </x:c>
      <x:c r="F26" s="9" t="str">
        <x:v>High</x:v>
      </x:c>
      <x:c r="G26" s="9" t="str">
        <x:v>Source explicitly lists Scomberomorus guttatus in Large Pelagics (CMFRI Bulletin 51 printed p. 11 / PDF p. 21; member 12). Single-group allocation adds no internal composition assumption. See Sources and Allocation evidence.</x:v>
      </x:c>
    </x:row>
    <x:row r="27" ht="80" customHeight="1">
      <x:c r="A27" s="2" t="str">
        <x:v>Scombridae</x:v>
      </x:c>
      <x:c r="B27" s="10" t="n">
        <x:v>4.26</x:v>
      </x:c>
      <x:c r="C27" s="11" t="n">
        <x:v>26579.66330393</x:v>
      </x:c>
      <x:c r="D27" s="11" t="n">
        <x:v>5374115.126191742</x:v>
      </x:c>
      <x:c r="E27" s="9" t="str">
        <x:v>Large Pelagics (20.4776%); Tunas (33.4154%); Mackerel (46.1070%)</x:v>
      </x:c>
      <x:c r="F27" s="9" t="str">
        <x:v>Medium</x:v>
      </x:c>
      <x:c r="G27"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 See Sources and Allocation evidence.</x:v>
      </x:c>
    </x:row>
    <x:row r="28" ht="80" customHeight="1">
      <x:c r="A28" s="2" t="str">
        <x:v>Decapoda</x:v>
      </x:c>
      <x:c r="B28" s="10" t="n">
        <x:v>3.43</x:v>
      </x:c>
      <x:c r="C28" s="11" t="n">
        <x:v>179608.1619540921</x:v>
      </x:c>
      <x:c r="D28" s="11" t="n">
        <x:v>5371351.321875346</x:v>
      </x:c>
      <x:c r="E28" s="9" t="str">
        <x:v>Crabs &amp; Lobster (16.6213%); Shrimps (83.3787%); Heterotrophic Benthos (0.0000%)</x:v>
      </x:c>
      <x:c r="F28" s="9" t="str">
        <x:v>Medium</x:v>
      </x:c>
      <x:c r="G28"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29" ht="80" customHeight="1">
      <x:c r="A29" s="2" t="str">
        <x:v>Nemipteridae</x:v>
      </x:c>
      <x:c r="B29" s="10" t="n">
        <x:v>3.51</x:v>
      </x:c>
      <x:c r="C29" s="11" t="n">
        <x:v>146247.9238339571</x:v>
      </x:c>
      <x:c r="D29" s="11" t="n">
        <x:v>5258322.27686621</x:v>
      </x:c>
      <x:c r="E29" s="9" t="str">
        <x:v>Small Benthic Carnivores (100.0000%)</x:v>
      </x:c>
      <x:c r="F29" s="9" t="str">
        <x:v>Medium</x:v>
      </x:c>
      <x:c r="G29" s="9" t="str">
        <x:v>Taxonomy/catch ecology links Nemipteridae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 ht="80" customHeight="1">
      <x:c r="A30" s="2" t="str">
        <x:v>Serranidae</x:v>
      </x:c>
      <x:c r="B30" s="10" t="n">
        <x:v>3.98</x:v>
      </x:c>
      <x:c r="C30" s="11" t="n">
        <x:v>46475.8200565813</x:v>
      </x:c>
      <x:c r="D30" s="11" t="n">
        <x:v>4931562.620366833</x:v>
      </x:c>
      <x:c r="E30" s="9" t="str">
        <x:v>Large Benthic Carnivores (100.0000%)</x:v>
      </x:c>
      <x:c r="F30" s="9" t="str">
        <x:v>Medium</x:v>
      </x:c>
      <x:c r="G30" s="9" t="str">
        <x:v>Taxonomy/catch ecology links Serranidae (Serranidae)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 ht="80" customHeight="1">
      <x:c r="A31" s="2" t="str">
        <x:v>Elasmobranchii</x:v>
      </x:c>
      <x:c r="B31" s="10" t="n">
        <x:v>4.05</x:v>
      </x:c>
      <x:c r="C31" s="11" t="n">
        <x:v>38103.2053508781</x:v>
      </x:c>
      <x:c r="D31" s="11" t="n">
        <x:v>4750277.730193615</x:v>
      </x:c>
      <x:c r="E31" s="9" t="str">
        <x:v>Sharks (71.5817%); Skates &amp; Rays (28.4183%)</x:v>
      </x:c>
      <x:c r="F31" s="9" t="str">
        <x:v>Medium</x:v>
      </x:c>
      <x:c r="G3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32" ht="64" customHeight="1">
      <x:c r="A32" s="2" t="str">
        <x:v>Rastrelliger kanagurta</x:v>
      </x:c>
      <x:c r="B32" s="10" t="n">
        <x:v>3.19</x:v>
      </x:c>
      <x:c r="C32" s="11" t="n">
        <x:v>271292.4672809085</x:v>
      </x:c>
      <x:c r="D32" s="11" t="n">
        <x:v>4668692.021227128</x:v>
      </x:c>
      <x:c r="E32" s="9" t="str">
        <x:v>Mackerel (100.0000%)</x:v>
      </x:c>
      <x:c r="F32" s="9" t="str">
        <x:v>High</x:v>
      </x:c>
      <x:c r="G32" s="9" t="str">
        <x:v>Source explicitly lists Rastrelliger kanagurta in Mackerel (CMFRI Bulletin 51 printed p. 12 / PDF p. 22; member 61). Single-group allocation adds no internal composition assumption. See Sources and Allocation evidence.</x:v>
      </x:c>
    </x:row>
    <x:row r="33" ht="48" customHeight="1">
      <x:c r="A33" s="2" t="str">
        <x:v>Auxis thazard</x:v>
      </x:c>
      <x:c r="B33" s="10" t="n">
        <x:v>4.37</x:v>
      </x:c>
      <x:c r="C33" s="11" t="n">
        <x:v>16143.5219502987</x:v>
      </x:c>
      <x:c r="D33" s="11" t="n">
        <x:v>4204901.037404433</x:v>
      </x:c>
      <x:c r="E33" s="9" t="str">
        <x:v>Tunas (100.0000%)</x:v>
      </x:c>
      <x:c r="F33" s="9" t="str">
        <x:v>High</x:v>
      </x:c>
      <x:c r="G33" s="9" t="str">
        <x:v>Source explicitly lists Auxis thazard in Tunas (CMFRI Bulletin 51 printed p. 11 / PDF p. 21; member 18). Single-group allocation adds no internal composition assumption. See Sources and Allocation evidence.</x:v>
      </x:c>
    </x:row>
    <x:row r="34" ht="96" customHeight="1">
      <x:c r="A34" s="2" t="str">
        <x:v>Perciformes</x:v>
      </x:c>
      <x:c r="B34" s="10" t="n">
        <x:v>3.53</x:v>
      </x:c>
      <x:c r="C34" s="11" t="n">
        <x:v>106836.0879339301</x:v>
      </x:c>
      <x:c r="D34" s="11" t="n">
        <x:v>4022309.340131797</x:v>
      </x:c>
      <x:c r="E34" s="9" t="str">
        <x:v>Large Pelagics (3.1436%); Tunas (1.9201%); Large Benthopelagics (5.9643%); Large Benthic Carnivores (4.7749%); Med Benthic Carnivores (5.6075%); Small Benthic Carnivores (13.8658%); Small Benthopelagics (6.4571%); Mackerel (16.0578%); Clupeids (24.4520%); Anchovies (3.4155%); Benthic Omnivores (14.3415%)</x:v>
      </x:c>
      <x:c r="F34" s="9" t="str">
        <x:v>Very low</x:v>
      </x:c>
      <x:c r="G34" s="9" t="str">
        <x:v>Legacy perch-like fish reporting is broader than four demersal pools; approximate the model’s harvested bony-fish guilds. Present-day order circumscription is not substituted for the legacy catch label. Allocation uses published model catch proportions, assumed constant across regions, years and catch bases; whole-group quantities are a composition proxy. See Sources and Allocation evidence.</x:v>
      </x:c>
    </x:row>
    <x:row r="35" ht="80" customHeight="1">
      <x:c r="A35" s="2" t="str">
        <x:v>Chirocentrus</x:v>
      </x:c>
      <x:c r="B35" s="10" t="n">
        <x:v>4.3</x:v>
      </x:c>
      <x:c r="C35" s="11" t="n">
        <x:v>17197.4202054696</x:v>
      </x:c>
      <x:c r="D35" s="11" t="n">
        <x:v>3812596.0500730947</x:v>
      </x:c>
      <x:c r="E35" s="9" t="str">
        <x:v>Large Benthopelagics (100.0000%)</x:v>
      </x:c>
      <x:c r="F35" s="9" t="str">
        <x:v>Medium</x:v>
      </x:c>
      <x:c r="G35" s="9" t="str">
        <x:v>Taxonomy/catch ecology links Chirocentrus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36" ht="80" customHeight="1">
      <x:c r="A36" s="2" t="str">
        <x:v>Decapterus</x:v>
      </x:c>
      <x:c r="B36" s="10" t="n">
        <x:v>3.63</x:v>
      </x:c>
      <x:c r="C36" s="11" t="n">
        <x:v>77590.630206158</x:v>
      </x:c>
      <x:c r="D36" s="11" t="n">
        <x:v>3677619.2996505764</x:v>
      </x:c>
      <x:c r="E36" s="9" t="str">
        <x:v>Small Benthopelagics (100.0000%)</x:v>
      </x:c>
      <x:c r="F36" s="9" t="str">
        <x:v>Medium</x:v>
      </x:c>
      <x:c r="G36" s="9" t="str">
        <x:v>Taxonomy/catch ecology links Decapterus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7" ht="80" customHeight="1">
      <x:c r="A37" s="2" t="str">
        <x:v>Istiophorus platypterus</x:v>
      </x:c>
      <x:c r="B37" s="10" t="n">
        <x:v>4.5</x:v>
      </x:c>
      <x:c r="C37" s="11" t="n">
        <x:v>10466.4839321873</x:v>
      </x:c>
      <x:c r="D37" s="11" t="n">
        <x:v>3677547.591029688</x:v>
      </x:c>
      <x:c r="E37" s="9" t="str">
        <x:v>Large Pelagics (100.0000%)</x:v>
      </x:c>
      <x:c r="F37" s="9" t="str">
        <x:v>Medium</x:v>
      </x:c>
      <x:c r="G3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8" ht="112" customHeight="1">
      <x:c r="A38" s="2" t="str">
        <x:v>Caranx ignobilis</x:v>
      </x:c>
      <x:c r="B38" s="10" t="n">
        <x:v>4.22</x:v>
      </x:c>
      <x:c r="C38" s="11" t="n">
        <x:v>19580.0758965742</x:v>
      </x:c>
      <x:c r="D38" s="11" t="n">
        <x:v>3610537.5116209206</x:v>
      </x:c>
      <x:c r="E38" s="9" t="str">
        <x:v>Large Benthopelagics (100.0000%)</x:v>
      </x:c>
      <x:c r="F38" s="9" t="str">
        <x:v>Low</x:v>
      </x:c>
      <x:c r="G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9" ht="80" customHeight="1">
      <x:c r="A39" s="2" t="str">
        <x:v>Penaeidae</x:v>
      </x:c>
      <x:c r="B39" s="10" t="n">
        <x:v>3.31</x:v>
      </x:c>
      <x:c r="C39" s="11" t="n">
        <x:v>152771.8463774177</x:v>
      </x:c>
      <x:c r="D39" s="11" t="n">
        <x:v>3465778.6180666448</x:v>
      </x:c>
      <x:c r="E39" s="9" t="str">
        <x:v>Shrimps (100.0000%)</x:v>
      </x:c>
      <x:c r="F39" s="9" t="str">
        <x:v>High</x:v>
      </x:c>
      <x:c r="G39"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 ht="80" customHeight="1">
      <x:c r="A40" s="2" t="str">
        <x:v>Scomberoides</x:v>
      </x:c>
      <x:c r="B40" s="10" t="n">
        <x:v>4.47</x:v>
      </x:c>
      <x:c r="C40" s="11" t="n">
        <x:v>10329.1575636929</x:v>
      </x:c>
      <x:c r="D40" s="11" t="n">
        <x:v>3387056.1228512614</x:v>
      </x:c>
      <x:c r="E40" s="9" t="str">
        <x:v>Large Benthopelagics (100.0000%)</x:v>
      </x:c>
      <x:c r="F40" s="9" t="str">
        <x:v>Medium</x:v>
      </x:c>
      <x:c r="G40" s="9" t="str">
        <x:v>Taxonomy/catch ecology links Scomberoides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 ht="80" customHeight="1">
      <x:c r="A41" s="2" t="str">
        <x:v>Sepiidae</x:v>
      </x:c>
      <x:c r="B41" s="10" t="n">
        <x:v>3.6</x:v>
      </x:c>
      <x:c r="C41" s="11" t="n">
        <x:v>75336.68796269479</x:v>
      </x:c>
      <x:c r="D41" s="11" t="n">
        <x:v>3332452.8537444603</x:v>
      </x:c>
      <x:c r="E41" s="9" t="str">
        <x:v>Cephalopods (100.0000%)</x:v>
      </x:c>
      <x:c r="F41" s="9" t="str">
        <x:v>Medium</x:v>
      </x:c>
      <x:c r="G41" s="9" t="str">
        <x:v>Taxonomy/catch ecology links Sepiidae (Sepiidae)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2" ht="80" customHeight="1">
      <x:c r="A42" s="2" t="str">
        <x:v>Clupeiformes</x:v>
      </x:c>
      <x:c r="B42" s="10" t="n">
        <x:v>3.24</x:v>
      </x:c>
      <x:c r="C42" s="11" t="n">
        <x:v>152190.2336098758</x:v>
      </x:c>
      <x:c r="D42" s="11" t="n">
        <x:v>2938625.712164481</x:v>
      </x:c>
      <x:c r="E42" s="9" t="str">
        <x:v>Large Benthopelagics (3.0720%); Clupeids (92.0354%); Anchovies (4.8927%)</x:v>
      </x:c>
      <x:c r="F42" s="9" t="str">
        <x:v>Medium</x:v>
      </x:c>
      <x:c r="G4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43" ht="64" customHeight="1">
      <x:c r="A43" s="2" t="str">
        <x:v>Saurida tumbil</x:v>
      </x:c>
      <x:c r="B43" s="10" t="n">
        <x:v>4.4</x:v>
      </x:c>
      <x:c r="C43" s="11" t="n">
        <x:v>9482.8955797987</x:v>
      </x:c>
      <x:c r="D43" s="11" t="n">
        <x:v>2646661.859813172</x:v>
      </x:c>
      <x:c r="E43" s="9" t="str">
        <x:v>Large Benthic Carnivores (100.0000%)</x:v>
      </x:c>
      <x:c r="F43" s="9" t="str">
        <x:v>High</x:v>
      </x:c>
      <x:c r="G43" s="9" t="str">
        <x:v>Source explicitly lists Saurida tumbil in Large Benthic Carnivores (CMFRI Bulletin 51 printed p. 11 / PDF p. 21; member 31). Single-group allocation adds no internal composition assumption. See Sources and Allocation evidence.</x:v>
      </x:c>
    </x:row>
    <x:row r="44" ht="80" customHeight="1">
      <x:c r="A44" s="2" t="str">
        <x:v>Scomberoides lysan</x:v>
      </x:c>
      <x:c r="B44" s="10" t="n">
        <x:v>4.38</x:v>
      </x:c>
      <x:c r="C44" s="11" t="n">
        <x:v>9876.9092888882</x:v>
      </x:c>
      <x:c r="D44" s="11" t="n">
        <x:v>2632561.6822615997</x:v>
      </x:c>
      <x:c r="E44" s="9" t="str">
        <x:v>Large Benthopelagics (100.0000%)</x:v>
      </x:c>
      <x:c r="F44" s="9" t="str">
        <x:v>Medium</x:v>
      </x:c>
      <x:c r="G44" s="9" t="str">
        <x:v>Taxonomy/catch ecology links Scomberoides lysan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5" ht="80" customHeight="1">
      <x:c r="A45" s="2" t="str">
        <x:v>Psettodes erumei</x:v>
      </x:c>
      <x:c r="B45" s="10" t="n">
        <x:v>4.39</x:v>
      </x:c>
      <x:c r="C45" s="11" t="n">
        <x:v>9210.306812286799</x:v>
      </x:c>
      <x:c r="D45" s="11" t="n">
        <x:v>2512069.1387016615</x:v>
      </x:c>
      <x:c r="E45" s="9" t="str">
        <x:v>Med Benthic Carnivores (100.0000%)</x:v>
      </x:c>
      <x:c r="F45" s="9" t="str">
        <x:v>Medium</x:v>
      </x:c>
      <x:c r="G45" s="9" t="str">
        <x:v>Taxonomy/catch ecology links Psettodes erumei (Psettodidae)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6" ht="64" customHeight="1">
      <x:c r="A46" s="2" t="str">
        <x:v>Lutjanus malabaricus</x:v>
      </x:c>
      <x:c r="B46" s="10" t="n">
        <x:v>4.48</x:v>
      </x:c>
      <x:c r="C46" s="11" t="n">
        <x:v>6033.2656647154</x:v>
      </x:c>
      <x:c r="D46" s="11" t="n">
        <x:v>2024463.4470888558</x:v>
      </x:c>
      <x:c r="E46" s="9" t="str">
        <x:v>Large Benthic Carnivores (100.0000%)</x:v>
      </x:c>
      <x:c r="F46" s="9" t="str">
        <x:v>High</x:v>
      </x:c>
      <x:c r="G4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47" ht="80" customHeight="1">
      <x:c r="A47" s="2" t="str">
        <x:v>Istiompax indica</x:v>
      </x:c>
      <x:c r="B47" s="10" t="n">
        <x:v>4.5</x:v>
      </x:c>
      <x:c r="C47" s="11" t="n">
        <x:v>5631.1001249368</x:v>
      </x:c>
      <x:c r="D47" s="11" t="n">
        <x:v>1978566.9030287792</x:v>
      </x:c>
      <x:c r="E47" s="9" t="str">
        <x:v>Large Pelagics (100.0000%)</x:v>
      </x:c>
      <x:c r="F47" s="9" t="str">
        <x:v>Medium</x:v>
      </x:c>
      <x:c r="G4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48" ht="112" customHeight="1">
      <x:c r="A48" s="2" t="str">
        <x:v>Platycaranx chrysophrys</x:v>
      </x:c>
      <x:c r="B48" s="10" t="n">
        <x:v>4.3</x:v>
      </x:c>
      <x:c r="C48" s="11" t="n">
        <x:v>8898.7710974051</x:v>
      </x:c>
      <x:c r="D48" s="11" t="n">
        <x:v>1972820.2911318503</x:v>
      </x:c>
      <x:c r="E48" s="9" t="str">
        <x:v>Large Benthopelagics (100.0000%)</x:v>
      </x:c>
      <x:c r="F48" s="9" t="str">
        <x:v>Medium</x:v>
      </x:c>
      <x:c r="G48" s="9" t="str">
        <x:v>Analyst analogue to the source large carangids Megalaspis/Scomberoides (Bulletin p. 16; asymptotic lengths 53.4/46.0 cm). FishBase documents common 65 cm TL, maximum 72 cm FL and adults in open water around coastal reefs (https: //fishbase.se/summary/Platycaranx-chrysophrys), contradicting the SAU &lt;30 cm label. It is not a printed model member; small-scad placement is not supported. This is a guild extension, not explicit taxonomic membership; provider size bins are not the source model’s operative thresholds. Single-group allocation adds no internal composition assumption. See Sources and Allocation evidence.</x:v>
      </x:c>
    </x:row>
    <x:row r="49" ht="64" customHeight="1">
      <x:c r="A49" s="2" t="str">
        <x:v>Lutjanus johnii</x:v>
      </x:c>
      <x:c r="B49" s="10" t="n">
        <x:v>4.2</x:v>
      </x:c>
      <x:c r="C49" s="11" t="n">
        <x:v>10422.4203004161</x:v>
      </x:c>
      <x:c r="D49" s="11" t="n">
        <x:v>1835380.331455333</x:v>
      </x:c>
      <x:c r="E49" s="9" t="str">
        <x:v>Large Benthic Carnivores (100.0000%)</x:v>
      </x:c>
      <x:c r="F49" s="9" t="str">
        <x:v>High</x:v>
      </x:c>
      <x:c r="G49"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50" ht="80" customHeight="1">
      <x:c r="A50" s="2" t="str">
        <x:v>Auxis</x:v>
      </x:c>
      <x:c r="B50" s="10" t="n">
        <x:v>4.24</x:v>
      </x:c>
      <x:c r="C50" s="11" t="n">
        <x:v>9494.0710371068</x:v>
      </x:c>
      <x:c r="D50" s="11" t="n">
        <x:v>1833200.5018321828</x:v>
      </x:c>
      <x:c r="E50" s="9" t="str">
        <x:v>Tunas (100.0000%)</x:v>
      </x:c>
      <x:c r="F50" s="9" t="str">
        <x:v>Medium</x:v>
      </x:c>
      <x:c r="G50" s="9" t="str">
        <x:v>Taxonomy/catch ecology links Auxis (Scombridae) to source representatives Auxis thazard, Auxis rochei in Tunas. Extend those representatives to this label; the source does not establish complete containment or the provider’s numerical size bins. Single-group allocation adds no internal composition assumption. See Sources and Allocation evidence.</x:v>
      </x:c>
    </x:row>
    <x:row r="51" ht="64" customHeight="1">
      <x:c r="A51" s="2" t="str">
        <x:v>Rachycentron canadum</x:v>
      </x:c>
      <x:c r="B51" s="10" t="n">
        <x:v>3.96</x:v>
      </x:c>
      <x:c r="C51" s="11" t="n">
        <x:v>17654.1943609377</x:v>
      </x:c>
      <x:c r="D51" s="11" t="n">
        <x:v>1788979.6241412398</x:v>
      </x:c>
      <x:c r="E51" s="9" t="str">
        <x:v>Large Pelagics (100.0000%)</x:v>
      </x:c>
      <x:c r="F51" s="9" t="str">
        <x:v>High</x:v>
      </x:c>
      <x:c r="G51" s="9" t="str">
        <x:v>Source explicitly lists Rachycentron canadum in Large Pelagics (CMFRI Bulletin 51 printed p. 11 / PDF p. 21; member 13). Single-group allocation adds no internal composition assumption. See Sources and Allocation evidence.</x:v>
      </x:c>
    </x:row>
    <x:row r="52" ht="64" customHeight="1">
      <x:c r="A52" s="2" t="str">
        <x:v>Sardinella longiceps</x:v>
      </x:c>
      <x:c r="B52" s="10" t="n">
        <x:v>2.41</x:v>
      </x:c>
      <x:c r="C52" s="11" t="n">
        <x:v>608735.6964675124</x:v>
      </x:c>
      <x:c r="D52" s="11" t="n">
        <x:v>1738546.2966899576</x:v>
      </x:c>
      <x:c r="E52" s="9" t="str">
        <x:v>Clupeids (100.0000%)</x:v>
      </x:c>
      <x:c r="F52" s="9" t="str">
        <x:v>High</x:v>
      </x:c>
      <x:c r="G52" s="9" t="str">
        <x:v>Source explicitly lists Sardinella longiceps in Clupeids (CMFRI Bulletin 51 printed p. 12 / PDF p. 22; member 62). Single-group allocation adds no internal composition assumption. See Sources and Allocation evidence.</x:v>
      </x:c>
    </x:row>
    <x:row r="53" ht="96" customHeight="1">
      <x:c r="A53" s="2" t="str">
        <x:v>Lethrinus nebulosus</x:v>
      </x:c>
      <x:c r="B53" s="10" t="n">
        <x:v>3.76</x:v>
      </x:c>
      <x:c r="C53" s="11" t="n">
        <x:v>26837.7335499289</x:v>
      </x:c>
      <x:c r="D53" s="11" t="n">
        <x:v>1715944.8569158213</x:v>
      </x:c>
      <x:c r="E53" s="9" t="str">
        <x:v>Med Benthic Carnivores (100.0000%)</x:v>
      </x:c>
      <x:c r="F53" s="9" t="str">
        <x:v>Medium</x:v>
      </x:c>
      <x:c r="G53" s="9" t="str">
        <x:v>Analyst ecological analogue: Lethrinus nebulosus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4" ht="96" customHeight="1">
      <x:c r="A54" s="2" t="str">
        <x:v>Argyrops spinifer</x:v>
      </x:c>
      <x:c r="B54" s="10" t="n">
        <x:v>4.49</x:v>
      </x:c>
      <x:c r="C54" s="11" t="n">
        <x:v>4872.8396818933</x:v>
      </x:c>
      <x:c r="D54" s="11" t="n">
        <x:v>1673168.2458139833</x:v>
      </x:c>
      <x:c r="E54" s="9" t="str">
        <x:v>Med Benthic Carnivores (100.0000%)</x:v>
      </x:c>
      <x:c r="F54" s="9" t="str">
        <x:v>Medium</x:v>
      </x:c>
      <x:c r="G54" s="9" t="str">
        <x:v>Analyst ecological analogue: Argyrops spinifer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5" ht="80" customHeight="1">
      <x:c r="A55" s="2" t="str">
        <x:v>Clupeidae</x:v>
      </x:c>
      <x:c r="B55" s="10" t="n">
        <x:v>3.16</x:v>
      </x:c>
      <x:c r="C55" s="11" t="n">
        <x:v>104074.8158651107</x:v>
      </x:c>
      <x:c r="D55" s="11" t="n">
        <x:v>1671487.533161003</x:v>
      </x:c>
      <x:c r="E55" s="9" t="str">
        <x:v>Clupeids (100.0000%)</x:v>
      </x:c>
      <x:c r="F55" s="9" t="str">
        <x:v>Medium</x:v>
      </x:c>
      <x:c r="G55" s="9" t="str">
        <x:v>Taxonomy/catch ecology links Clupeidae (Clupeidae)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56" ht="80" customHeight="1">
      <x:c r="A56" s="2" t="str">
        <x:v>Siluriformes</x:v>
      </x:c>
      <x:c r="B56" s="10" t="n">
        <x:v>3.48</x:v>
      </x:c>
      <x:c r="C56" s="11" t="n">
        <x:v>45068.1574933661</x:v>
      </x:c>
      <x:c r="D56" s="11" t="n">
        <x:v>1512262.8861937774</x:v>
      </x:c>
      <x:c r="E56" s="9" t="str">
        <x:v>Large Benthopelagics (99.9900%); Benthic Omnivores (0.0100%)</x:v>
      </x:c>
      <x:c r="F56" s="9" t="str">
        <x:v>Medium</x:v>
      </x:c>
      <x:c r="G56"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57" ht="80" customHeight="1">
      <x:c r="A57" s="2" t="str">
        <x:v>Chirocentrus nudus</x:v>
      </x:c>
      <x:c r="B57" s="10" t="n">
        <x:v>4.19</x:v>
      </x:c>
      <x:c r="C57" s="11" t="n">
        <x:v>7896.267977480099</x:v>
      </x:c>
      <x:c r="D57" s="11" t="n">
        <x:v>1358874.563434182</x:v>
      </x:c>
      <x:c r="E57" s="9" t="str">
        <x:v>Large Benthopelagics (100.0000%)</x:v>
      </x:c>
      <x:c r="F57" s="9" t="str">
        <x:v>Medium</x:v>
      </x:c>
      <x:c r="G57" s="9" t="str">
        <x:v>Taxonomy/catch ecology links Chirocentrus nudus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58" ht="80" customHeight="1">
      <x:c r="A58" s="2" t="str">
        <x:v>Ariidae</x:v>
      </x:c>
      <x:c r="B58" s="10" t="n">
        <x:v>3.48</x:v>
      </x:c>
      <x:c r="C58" s="11" t="n">
        <x:v>39358.4639418682</x:v>
      </x:c>
      <x:c r="D58" s="11" t="n">
        <x:v>1320674.0099291732</x:v>
      </x:c>
      <x:c r="E58" s="9" t="str">
        <x:v>Large Benthopelagics (100.0000%)</x:v>
      </x:c>
      <x:c r="F58" s="9" t="str">
        <x:v>Medium</x:v>
      </x:c>
      <x:c r="G58" s="9" t="str">
        <x:v>Taxonomy/catch ecology links Ariidae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59" ht="64" customHeight="1">
      <x:c r="A59" s="2" t="str">
        <x:v>Marine pelagic fishes not identified</x:v>
      </x:c>
      <x:c r="B59" s="10" t="n">
        <x:v>3.35</x:v>
      </x:c>
      <x:c r="C59" s="11" t="n">
        <x:v>52625.4796585807</x:v>
      </x:c>
      <x:c r="D59" s="11" t="n">
        <x:v>1309041.93043292</x:v>
      </x:c>
      <x:c r="E59" s="9" t="str">
        <x:v>Large Pelagics (5.1190%); Tunas (3.1267%); Large Benthopelagics (9.7122%); Small Benthopelagics (10.5147%); Mackerel (26.1483%); Clupeids (39.8174%); Anchovies (5.5617%)</x:v>
      </x:c>
      <x:c r="F59" s="9" t="str">
        <x:v>Very low</x:v>
      </x:c>
      <x:c r="G59" s="9" t="str">
        <x:v>Pelagic residual may include large benthopelagic ribbonfish/carangids; approximate all harvested water-column fish pools. Allocation uses published model catch proportions, assumed constant across regions, years and catch bases; whole-group quantities are a composition proxy. See Sources and Allocation evidence.</x:v>
      </x:c>
    </x:row>
    <x:row r="60" ht="80" customHeight="1">
      <x:c r="A60" s="2" t="str">
        <x:v>Epinephelus coioides</x:v>
      </x:c>
      <x:c r="B60" s="10" t="n">
        <x:v>4</x:v>
      </x:c>
      <x:c r="C60" s="11" t="n">
        <x:v>11581.6270094666</x:v>
      </x:c>
      <x:c r="D60" s="11" t="n">
        <x:v>1286847.4454962888</x:v>
      </x:c>
      <x:c r="E60" s="9" t="str">
        <x:v>Large Benthic Carnivores (100.0000%)</x:v>
      </x:c>
      <x:c r="F60" s="9" t="str">
        <x:v>Medium</x:v>
      </x:c>
      <x:c r="G60" s="9" t="str">
        <x:v>Taxonomy/catch ecology links Epinephelus coioides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1" ht="80" customHeight="1">
      <x:c r="A61" s="2" t="str">
        <x:v>Stolephorus</x:v>
      </x:c>
      <x:c r="B61" s="10" t="n">
        <x:v>3.44</x:v>
      </x:c>
      <x:c r="C61" s="11" t="n">
        <x:v>39672.7579130302</x:v>
      </x:c>
      <x:c r="D61" s="11" t="n">
        <x:v>1214087.206496157</x:v>
      </x:c>
      <x:c r="E61" s="9" t="str">
        <x:v>Anchovies (100.0000%)</x:v>
      </x:c>
      <x:c r="F61" s="9" t="str">
        <x:v>Medium</x:v>
      </x:c>
      <x:c r="G61" s="9" t="str">
        <x:v>Taxonomy/catch ecology links Stolephorus (Engraulidae) to source representatives Stolephorus devisi, Stolephorus waitei, Stolephorus commersonii, Stolephorus indicus in Anchovies. Extend those representatives to this label; the source does not establish complete containment or the provider’s numerical size bins. Single-group allocation adds no internal composition assumption. See Sources and Allocation evidence.</x:v>
      </x:c>
    </x:row>
    <x:row r="62" ht="80" customHeight="1">
      <x:c r="A62" s="2" t="str">
        <x:v>Epinephelus</x:v>
      </x:c>
      <x:c r="B62" s="10" t="n">
        <x:v>3.84</x:v>
      </x:c>
      <x:c r="C62" s="11" t="n">
        <x:v>15164.639378659</x:v>
      </x:c>
      <x:c r="D62" s="11" t="n">
        <x:v>1165707.464997021</x:v>
      </x:c>
      <x:c r="E62" s="9" t="str">
        <x:v>Large Benthic Carnivores (100.0000%)</x:v>
      </x:c>
      <x:c r="F62" s="9" t="str">
        <x:v>Medium</x:v>
      </x:c>
      <x:c r="G62" s="9" t="str">
        <x:v>Taxonomy/catch ecology links Epinephelus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3" ht="96" customHeight="1">
      <x:c r="A63" s="2" t="str">
        <x:v>Muraenesox cinereus</x:v>
      </x:c>
      <x:c r="B63" s="10" t="n">
        <x:v>4.38</x:v>
      </x:c>
      <x:c r="C63" s="11" t="n">
        <x:v>3930.2298300903</x:v>
      </x:c>
      <x:c r="D63" s="11" t="n">
        <x:v>1047551.632859221</x:v>
      </x:c>
      <x:c r="E63" s="9" t="str">
        <x:v>Large Benthic Carnivores (100.0000%)</x:v>
      </x:c>
      <x:c r="F63" s="9" t="str">
        <x:v>Medium</x:v>
      </x:c>
      <x:c r="G63" s="9" t="str">
        <x:v>Analyst inference: demersal predatory lineage Muraenesox,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64" ht="80" customHeight="1">
      <x:c r="A64" s="2" t="str">
        <x:v>Sphyraenidae</x:v>
      </x:c>
      <x:c r="B64" s="10" t="n">
        <x:v>4.4</x:v>
      </x:c>
      <x:c r="C64" s="11" t="n">
        <x:v>3601.2225417876</x:v>
      </x:c>
      <x:c r="D64" s="11" t="n">
        <x:v>1005095.7821736359</x:v>
      </x:c>
      <x:c r="E64" s="9" t="str">
        <x:v>Large Pelagics (100.0000%)</x:v>
      </x:c>
      <x:c r="F64" s="9" t="str">
        <x:v>Medium</x:v>
      </x:c>
      <x:c r="G64" s="9" t="str">
        <x:v>Taxonomy/catch ecology links Sphyraenidae (Sphyraenidae)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65" ht="80" customHeight="1">
      <x:c r="A65" s="2" t="str">
        <x:v>Netuma thalassina</x:v>
      </x:c>
      <x:c r="B65" s="10" t="n">
        <x:v>3.54</x:v>
      </x:c>
      <x:c r="C65" s="11" t="n">
        <x:v>25305.1435102226</x:v>
      </x:c>
      <x:c r="D65" s="11" t="n">
        <x:v>974913.9734426563</x:v>
      </x:c>
      <x:c r="E65" s="9" t="str">
        <x:v>Large Benthopelagics (100.0000%)</x:v>
      </x:c>
      <x:c r="F65" s="9" t="str">
        <x:v>Medium</x:v>
      </x:c>
      <x:c r="G65" s="9" t="str">
        <x:v>Taxonomy/catch ecology links Netuma thalassina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66" ht="64" customHeight="1">
      <x:c r="A66" s="2" t="str">
        <x:v>Megalaspis cordyla</x:v>
      </x:c>
      <x:c r="B66" s="10" t="n">
        <x:v>4.24</x:v>
      </x:c>
      <x:c r="C66" s="11" t="n">
        <x:v>5048.1551044468</x:v>
      </x:c>
      <x:c r="D66" s="11" t="n">
        <x:v>974743.1249070045</x:v>
      </x:c>
      <x:c r="E66" s="9" t="str">
        <x:v>Large Benthopelagics (100.0000%)</x:v>
      </x:c>
      <x:c r="F66" s="9" t="str">
        <x:v>High</x:v>
      </x:c>
      <x:c r="G66" s="9" t="str">
        <x:v>Source explicitly lists Megalaspis cordyla in Large Benthopelagics (CMFRI Bulletin 51 printed p. 11 / PDF p. 21; member 25). Single-group allocation adds no internal composition assumption. See Sources and Allocation evidence.</x:v>
      </x:c>
    </x:row>
    <x:row r="67" ht="80" customHeight="1">
      <x:c r="A67" s="2" t="str">
        <x:v>Xiphias gladius</x:v>
      </x:c>
      <x:c r="B67" s="10" t="n">
        <x:v>4.53</x:v>
      </x:c>
      <x:c r="C67" s="11" t="n">
        <x:v>2469.6889917811</x:v>
      </x:c>
      <x:c r="D67" s="11" t="n">
        <x:v>929821.8692737168</x:v>
      </x:c>
      <x:c r="E67" s="9" t="str">
        <x:v>Large Pelagics (100.0000%)</x:v>
      </x:c>
      <x:c r="F67" s="9" t="str">
        <x:v>Medium</x:v>
      </x:c>
      <x:c r="G6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8" ht="80" customHeight="1">
      <x:c r="A68" s="2" t="str">
        <x:v>Istiophoridae</x:v>
      </x:c>
      <x:c r="B68" s="10" t="n">
        <x:v>4.48</x:v>
      </x:c>
      <x:c r="C68" s="11" t="n">
        <x:v>2755.9429366726</x:v>
      </x:c>
      <x:c r="D68" s="11" t="n">
        <x:v>924757.1792149122</x:v>
      </x:c>
      <x:c r="E68" s="9" t="str">
        <x:v>Large Pelagics (100.0000%)</x:v>
      </x:c>
      <x:c r="F68" s="9" t="str">
        <x:v>Medium</x:v>
      </x:c>
      <x:c r="G68"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9" ht="64" customHeight="1">
      <x:c r="A69" s="2" t="str">
        <x:v>Nemipterus japonicus</x:v>
      </x:c>
      <x:c r="B69" s="10" t="n">
        <x:v>3.77</x:v>
      </x:c>
      <x:c r="C69" s="11" t="n">
        <x:v>14080.0097578128</x:v>
      </x:c>
      <x:c r="D69" s="11" t="n">
        <x:v>921213.823692539</x:v>
      </x:c>
      <x:c r="E69" s="9" t="str">
        <x:v>Small Benthic Carnivores (100.0000%)</x:v>
      </x:c>
      <x:c r="F69" s="9" t="str">
        <x:v>High</x:v>
      </x:c>
      <x:c r="G69" s="9" t="str">
        <x:v>Source explicitly lists Nemipterus japonicus in Small Benthic Carnivores (CMFRI Bulletin 51 printed p. 12 / PDF p. 22; member 46). Single-group allocation adds no internal composition assumption. See Sources and Allocation evidence.</x:v>
      </x:c>
    </x:row>
    <x:row r="70" ht="80" customHeight="1">
      <x:c r="A70" s="2" t="str">
        <x:v>Sepia</x:v>
      </x:c>
      <x:c r="B70" s="10" t="n">
        <x:v>3.69</x:v>
      </x:c>
      <x:c r="C70" s="11" t="n">
        <x:v>16656.4226604486</x:v>
      </x:c>
      <x:c r="D70" s="11" t="n">
        <x:v>906440.3361707052</x:v>
      </x:c>
      <x:c r="E70" s="9" t="str">
        <x:v>Cephalopods (100.0000%)</x:v>
      </x:c>
      <x:c r="F70" s="9" t="str">
        <x:v>Medium</x:v>
      </x:c>
      <x:c r="G70" s="9" t="str">
        <x:v>Taxonomy/catch ecology links Sepia (Sepiidae) to source representatives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71" ht="64" customHeight="1">
      <x:c r="A71" s="2" t="str">
        <x:v>Lutjanus</x:v>
      </x:c>
      <x:c r="B71" s="10" t="n">
        <x:v>4.02</x:v>
      </x:c>
      <x:c r="C71" s="11" t="n">
        <x:v>7416.315917102</x:v>
      </x:c>
      <x:c r="D71" s="11" t="n">
        <x:v>862870.6797957534</x:v>
      </x:c>
      <x:c r="E71" s="9" t="str">
        <x:v>Large Benthic Carnivores (100.0000%)</x:v>
      </x:c>
      <x:c r="F71" s="9" t="str">
        <x:v>High</x:v>
      </x:c>
      <x:c r="G71"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72" ht="80" customHeight="1">
      <x:c r="A72" s="2" t="str">
        <x:v>Thryssa</x:v>
      </x:c>
      <x:c r="B72" s="10" t="n">
        <x:v>3.34</x:v>
      </x:c>
      <x:c r="C72" s="11" t="n">
        <x:v>35209.0604975205</x:v>
      </x:c>
      <x:c r="D72" s="11" t="n">
        <x:v>855878.1263532607</x:v>
      </x:c>
      <x:c r="E72" s="9" t="str">
        <x:v>Clupeids (100.0000%)</x:v>
      </x:c>
      <x:c r="F72" s="9" t="str">
        <x:v>Medium</x:v>
      </x:c>
      <x:c r="G72" s="9" t="str">
        <x:v>Taxonomy/catch ecology links Thryssa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73" ht="80" customHeight="1">
      <x:c r="A73" s="2" t="str">
        <x:v>Trichiuridae</x:v>
      </x:c>
      <x:c r="B73" s="10" t="n">
        <x:v>4.15</x:v>
      </x:c>
      <x:c r="C73" s="11" t="n">
        <x:v>5439.5267056566</x:v>
      </x:c>
      <x:c r="D73" s="11" t="n">
        <x:v>853726.1885242307</x:v>
      </x:c>
      <x:c r="E73" s="9" t="str">
        <x:v>Large Benthopelagics (100.0000%)</x:v>
      </x:c>
      <x:c r="F73" s="9" t="str">
        <x:v>Medium</x:v>
      </x:c>
      <x:c r="G73" s="9" t="str">
        <x:v>Taxonomy/catch ecology links Trichiuridae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74" ht="96" customHeight="1">
      <x:c r="A74" s="2" t="str">
        <x:v>Congresox talabonoides</x:v>
      </x:c>
      <x:c r="B74" s="10" t="n">
        <x:v>4.3</x:v>
      </x:c>
      <x:c r="C74" s="11" t="n">
        <x:v>3723.9022587369</x:v>
      </x:c>
      <x:c r="D74" s="11" t="n">
        <x:v>825573.5379428028</x:v>
      </x:c>
      <x:c r="E74" s="9" t="str">
        <x:v>Large Benthic Carnivores (100.0000%)</x:v>
      </x:c>
      <x:c r="F74" s="9" t="str">
        <x:v>Medium</x:v>
      </x:c>
      <x:c r="G74" s="9" t="str">
        <x:v>Analyst inference: demersal predatory lineage Congresox,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75" ht="64" customHeight="1">
      <x:c r="A75" s="2" t="str">
        <x:v>Lactarius lactarius</x:v>
      </x:c>
      <x:c r="B75" s="10" t="n">
        <x:v>3.97</x:v>
      </x:c>
      <x:c r="C75" s="11" t="n">
        <x:v>7900.1379533974</x:v>
      </x:c>
      <x:c r="D75" s="11" t="n">
        <x:v>819204.191321963</x:v>
      </x:c>
      <x:c r="E75" s="9" t="str">
        <x:v>Small Benthic Carnivores (100.0000%)</x:v>
      </x:c>
      <x:c r="F75" s="9" t="str">
        <x:v>High</x:v>
      </x:c>
      <x:c r="G75" s="9" t="str">
        <x:v>Source explicitly lists Lactarius lactarius in Small Benthic Carnivores (CMFRI Bulletin 51 printed p. 12 / PDF p. 22; member 49). Single-group allocation adds no internal composition assumption. See Sources and Allocation evidence.</x:v>
      </x:c>
    </x:row>
    <x:row r="76" ht="80" customHeight="1">
      <x:c r="A76" s="2" t="str">
        <x:v>Lutjanidae</x:v>
      </x:c>
      <x:c r="B76" s="10" t="n">
        <x:v>4.02</x:v>
      </x:c>
      <x:c r="C76" s="11" t="n">
        <x:v>6378.4532272144</x:v>
      </x:c>
      <x:c r="D76" s="11" t="n">
        <x:v>742117.8296248422</x:v>
      </x:c>
      <x:c r="E76" s="9" t="str">
        <x:v>Large Benthic Carnivores (100.0000%)</x:v>
      </x:c>
      <x:c r="F76" s="9" t="str">
        <x:v>Medium</x:v>
      </x:c>
      <x:c r="G76" s="9" t="str">
        <x:v>Taxonomy/catch ecology links Lutjanidae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77" ht="96" customHeight="1">
      <x:c r="A77" s="2" t="str">
        <x:v>Lethrinidae</x:v>
      </x:c>
      <x:c r="B77" s="10" t="n">
        <x:v>3.59</x:v>
      </x:c>
      <x:c r="C77" s="11" t="n">
        <x:v>16745.9254303371</x:v>
      </x:c>
      <x:c r="D77" s="11" t="n">
        <x:v>723880.1096787674</x:v>
      </x:c>
      <x:c r="E77" s="9" t="str">
        <x:v>Med Benthic Carnivores (100.0000%)</x:v>
      </x:c>
      <x:c r="F77" s="9" t="str">
        <x:v>Medium</x:v>
      </x:c>
      <x:c r="G77" s="9" t="str">
        <x:v>Analyst ecological analogue: Lethrinidae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78" ht="64" customHeight="1">
      <x:c r="A78" s="2" t="str">
        <x:v>Otolithes ruber</x:v>
      </x:c>
      <x:c r="B78" s="10" t="n">
        <x:v>3.6</x:v>
      </x:c>
      <x:c r="C78" s="11" t="n">
        <x:v>16135.3615226586</x:v>
      </x:c>
      <x:c r="D78" s="11" t="n">
        <x:v>713733.6801825984</x:v>
      </x:c>
      <x:c r="E78" s="9" t="str">
        <x:v>Med Benthic Carnivores (100.0000%)</x:v>
      </x:c>
      <x:c r="F78" s="9" t="str">
        <x:v>High</x:v>
      </x:c>
      <x:c r="G78" s="9" t="str">
        <x:v>Source explicitly lists Otolithes ruber in Med Benthic Carnivores (CMFRI Bulletin 51 printed p. 11 / PDF p. 21; member 36). Single-group allocation adds no internal composition assumption. See Sources and Allocation evidence.</x:v>
      </x:c>
    </x:row>
    <x:row r="79" ht="96" customHeight="1">
      <x:c r="A79" s="2" t="str">
        <x:v>Pomadasys stridens</x:v>
      </x:c>
      <x:c r="B79" s="10" t="n">
        <x:v>4.02</x:v>
      </x:c>
      <x:c r="C79" s="11" t="n">
        <x:v>5917.5150241539</x:v>
      </x:c>
      <x:c r="D79" s="11" t="n">
        <x:v>688488.7683679609</x:v>
      </x:c>
      <x:c r="E79" s="9" t="str">
        <x:v>Med Benthic Carnivores (100.0000%)</x:v>
      </x:c>
      <x:c r="F79" s="9" t="str">
        <x:v>Medium</x:v>
      </x:c>
      <x:c r="G79" s="9" t="str">
        <x:v>Analyst ecological analogue: Pomadasys stridens is a benthic invertebrate-feeding demersal/reef lineage, compared with source sciaenids and flatheads; Bulletin pp. 11-20 does not name this taxon, so this is not source membership. SAU class: Small reef assoc. fish (&lt;30 cm). This is a guild extension, not explicit taxonomic membership; provider size bins are not the source model’s operative thresholds. Single-group allocation adds no internal composition assumption. See Sources and Allocation evidence.</x:v>
      </x:c>
    </x:row>
    <x:row r="80" ht="80" customHeight="1">
      <x:c r="A80" s="2" t="str">
        <x:v>Saurida</x:v>
      </x:c>
      <x:c r="B80" s="10" t="n">
        <x:v>4.35</x:v>
      </x:c>
      <x:c r="C80" s="11" t="n">
        <x:v>2762.4461922143</x:v>
      </x:c>
      <x:c r="D80" s="11" t="n">
        <x:v>687149.631629752</x:v>
      </x:c>
      <x:c r="E80" s="9" t="str">
        <x:v>Large Benthic Carnivores (100.0000%)</x:v>
      </x:c>
      <x:c r="F80" s="9" t="str">
        <x:v>Medium</x:v>
      </x:c>
      <x:c r="G80" s="9" t="str">
        <x:v>Taxonomy/catch ecology links Saurida (Harpadontidae) to source representatives Saurida tumbil, Saurida undosquamis in Large Benthic Carnivores. Extend those representatives to this label; the source does not establish complete containment or the provider’s numerical size bins. Single-group allocation adds no internal composition assumption. See Sources and Allocation evidence.</x:v>
      </x:c>
    </x:row>
    <x:row r="81" ht="64" customHeight="1">
      <x:c r="A81" s="2" t="str">
        <x:v>Chirocentrus dorab</x:v>
      </x:c>
      <x:c r="B81" s="10" t="n">
        <x:v>4.2</x:v>
      </x:c>
      <x:c r="C81" s="11" t="n">
        <x:v>3734.4738539784</x:v>
      </x:c>
      <x:c r="D81" s="11" t="n">
        <x:v>657638.0209549317</x:v>
      </x:c>
      <x:c r="E81" s="9" t="str">
        <x:v>Large Benthopelagics (100.0000%)</x:v>
      </x:c>
      <x:c r="F81" s="9" t="str">
        <x:v>High</x:v>
      </x:c>
      <x:c r="G81" s="9" t="str">
        <x:v>Source explicitly lists Chirocentrus dorab in Large Benthopelagics (CMFRI Bulletin 51 printed p. 11 / PDF p. 21; member 27). Single-group allocation adds no internal composition assumption. See Sources and Allocation evidence.</x:v>
      </x:c>
    </x:row>
    <x:row r="82" ht="128" customHeight="1">
      <x:c r="A82" s="2" t="str">
        <x:v>Caranx</x:v>
      </x:c>
      <x:c r="B82" s="10" t="n">
        <x:v>4.12</x:v>
      </x:c>
      <x:c r="C82" s="11" t="n">
        <x:v>4383.7471445651</x:v>
      </x:c>
      <x:c r="D82" s="11" t="n">
        <x:v>642100.4681611505</x:v>
      </x:c>
      <x:c r="E82" s="9" t="str">
        <x:v>Small Benthopelagics (100.0000%)</x:v>
      </x:c>
      <x:c r="F82" s="9" t="str">
        <x:v>Low</x:v>
      </x:c>
      <x:c r="G82"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83" ht="64" customHeight="1">
      <x:c r="A83" s="2" t="str">
        <x:v>Sepia pharaonis</x:v>
      </x:c>
      <x:c r="B83" s="10" t="n">
        <x:v>3.8</x:v>
      </x:c>
      <x:c r="C83" s="11" t="n">
        <x:v>8853.7057817886</x:v>
      </x:c>
      <x:c r="D83" s="11" t="n">
        <x:v>620701.1876540296</x:v>
      </x:c>
      <x:c r="E83" s="9" t="str">
        <x:v>Cephalopods (100.0000%)</x:v>
      </x:c>
      <x:c r="F83" s="9" t="str">
        <x:v>High</x:v>
      </x:c>
      <x:c r="G83" s="9" t="str">
        <x:v>Source explicitly lists Sepia pharaonis in Cephalopods (CMFRI Bulletin 51 printed p. 11 / PDF p. 21; member 21). Single-group allocation adds no internal composition assumption. See Sources and Allocation evidence.</x:v>
      </x:c>
    </x:row>
    <x:row r="84" ht="80" customHeight="1">
      <x:c r="A84" s="2" t="str">
        <x:v>Bramidae</x:v>
      </x:c>
      <x:c r="B84" s="10" t="n">
        <x:v>4.14</x:v>
      </x:c>
      <x:c r="C84" s="11" t="n">
        <x:v>4015.330792501</x:v>
      </x:c>
      <x:c r="D84" s="11" t="n">
        <x:v>615855.4936826454</x:v>
      </x:c>
      <x:c r="E84" s="9" t="str">
        <x:v>Large Benthopelagics (100.0000%)</x:v>
      </x:c>
      <x:c r="F84" s="9" t="str">
        <x:v>Very low</x:v>
      </x:c>
      <x:c r="G8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85" ht="80" customHeight="1">
      <x:c r="A85" s="2" t="str">
        <x:v>Batoidea</x:v>
      </x:c>
      <x:c r="B85" s="10" t="n">
        <x:v>3.72</x:v>
      </x:c>
      <x:c r="C85" s="11" t="n">
        <x:v>10359.4261256456</x:v>
      </x:c>
      <x:c r="D85" s="11" t="n">
        <x:v>604078.234960579</x:v>
      </x:c>
      <x:c r="E85" s="9" t="str">
        <x:v>Skates &amp; Rays (100.0000%)</x:v>
      </x:c>
      <x:c r="F85" s="9" t="str">
        <x:v>High</x:v>
      </x:c>
      <x:c r="G85"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86" ht="80" customHeight="1">
      <x:c r="A86" s="2" t="str">
        <x:v>Soleidae</x:v>
      </x:c>
      <x:c r="B86" s="10" t="n">
        <x:v>3.15</x:v>
      </x:c>
      <x:c r="C86" s="11" t="n">
        <x:v>38235.90274977669</x:v>
      </x:c>
      <x:c r="D86" s="11" t="n">
        <x:v>600107.2020733774</x:v>
      </x:c>
      <x:c r="E86" s="9" t="str">
        <x:v>Benthic Omnivores (100.0000%)</x:v>
      </x:c>
      <x:c r="F86" s="9" t="str">
        <x:v>Medium</x:v>
      </x:c>
      <x:c r="G86" s="9" t="str">
        <x:v>Taxonomy/catch ecology links Soleidae (Soleidae)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87" ht="80" customHeight="1">
      <x:c r="A87" s="2" t="str">
        <x:v>Engraulidae</x:v>
      </x:c>
      <x:c r="B87" s="10" t="n">
        <x:v>3.2</x:v>
      </x:c>
      <x:c r="C87" s="11" t="n">
        <x:v>30837.4083887203</x:v>
      </x:c>
      <x:c r="D87" s="11" t="n">
        <x:v>543044.4292047339</x:v>
      </x:c>
      <x:c r="E87" s="9" t="str">
        <x:v>Clupeids (53.4854%); Anchovies (46.5146%)</x:v>
      </x:c>
      <x:c r="F87" s="9" t="str">
        <x:v>Medium</x:v>
      </x:c>
      <x:c r="G87"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88" ht="112" customHeight="1">
      <x:c r="A88" s="2" t="str">
        <x:v>Flavocaranx bajad</x:v>
      </x:c>
      <x:c r="B88" s="10" t="n">
        <x:v>4.3</x:v>
      </x:c>
      <x:c r="C88" s="11" t="n">
        <x:v>2423.2547331238</x:v>
      </x:c>
      <x:c r="D88" s="11" t="n">
        <x:v>537225.4276190986</x:v>
      </x:c>
      <x:c r="E88" s="9" t="str">
        <x:v>Large Benthopelagics (100.0000%)</x:v>
      </x:c>
      <x:c r="F88" s="9" t="str">
        <x:v>Medium</x:v>
      </x:c>
      <x:c r="G88" s="9" t="str">
        <x:v>Analyst analogue to source large carangids Megalaspis/Scomberoides (Bulletin p. 16). FishBase documents common 42 cm TL, maximum 55 cm TL and coastal reef slopes (https: //www.fishbase.se/summary/Carangoides-bajad.html); the source small-scad asymptotic lengths are 16.8-23.8 cm. This is inferred guild/size alignment, not a printed model member. This is a guild extension, not explicit taxonomic membership; provider size bins are not the source model’s operative thresholds. Single-group allocation adds no internal composition assumption. See Sources and Allocation evidence.</x:v>
      </x:c>
    </x:row>
    <x:row r="89" ht="80" customHeight="1">
      <x:c r="A89" s="2" t="str">
        <x:v>Anguilliformes</x:v>
      </x:c>
      <x:c r="B89" s="10" t="n">
        <x:v>3.89</x:v>
      </x:c>
      <x:c r="C89" s="11" t="n">
        <x:v>6126.179882824499</x:v>
      </x:c>
      <x:c r="D89" s="11" t="n">
        <x:v>528381.0522212462</x:v>
      </x:c>
      <x:c r="E89" s="9" t="str">
        <x:v>Large Benthic Carnivores (45.9902%); Med Benthic Carnivores (54.0098%)</x:v>
      </x:c>
      <x:c r="F89" s="9" t="str">
        <x:v>Very low</x:v>
      </x:c>
      <x:c r="G89" s="9" t="str">
        <x:v>Adult eels and morays are approximated by demersal carnivore pools; eel larvae in Micro Nekton do not represent adult fishery catch. Size, diet and depth mixture remain uncertain. Allocation uses published model catch proportions, assumed constant across regions, years and catch bases; whole-group quantities are a composition proxy. See Sources and Allocation evidence.</x:v>
      </x:c>
    </x:row>
    <x:row r="90" ht="96" customHeight="1">
      <x:c r="A90" s="2" t="str">
        <x:v>Lethrinus</x:v>
      </x:c>
      <x:c r="B90" s="10" t="n">
        <x:v>3.75</x:v>
      </x:c>
      <x:c r="C90" s="11" t="n">
        <x:v>6959.001717391699</x:v>
      </x:c>
      <x:c r="D90" s="11" t="n">
        <x:v>434814.9164177736</x:v>
      </x:c>
      <x:c r="E90" s="9" t="str">
        <x:v>Med Benthic Carnivores (100.0000%)</x:v>
      </x:c>
      <x:c r="F90" s="9" t="str">
        <x:v>Medium</x:v>
      </x:c>
      <x:c r="G90" s="9" t="str">
        <x:v>Analyst ecological analogue: Lethrinus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91" ht="64" customHeight="1">
      <x:c r="A91" s="2" t="str">
        <x:v>Rhizostomeae</x:v>
      </x:c>
      <x:c r="B91" s="10" t="n">
        <x:v>3.46</x:v>
      </x:c>
      <x:c r="C91" s="11" t="n">
        <x:v>13295.6041304956</x:v>
      </x:c>
      <x:c r="D91" s="11" t="n">
        <x:v>426054.90183832817</x:v>
      </x:c>
      <x:c r="E91" s="9" t="str">
        <x:v>Micro Nekton (100.0000%)</x:v>
      </x:c>
      <x:c r="F91" s="9" t="str">
        <x:v>High</x:v>
      </x:c>
      <x:c r="G91" s="9" t="str">
        <x:v>The source explicitly places jellyfish in Micro Nekton. The taxon is a jellyfish; the misleading group name does not override source membership. Single-group allocation adds no internal composition assumption. See Sources and Allocation evidence.</x:v>
      </x:c>
    </x:row>
    <x:row r="92" ht="64" customHeight="1">
      <x:c r="A92" s="2" t="str">
        <x:v>Octopus</x:v>
      </x:c>
      <x:c r="B92" s="10" t="n">
        <x:v>3.8</x:v>
      </x:c>
      <x:c r="C92" s="11" t="n">
        <x:v>6059.5613661061</x:v>
      </x:c>
      <x:c r="D92" s="11" t="n">
        <x:v>424813.86091923056</x:v>
      </x:c>
      <x:c r="E92" s="9" t="str">
        <x:v>Cephalopods (100.0000%)</x:v>
      </x:c>
      <x:c r="F92" s="9" t="str">
        <x:v>Medium</x:v>
      </x:c>
      <x:c r="G92"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93" ht="80" customHeight="1">
      <x:c r="A93" s="2" t="str">
        <x:v>Epinephelus malabaricus</x:v>
      </x:c>
      <x:c r="B93" s="10" t="n">
        <x:v>4.16</x:v>
      </x:c>
      <x:c r="C93" s="11" t="n">
        <x:v>2583.9714599017</x:v>
      </x:c>
      <x:c r="D93" s="11" t="n">
        <x:v>414997.23495714826</x:v>
      </x:c>
      <x:c r="E93" s="9" t="str">
        <x:v>Large Benthic Carnivores (100.0000%)</x:v>
      </x:c>
      <x:c r="F93" s="9" t="str">
        <x:v>Medium</x:v>
      </x:c>
      <x:c r="G93" s="9" t="str">
        <x:v>Taxonomy/catch ecology links Epinephelus malabaricus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94" ht="80" customHeight="1">
      <x:c r="A94" s="2" t="str">
        <x:v>Carcharhinus falciformis</x:v>
      </x:c>
      <x:c r="B94" s="10" t="n">
        <x:v>4.51</x:v>
      </x:c>
      <x:c r="C94" s="11" t="n">
        <x:v>1135.6186159462</x:v>
      </x:c>
      <x:c r="D94" s="11" t="n">
        <x:v>408309.97867932636</x:v>
      </x:c>
      <x:c r="E94" s="9" t="str">
        <x:v>Sharks (100.0000%)</x:v>
      </x:c>
      <x:c r="F94" s="9" t="str">
        <x:v>High</x:v>
      </x:c>
      <x:c r="G9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5" ht="64" customHeight="1">
      <x:c r="A95" s="2" t="str">
        <x:v>Rhizoprionodon acutus</x:v>
      </x:c>
      <x:c r="B95" s="10" t="n">
        <x:v>4.25</x:v>
      </x:c>
      <x:c r="C95" s="11" t="n">
        <x:v>1933.5402343679</x:v>
      </x:c>
      <x:c r="D95" s="11" t="n">
        <x:v>382041.6430286967</x:v>
      </x:c>
      <x:c r="E95" s="9" t="str">
        <x:v>Sharks (100.0000%)</x:v>
      </x:c>
      <x:c r="F95" s="9" t="str">
        <x:v>High</x:v>
      </x:c>
      <x:c r="G95" s="9" t="str">
        <x:v>Source explicitly lists Rhizoprionodon acutus in Sharks (CMFRI Bulletin 51 printed p. 11 / PDF p. 21; member 4). Single-group allocation adds no internal composition assumption. See Sources and Allocation evidence.</x:v>
      </x:c>
    </x:row>
    <x:row r="96" ht="96" customHeight="1">
      <x:c r="A96" s="2" t="str">
        <x:v>Lethrinus lentjan</x:v>
      </x:c>
      <x:c r="B96" s="10" t="n">
        <x:v>3.94</x:v>
      </x:c>
      <x:c r="C96" s="11" t="n">
        <x:v>3909.7686553739</x:v>
      </x:c>
      <x:c r="D96" s="11" t="n">
        <x:v>378362.9048869122</x:v>
      </x:c>
      <x:c r="E96" s="9" t="str">
        <x:v>Med Benthic Carnivores (100.0000%)</x:v>
      </x:c>
      <x:c r="F96" s="9" t="str">
        <x:v>Medium</x:v>
      </x:c>
      <x:c r="G96" s="9" t="str">
        <x:v>Analyst ecological analogue: Lethrinus lentjan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97" ht="80" customHeight="1">
      <x:c r="A97" s="2" t="str">
        <x:v>Mullidae</x:v>
      </x:c>
      <x:c r="B97" s="10" t="n">
        <x:v>3.46</x:v>
      </x:c>
      <x:c r="C97" s="11" t="n">
        <x:v>11776.4557339148</x:v>
      </x:c>
      <x:c r="D97" s="11" t="n">
        <x:v>377374.1036865138</x:v>
      </x:c>
      <x:c r="E97" s="9" t="str">
        <x:v>Small Benthic Carnivores (100.0000%)</x:v>
      </x:c>
      <x:c r="F97" s="9" t="str">
        <x:v>Medium</x:v>
      </x:c>
      <x:c r="G97" s="9" t="str">
        <x:v>Taxonomy/catch ecology links Mullidae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98" ht="80" customHeight="1">
      <x:c r="A98" s="2" t="str">
        <x:v>Portunidae</x:v>
      </x:c>
      <x:c r="B98" s="10" t="n">
        <x:v>3.56</x:v>
      </x:c>
      <x:c r="C98" s="11" t="n">
        <x:v>9351.051501022199</x:v>
      </x:c>
      <x:c r="D98" s="11" t="n">
        <x:v>377240.1765606863</x:v>
      </x:c>
      <x:c r="E98" s="9" t="str">
        <x:v>Crabs &amp; Lobster (100.0000%)</x:v>
      </x:c>
      <x:c r="F98" s="9" t="str">
        <x:v>High</x:v>
      </x:c>
      <x:c r="G9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9" ht="80" customHeight="1">
      <x:c r="A99" s="2" t="str">
        <x:v>Loliginidae</x:v>
      </x:c>
      <x:c r="B99" s="10" t="n">
        <x:v>3.9</x:v>
      </x:c>
      <x:c r="C99" s="11" t="n">
        <x:v>4199.4823197653</x:v>
      </x:c>
      <x:c r="D99" s="11" t="n">
        <x:v>370640.8197572223</x:v>
      </x:c>
      <x:c r="E99" s="9" t="str">
        <x:v>Cephalopods (100.0000%)</x:v>
      </x:c>
      <x:c r="F99" s="9" t="str">
        <x:v>Medium</x:v>
      </x:c>
      <x:c r="G99" s="9" t="str">
        <x:v>Taxonomy/catch ecology links Loliginidae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00" ht="80" customHeight="1">
      <x:c r="A100" s="2" t="str">
        <x:v>Pampus</x:v>
      </x:c>
      <x:c r="B100" s="10" t="n">
        <x:v>3.41</x:v>
      </x:c>
      <x:c r="C100" s="11" t="n">
        <x:v>12893.3051865943</x:v>
      </x:c>
      <x:c r="D100" s="11" t="n">
        <x:v>368232.1919730436</x:v>
      </x:c>
      <x:c r="E100" s="9" t="str">
        <x:v>Med Benthic Carnivores (100.0000%)</x:v>
      </x:c>
      <x:c r="F100" s="9" t="str">
        <x:v>Medium</x:v>
      </x:c>
      <x:c r="G100" s="9" t="str">
        <x:v>Taxonomy/catch ecology links Pampus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01" ht="80" customHeight="1">
      <x:c r="A101" s="2" t="str">
        <x:v>Lamnidae</x:v>
      </x:c>
      <x:c r="B101" s="10" t="n">
        <x:v>4.5</x:v>
      </x:c>
      <x:c r="C101" s="11" t="n">
        <x:v>982.5786096396</x:v>
      </x:c>
      <x:c r="D101" s="11" t="n">
        <x:v>345242.931846957</x:v>
      </x:c>
      <x:c r="E101" s="9" t="str">
        <x:v>Sharks (100.0000%)</x:v>
      </x:c>
      <x:c r="F101" s="9" t="str">
        <x:v>High</x:v>
      </x:c>
      <x:c r="G1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2" ht="96" customHeight="1">
      <x:c r="A102" s="2" t="str">
        <x:v>Pomadasys kaakan</x:v>
      </x:c>
      <x:c r="B102" s="10" t="n">
        <x:v>3.46</x:v>
      </x:c>
      <x:c r="C102" s="11" t="n">
        <x:v>10463.5777111862</x:v>
      </x:c>
      <x:c r="D102" s="11" t="n">
        <x:v>335303.1972719377</x:v>
      </x:c>
      <x:c r="E102" s="9" t="str">
        <x:v>Med Benthic Carnivores (100.0000%)</x:v>
      </x:c>
      <x:c r="F102" s="9" t="str">
        <x:v>Medium</x:v>
      </x:c>
      <x:c r="G102" s="9" t="str">
        <x:v>Analyst ecological analogue: Pomadasys kaakan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03" ht="80" customHeight="1">
      <x:c r="A103" s="2" t="str">
        <x:v>Eleutheronema tetradactylum</x:v>
      </x:c>
      <x:c r="B103" s="10" t="n">
        <x:v>4.06</x:v>
      </x:c>
      <x:c r="C103" s="11" t="n">
        <x:v>2475.0197521759</x:v>
      </x:c>
      <x:c r="D103" s="11" t="n">
        <x:v>315744.76574856386</x:v>
      </x:c>
      <x:c r="E103" s="9" t="str">
        <x:v>Med Benthic Carnivores (100.0000%)</x:v>
      </x:c>
      <x:c r="F103" s="9" t="str">
        <x:v>Medium</x:v>
      </x:c>
      <x:c r="G103" s="9" t="str">
        <x:v>Taxonomy/catch ecology links Eleutheronema tetradactylum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4" ht="80" customHeight="1">
      <x:c r="A104" s="2" t="str">
        <x:v>Polynemidae</x:v>
      </x:c>
      <x:c r="B104" s="10" t="n">
        <x:v>3.62</x:v>
      </x:c>
      <x:c r="C104" s="11" t="n">
        <x:v>6131.871241440799</x:v>
      </x:c>
      <x:c r="D104" s="11" t="n">
        <x:v>284021.0426598785</x:v>
      </x:c>
      <x:c r="E104" s="9" t="str">
        <x:v>Med Benthic Carnivores (100.0000%)</x:v>
      </x:c>
      <x:c r="F104" s="9" t="str">
        <x:v>Medium</x:v>
      </x:c>
      <x:c r="G104" s="9" t="str">
        <x:v>Taxonomy/catch ecology links Polynemidae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5" ht="96" customHeight="1">
      <x:c r="A105" s="2" t="str">
        <x:v>Sparidae</x:v>
      </x:c>
      <x:c r="B105" s="10" t="n">
        <x:v>3.31</x:v>
      </x:c>
      <x:c r="C105" s="11" t="n">
        <x:v>12243.0317485939</x:v>
      </x:c>
      <x:c r="D105" s="11" t="n">
        <x:v>277745.13865442126</x:v>
      </x:c>
      <x:c r="E105" s="9" t="str">
        <x:v>Med Benthic Carnivores (100.0000%)</x:v>
      </x:c>
      <x:c r="F105" s="9" t="str">
        <x:v>Medium</x:v>
      </x:c>
      <x:c r="G105" s="9" t="str">
        <x:v>Analyst ecological analogue: Sparidae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106" ht="80" customHeight="1">
      <x:c r="A106" s="2" t="str">
        <x:v>Atule mate</x:v>
      </x:c>
      <x:c r="B106" s="10" t="n">
        <x:v>4.22</x:v>
      </x:c>
      <x:c r="C106" s="11" t="n">
        <x:v>1446.709480155</x:v>
      </x:c>
      <x:c r="D106" s="11" t="n">
        <x:v>266771.12357011513</x:v>
      </x:c>
      <x:c r="E106" s="9" t="str">
        <x:v>Small Benthopelagics (100.0000%)</x:v>
      </x:c>
      <x:c r="F106" s="9" t="str">
        <x:v>Medium</x:v>
      </x:c>
      <x:c r="G106" s="9" t="str">
        <x:v>Taxonomy/catch ecology links Atule mate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07" ht="80" customHeight="1">
      <x:c r="A107" s="2" t="str">
        <x:v>Alopias vulpinus</x:v>
      </x:c>
      <x:c r="B107" s="10" t="n">
        <x:v>4.5</x:v>
      </x:c>
      <x:c r="C107" s="11" t="n">
        <x:v>743.287075533</x:v>
      </x:c>
      <x:c r="D107" s="11" t="n">
        <x:v>261164.45711665472</x:v>
      </x:c>
      <x:c r="E107" s="9" t="str">
        <x:v>Sharks (100.0000%)</x:v>
      </x:c>
      <x:c r="F107" s="9" t="str">
        <x:v>High</x:v>
      </x:c>
      <x:c r="G10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8" ht="64" customHeight="1">
      <x:c r="A108" s="2" t="str">
        <x:v>Dussumieria acuta</x:v>
      </x:c>
      <x:c r="B108" s="10" t="n">
        <x:v>3.4</x:v>
      </x:c>
      <x:c r="C108" s="11" t="n">
        <x:v>9132.107560206001</x:v>
      </x:c>
      <x:c r="D108" s="11" t="n">
        <x:v>254875.74523963899</x:v>
      </x:c>
      <x:c r="E108" s="9" t="str">
        <x:v>Clupeids (100.0000%)</x:v>
      </x:c>
      <x:c r="F108" s="9" t="str">
        <x:v>High</x:v>
      </x:c>
      <x:c r="G108" s="9" t="str">
        <x:v>Source explicitly lists Dussumieria acuta in Clupeids (CMFRI Bulletin 51 printed p. 12 / PDF p. 22; member 66). Single-group allocation adds no internal composition assumption. See Sources and Allocation evidence.</x:v>
      </x:c>
    </x:row>
    <x:row r="109" ht="64" customHeight="1">
      <x:c r="A109" s="2" t="str">
        <x:v>Parastromateus niger</x:v>
      </x:c>
      <x:c r="B109" s="10" t="n">
        <x:v>2.93</x:v>
      </x:c>
      <x:c r="C109" s="11" t="n">
        <x:v>26237.9368921452</x:v>
      </x:c>
      <x:c r="D109" s="11" t="n">
        <x:v>248134.5125873137</x:v>
      </x:c>
      <x:c r="E109" s="9" t="str">
        <x:v>Med Benthic Carnivores (100.0000%)</x:v>
      </x:c>
      <x:c r="F109" s="9" t="str">
        <x:v>High</x:v>
      </x:c>
      <x:c r="G109" s="9" t="str">
        <x:v>Source explicitly lists Formio niger in Med Benthic Carnivores (CMFRI Bulletin 51 printed p. 11 / PDF p. 21; member 39). WoRMS links the catch label to accepted name Parastromateus niger. Single-group allocation adds no internal composition assumption. See Sources and Allocation evidence.</x:v>
      </x:c>
    </x:row>
    <x:row r="110" ht="96" customHeight="1">
      <x:c r="A110" s="2" t="str">
        <x:v>Lates calcarifer</x:v>
      </x:c>
      <x:c r="B110" s="10" t="n">
        <x:v>4.35</x:v>
      </x:c>
      <x:c r="C110" s="11" t="n">
        <x:v>959.4194724293</x:v>
      </x:c>
      <x:c r="D110" s="11" t="n">
        <x:v>238652.5170757285</x:v>
      </x:c>
      <x:c r="E110" s="9" t="str">
        <x:v>Large Benthic Carnivores (100.0000%)</x:v>
      </x:c>
      <x:c r="F110" s="9" t="str">
        <x:v>Medium</x:v>
      </x:c>
      <x:c r="G110" s="9" t="str">
        <x:v>Analyst inference: demersal predatory lineage Lates,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11" ht="64" customHeight="1">
      <x:c r="A111" s="2" t="str">
        <x:v>Pristipomoides filamentosus</x:v>
      </x:c>
      <x:c r="B111" s="10" t="n">
        <x:v>4.19</x:v>
      </x:c>
      <x:c r="C111" s="11" t="n">
        <x:v>1353.2728457391</x:v>
      </x:c>
      <x:c r="D111" s="11" t="n">
        <x:v>232885.71926707853</x:v>
      </x:c>
      <x:c r="E111" s="9" t="str">
        <x:v>Large Benthic Carnivores (100.0000%)</x:v>
      </x:c>
      <x:c r="F111" s="9" t="str">
        <x:v>High</x:v>
      </x:c>
      <x:c r="G111" s="9" t="str">
        <x:v>Source explicitly lists Pristipomoides filamentosus in Large Benthic Carnivores (CMFRI Bulletin 51 printed p. 11 / PDF p. 21; member 30). Single-group allocation adds no internal composition assumption. See Sources and Allocation evidence.</x:v>
      </x:c>
    </x:row>
    <x:row r="112" ht="80" customHeight="1">
      <x:c r="A112" s="2" t="str">
        <x:v>Aetobatus narinari</x:v>
      </x:c>
      <x:c r="B112" s="10" t="n">
        <x:v>4.17</x:v>
      </x:c>
      <x:c r="C112" s="11" t="n">
        <x:v>1411.4952328988</x:v>
      </x:c>
      <x:c r="D112" s="11" t="n">
        <x:v>231972.71542667245</x:v>
      </x:c>
      <x:c r="E112" s="9" t="str">
        <x:v>Skates &amp; Rays (100.0000%)</x:v>
      </x:c>
      <x:c r="F112" s="9" t="str">
        <x:v>High</x:v>
      </x:c>
      <x:c r="G11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13" ht="80" customHeight="1">
      <x:c r="A113" s="2" t="str">
        <x:v>Argyrosomus japonicus</x:v>
      </x:c>
      <x:c r="B113" s="10" t="n">
        <x:v>4.48</x:v>
      </x:c>
      <x:c r="C113" s="11" t="n">
        <x:v>641.5707968702</x:v>
      </x:c>
      <x:c r="D113" s="11" t="n">
        <x:v>215279.2035297616</x:v>
      </x:c>
      <x:c r="E113" s="9" t="str">
        <x:v>Med Benthic Carnivores (100.0000%)</x:v>
      </x:c>
      <x:c r="F113" s="9" t="str">
        <x:v>Medium</x:v>
      </x:c>
      <x:c r="G113" s="9" t="str">
        <x:v>Taxonomy/catch ecology links Argyrosomus japonicus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4" ht="64" customHeight="1">
      <x:c r="A114" s="2" t="str">
        <x:v>Catostylus perezi</x:v>
      </x:c>
      <x:c r="B114" s="10" t="n">
        <x:v>3.46</x:v>
      </x:c>
      <x:c r="C114" s="11" t="n">
        <x:v>6462.5519781693</x:v>
      </x:c>
      <x:c r="D114" s="11" t="n">
        <x:v>207091.14995148254</x:v>
      </x:c>
      <x:c r="E114" s="9" t="str">
        <x:v>Micro Nekton (100.0000%)</x:v>
      </x:c>
      <x:c r="F114" s="9" t="str">
        <x:v>High</x:v>
      </x:c>
      <x:c r="G114" s="9" t="str">
        <x:v>The source explicitly places jellyfish in Micro Nekton. The taxon is a jellyfish; the misleading group name does not override source membership. Single-group allocation adds no internal composition assumption. See Sources and Allocation evidence.</x:v>
      </x:c>
    </x:row>
    <x:row r="115" ht="96" customHeight="1">
      <x:c r="A115" s="2" t="str">
        <x:v>Acanthopagrus bifasciatus</x:v>
      </x:c>
      <x:c r="B115" s="10" t="n">
        <x:v>3.39</x:v>
      </x:c>
      <x:c r="C115" s="11" t="n">
        <x:v>7539.414480810899</x:v>
      </x:c>
      <x:c r="D115" s="11" t="n">
        <x:v>205634.08827879268</x:v>
      </x:c>
      <x:c r="E115" s="9" t="str">
        <x:v>Med Benthic Carnivores (100.0000%)</x:v>
      </x:c>
      <x:c r="F115" s="9" t="str">
        <x:v>Medium</x:v>
      </x:c>
      <x:c r="G115" s="9" t="str">
        <x:v>Analyst ecological analogue: Acanthopagrus bifasciatus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16" ht="80" customHeight="1">
      <x:c r="A116" s="2" t="str">
        <x:v>Platycephalus indicus</x:v>
      </x:c>
      <x:c r="B116" s="10" t="n">
        <x:v>3.6</x:v>
      </x:c>
      <x:c r="C116" s="11" t="n">
        <x:v>4639.2364700763</x:v>
      </x:c>
      <x:c r="D116" s="11" t="n">
        <x:v>205212.58940340782</x:v>
      </x:c>
      <x:c r="E116" s="9" t="str">
        <x:v>Med Benthic Carnivores (100.0000%)</x:v>
      </x:c>
      <x:c r="F116" s="9" t="str">
        <x:v>Medium</x:v>
      </x:c>
      <x:c r="G116" s="9" t="str">
        <x:v>Taxonomy/catch ecology links Platycephalus indicus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7" ht="80" customHeight="1">
      <x:c r="A117" s="2" t="str">
        <x:v>Leiognathidae</x:v>
      </x:c>
      <x:c r="B117" s="10" t="n">
        <x:v>3.24</x:v>
      </x:c>
      <x:c r="C117" s="11" t="n">
        <x:v>10401.3162592493</x:v>
      </x:c>
      <x:c r="D117" s="11" t="n">
        <x:v>200837.95572675328</x:v>
      </x:c>
      <x:c r="E117" s="9" t="str">
        <x:v>Small Benthic Carnivores (100.0000%)</x:v>
      </x:c>
      <x:c r="F117" s="9" t="str">
        <x:v>Medium</x:v>
      </x:c>
      <x:c r="G117" s="9" t="str">
        <x:v>Taxonomy/catch ecology links Leiognathidae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18" ht="64" customHeight="1">
      <x:c r="A118" s="2" t="str">
        <x:v>Lutjanus argentimaculatus</x:v>
      </x:c>
      <x:c r="B118" s="10" t="n">
        <x:v>3.58</x:v>
      </x:c>
      <x:c r="C118" s="11" t="n">
        <x:v>4676.9197993163</x:v>
      </x:c>
      <x:c r="D118" s="11" t="n">
        <x:v>197568.36834908274</x:v>
      </x:c>
      <x:c r="E118" s="9" t="str">
        <x:v>Large Benthic Carnivores (100.0000%)</x:v>
      </x:c>
      <x:c r="F118" s="9" t="str">
        <x:v>High</x:v>
      </x:c>
      <x:c r="G118"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19" ht="80" customHeight="1">
      <x:c r="A119" s="2" t="str">
        <x:v>Isurus paucus</x:v>
      </x:c>
      <x:c r="B119" s="10" t="n">
        <x:v>4.51</x:v>
      </x:c>
      <x:c r="C119" s="11" t="n">
        <x:v>538.8742125694</x:v>
      </x:c>
      <x:c r="D119" s="11" t="n">
        <x:v>193751.41896711767</x:v>
      </x:c>
      <x:c r="E119" s="9" t="str">
        <x:v>Sharks (100.0000%)</x:v>
      </x:c>
      <x:c r="F119" s="9" t="str">
        <x:v>High</x:v>
      </x:c>
      <x:c r="G11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0" ht="96" customHeight="1">
      <x:c r="A120" s="2" t="str">
        <x:v>Muraenesocidae</x:v>
      </x:c>
      <x:c r="B120" s="10" t="n">
        <x:v>3.9</x:v>
      </x:c>
      <x:c r="C120" s="11" t="n">
        <x:v>2108.347943824</x:v>
      </x:c>
      <x:c r="D120" s="11" t="n">
        <x:v>186080.0333780318</x:v>
      </x:c>
      <x:c r="E120" s="9" t="str">
        <x:v>Large Benthic Carnivores (100.0000%)</x:v>
      </x:c>
      <x:c r="F120" s="9" t="str">
        <x:v>Medium</x:v>
      </x:c>
      <x:c r="G120" s="9" t="str">
        <x:v>Analyst inference: demersal predatory lineage Muraenesocidae,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21" ht="80" customHeight="1">
      <x:c r="A121" s="2" t="str">
        <x:v>Myliobatidae</x:v>
      </x:c>
      <x:c r="B121" s="10" t="n">
        <x:v>3.36</x:v>
      </x:c>
      <x:c r="C121" s="11" t="n">
        <x:v>6929.124112289601</x:v>
      </x:c>
      <x:c r="D121" s="11" t="n">
        <x:v>176374.51434286055</x:v>
      </x:c>
      <x:c r="E121" s="9" t="str">
        <x:v>Skates &amp; Rays (100.0000%)</x:v>
      </x:c>
      <x:c r="F121" s="9" t="str">
        <x:v>High</x:v>
      </x:c>
      <x:c r="G12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2" ht="64" customHeight="1">
      <x:c r="A122" s="2" t="str">
        <x:v>Terapon jarbua</x:v>
      </x:c>
      <x:c r="B122" s="10" t="n">
        <x:v>3.93</x:v>
      </x:c>
      <x:c r="C122" s="11" t="n">
        <x:v>1806.8973232282</x:v>
      </x:c>
      <x:c r="D122" s="11" t="n">
        <x:v>170879.89365839737</x:v>
      </x:c>
      <x:c r="E122" s="9" t="str">
        <x:v>Small Benthic Carnivores (100.0000%)</x:v>
      </x:c>
      <x:c r="F122" s="9" t="str">
        <x:v>High</x:v>
      </x:c>
      <x:c r="G122" s="9" t="str">
        <x:v>Source explicitly lists the genus Terapon sp. in Small Benthic Carnivores; the catch label lies within that genus. No numerical source-size cutoff is stated. Single-group allocation adds no internal composition assumption. See Sources and Allocation evidence.</x:v>
      </x:c>
    </x:row>
    <x:row r="123" ht="96" customHeight="1">
      <x:c r="A123" s="2" t="str">
        <x:v>Acanthocybium solandri</x:v>
      </x:c>
      <x:c r="B123" s="10" t="n">
        <x:v>4.26</x:v>
      </x:c>
      <x:c r="C123" s="11" t="n">
        <x:v>829.2442079950999</x:v>
      </x:c>
      <x:c r="D123" s="11" t="n">
        <x:v>167664.04414289317</x:v>
      </x:c>
      <x:c r="E123" s="9" t="str">
        <x:v>Large Pelagics (100.0000%)</x:v>
      </x:c>
      <x:c r="F123" s="9" t="str">
        <x:v>Medium</x:v>
      </x:c>
      <x:c r="G123" s="9" t="str">
        <x:v>Analyst ecological analogue: Acanthocybium solandri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24" ht="80" customHeight="1">
      <x:c r="A124" s="2" t="str">
        <x:v>Sphyrnidae</x:v>
      </x:c>
      <x:c r="B124" s="10" t="n">
        <x:v>4.19</x:v>
      </x:c>
      <x:c r="C124" s="11" t="n">
        <x:v>971.0586347338</x:v>
      </x:c>
      <x:c r="D124" s="11" t="n">
        <x:v>167110.1946015751</x:v>
      </x:c>
      <x:c r="E124" s="9" t="str">
        <x:v>Sharks (100.0000%)</x:v>
      </x:c>
      <x:c r="F124" s="9" t="str">
        <x:v>High</x:v>
      </x:c>
      <x:c r="G12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5" ht="80" customHeight="1">
      <x:c r="A125" s="2" t="str">
        <x:v>Alopias pelagicus</x:v>
      </x:c>
      <x:c r="B125" s="10" t="n">
        <x:v>4.5</x:v>
      </x:c>
      <x:c r="C125" s="11" t="n">
        <x:v>465.6052097463</x:v>
      </x:c>
      <x:c r="D125" s="11" t="n">
        <x:v>163596.9948043041</x:v>
      </x:c>
      <x:c r="E125" s="9" t="str">
        <x:v>Sharks (100.0000%)</x:v>
      </x:c>
      <x:c r="F125" s="9" t="str">
        <x:v>High</x:v>
      </x:c>
      <x:c r="G12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6" ht="64" customHeight="1">
      <x:c r="A126" s="2" t="str">
        <x:v>Pampus argenteus</x:v>
      </x:c>
      <x:c r="B126" s="10" t="n">
        <x:v>3.3</x:v>
      </x:c>
      <x:c r="C126" s="11" t="n">
        <x:v>7246.862524659699</x:v>
      </x:c>
      <x:c r="D126" s="11" t="n">
        <x:v>160659.9077468192</x:v>
      </x:c>
      <x:c r="E126" s="9" t="str">
        <x:v>Med Benthic Carnivores (100.0000%)</x:v>
      </x:c>
      <x:c r="F126" s="9" t="str">
        <x:v>High</x:v>
      </x:c>
      <x:c r="G126" s="9" t="str">
        <x:v>Source explicitly lists Pampus argenteus in Med Benthic Carnivores (CMFRI Bulletin 51 printed p. 11 / PDF p. 21; member 38). Single-group allocation adds no internal composition assumption. See Sources and Allocation evidence.</x:v>
      </x:c>
    </x:row>
    <x:row r="127" ht="96" customHeight="1">
      <x:c r="A127" s="2" t="str">
        <x:v>Haemulidae</x:v>
      </x:c>
      <x:c r="B127" s="10" t="n">
        <x:v>3.36</x:v>
      </x:c>
      <x:c r="C127" s="11" t="n">
        <x:v>6297.7689344062</x:v>
      </x:c>
      <x:c r="D127" s="11" t="n">
        <x:v>160303.94596041026</x:v>
      </x:c>
      <x:c r="E127" s="9" t="str">
        <x:v>Med Benthic Carnivores (100.0000%)</x:v>
      </x:c>
      <x:c r="F127" s="9" t="str">
        <x:v>Medium</x:v>
      </x:c>
      <x:c r="G127" s="9" t="str">
        <x:v>Analyst ecological analogue: Haemulidae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28" ht="112" customHeight="1">
      <x:c r="A128" s="2" t="str">
        <x:v>Gnathanodon speciosus</x:v>
      </x:c>
      <x:c r="B128" s="10" t="n">
        <x:v>3.84</x:v>
      </x:c>
      <x:c r="C128" s="11" t="n">
        <x:v>2052.2733153997</x:v>
      </x:c>
      <x:c r="D128" s="11" t="n">
        <x:v>157758.47115377765</x:v>
      </x:c>
      <x:c r="E128" s="9" t="str">
        <x:v>Large Benthopelagics (100.0000%)</x:v>
      </x:c>
      <x:c r="F128" s="9" t="str">
        <x:v>Low</x:v>
      </x:c>
      <x:c r="G12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29" ht="96" customHeight="1">
      <x:c r="A129" s="2" t="str">
        <x:v>Coryphaena</x:v>
      </x:c>
      <x:c r="B129" s="10" t="n">
        <x:v>4.49</x:v>
      </x:c>
      <x:c r="C129" s="11" t="n">
        <x:v>440.1315112303</x:v>
      </x:c>
      <x:c r="D129" s="11" t="n">
        <x:v>151126.26654003342</x:v>
      </x:c>
      <x:c r="E129" s="9" t="str">
        <x:v>Large Pelagics (100.0000%)</x:v>
      </x:c>
      <x:c r="F129" s="9" t="str">
        <x:v>Medium</x:v>
      </x:c>
      <x:c r="G129" s="9" t="str">
        <x:v>Analyst ecological analogue: Coryphaena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30" ht="80" customHeight="1">
      <x:c r="A130" s="2" t="str">
        <x:v>Pampus chinensis</x:v>
      </x:c>
      <x:c r="B130" s="10" t="n">
        <x:v>3.6</x:v>
      </x:c>
      <x:c r="C130" s="11" t="n">
        <x:v>3387.4003448364</x:v>
      </x:c>
      <x:c r="D130" s="11" t="n">
        <x:v>149838.70742386227</x:v>
      </x:c>
      <x:c r="E130" s="9" t="str">
        <x:v>Med Benthic Carnivores (100.0000%)</x:v>
      </x:c>
      <x:c r="F130" s="9" t="str">
        <x:v>Medium</x:v>
      </x:c>
      <x:c r="G130" s="9" t="str">
        <x:v>Taxonomy/catch ecology links Pampus chinensis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31" ht="80" customHeight="1">
      <x:c r="A131" s="2" t="str">
        <x:v>Bivalvia</x:v>
      </x:c>
      <x:c r="B131" s="10" t="n">
        <x:v>2.23</x:v>
      </x:c>
      <x:c r="C131" s="11" t="n">
        <x:v>78475.1744529008</x:v>
      </x:c>
      <x:c r="D131" s="11" t="n">
        <x:v>148077.74098940755</x:v>
      </x:c>
      <x:c r="E131" s="9" t="str">
        <x:v>Heterotrophic Benthos (100.0000%)</x:v>
      </x:c>
      <x:c r="F131" s="9" t="str">
        <x:v>High</x:v>
      </x:c>
      <x:c r="G13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2" ht="96" customHeight="1">
      <x:c r="A132" s="2" t="str">
        <x:v>Pomadasys</x:v>
      </x:c>
      <x:c r="B132" s="10" t="n">
        <x:v>3.59</x:v>
      </x:c>
      <x:c r="C132" s="11" t="n">
        <x:v>3395.1807591502</x:v>
      </x:c>
      <x:c r="D132" s="11" t="n">
        <x:v>146764.28785837567</x:v>
      </x:c>
      <x:c r="E132" s="9" t="str">
        <x:v>Med Benthic Carnivores (100.0000%)</x:v>
      </x:c>
      <x:c r="F132" s="9" t="str">
        <x:v>Medium</x:v>
      </x:c>
      <x:c r="G132" s="9" t="str">
        <x:v>Analyst ecological analogue: Pomadasys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33" ht="80" customHeight="1">
      <x:c r="A133" s="2" t="str">
        <x:v>Epinephelus tauvina</x:v>
      </x:c>
      <x:c r="B133" s="10" t="n">
        <x:v>4.13</x:v>
      </x:c>
      <x:c r="C133" s="11" t="n">
        <x:v>964.6619904442</x:v>
      </x:c>
      <x:c r="D133" s="11" t="n">
        <x:v>144588.13548402328</x:v>
      </x:c>
      <x:c r="E133" s="9" t="str">
        <x:v>Large Benthic Carnivores (100.0000%)</x:v>
      </x:c>
      <x:c r="F133" s="9" t="str">
        <x:v>Medium</x:v>
      </x:c>
      <x:c r="G133" s="9" t="str">
        <x:v>Taxonomy/catch ecology links Epinephelus tauvina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34" ht="64" customHeight="1">
      <x:c r="A134" s="2" t="str">
        <x:v>Sphyraena obtusata</x:v>
      </x:c>
      <x:c r="B134" s="10" t="n">
        <x:v>4.5</x:v>
      </x:c>
      <x:c r="C134" s="11" t="n">
        <x:v>347.2372084193</x:v>
      </x:c>
      <x:c r="D134" s="11" t="n">
        <x:v>122006.71855150929</x:v>
      </x:c>
      <x:c r="E134" s="9" t="str">
        <x:v>Large Pelagics (100.0000%)</x:v>
      </x:c>
      <x:c r="F134" s="9" t="str">
        <x:v>High</x:v>
      </x:c>
      <x:c r="G134" s="9" t="str">
        <x:v>Source explicitly lists Sphyraena obtusata in Large Pelagics (CMFRI Bulletin 51 printed p. 11 / PDF p. 21; member 14). Single-group allocation adds no internal composition assumption. See Sources and Allocation evidence.</x:v>
      </x:c>
    </x:row>
    <x:row r="135" ht="80" customHeight="1">
      <x:c r="A135" s="2" t="str">
        <x:v>Carcharhinus sorrah</x:v>
      </x:c>
      <x:c r="B135" s="10" t="n">
        <x:v>4.15</x:v>
      </x:c>
      <x:c r="C135" s="11" t="n">
        <x:v>773.1276115684</x:v>
      </x:c>
      <x:c r="D135" s="11" t="n">
        <x:v>121341.30868054251</x:v>
      </x:c>
      <x:c r="E135" s="9" t="str">
        <x:v>Sharks (100.0000%)</x:v>
      </x:c>
      <x:c r="F135" s="9" t="str">
        <x:v>High</x:v>
      </x:c>
      <x:c r="G13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6" ht="64" customHeight="1">
      <x:c r="A136" s="2" t="str">
        <x:v>Sphyraena jello</x:v>
      </x:c>
      <x:c r="B136" s="10" t="n">
        <x:v>4.5</x:v>
      </x:c>
      <x:c r="C136" s="11" t="n">
        <x:v>337.0802348671</x:v>
      </x:c>
      <x:c r="D136" s="11" t="n">
        <x:v>118437.92182272673</x:v>
      </x:c>
      <x:c r="E136" s="9" t="str">
        <x:v>Large Pelagics (100.0000%)</x:v>
      </x:c>
      <x:c r="F136" s="9" t="str">
        <x:v>High</x:v>
      </x:c>
      <x:c r="G136" s="9" t="str">
        <x:v>Source explicitly lists Sphyraena jello in Large Pelagics (CMFRI Bulletin 51 printed p. 11 / PDF p. 21; member 15). Single-group allocation adds no internal composition assumption. See Sources and Allocation evidence.</x:v>
      </x:c>
    </x:row>
    <x:row r="137" ht="80" customHeight="1">
      <x:c r="A137" s="2" t="str">
        <x:v>Carcharhinus melanopterus</x:v>
      </x:c>
      <x:c r="B137" s="10" t="n">
        <x:v>3.94</x:v>
      </x:c>
      <x:c r="C137" s="11" t="n">
        <x:v>1202.2918157525</x:v>
      </x:c>
      <x:c r="D137" s="11" t="n">
        <x:v>116350.26622473466</x:v>
      </x:c>
      <x:c r="E137" s="9" t="str">
        <x:v>Sharks (100.0000%)</x:v>
      </x:c>
      <x:c r="F137" s="9" t="str">
        <x:v>High</x:v>
      </x:c>
      <x:c r="G13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8" ht="80" customHeight="1">
      <x:c r="A138" s="2" t="str">
        <x:v>Chondrichthyes</x:v>
      </x:c>
      <x:c r="B138" s="10" t="n">
        <x:v>4</x:v>
      </x:c>
      <x:c r="C138" s="11" t="n">
        <x:v>1008.1900934465</x:v>
      </x:c>
      <x:c r="D138" s="11" t="n">
        <x:v>112021.12149405555</x:v>
      </x:c>
      <x:c r="E138" s="9" t="str">
        <x:v>Sharks (76.9231%); Skates &amp; Rays (23.0769%)</x:v>
      </x:c>
      <x:c r="F138" s="9" t="str">
        <x:v>Very low</x:v>
      </x:c>
      <x:c r="G138" s="9" t="str">
        <x:v>Sharks/rays fit two pools, but common metadata also includes chimaeras, absent from the source. Approximate the two elasmobranch pools rather than claim complete containment. Allocation uses published model catch proportions, assumed constant across regions, years and catch bases; whole-group quantities are a composition proxy. See Sources and Allocation evidence.</x:v>
      </x:c>
    </x:row>
    <x:row r="139" ht="80" customHeight="1">
      <x:c r="A139" s="2" t="str">
        <x:v>Sardinella sindensis</x:v>
      </x:c>
      <x:c r="B139" s="10" t="n">
        <x:v>2.9</x:v>
      </x:c>
      <x:c r="C139" s="11" t="n">
        <x:v>12457.3867776685</x:v>
      </x:c>
      <x:c r="D139" s="11" t="n">
        <x:v>109947.26720425583</x:v>
      </x:c>
      <x:c r="E139" s="9" t="str">
        <x:v>Clupeids (100.0000%)</x:v>
      </x:c>
      <x:c r="F139" s="9" t="str">
        <x:v>Medium</x:v>
      </x:c>
      <x:c r="G139" s="9" t="str">
        <x:v>Taxonomy/catch ecology links Sardinella sindensis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40" ht="112" customHeight="1">
      <x:c r="A140" s="2" t="str">
        <x:v>Caranx sexfasciatus</x:v>
      </x:c>
      <x:c r="B140" s="10" t="n">
        <x:v>4.5</x:v>
      </x:c>
      <x:c r="C140" s="11" t="n">
        <x:v>308.4211540672</x:v>
      </x:c>
      <x:c r="D140" s="11" t="n">
        <x:v>108368.14727000627</x:v>
      </x:c>
      <x:c r="E140" s="9" t="str">
        <x:v>Large Benthopelagics (100.0000%)</x:v>
      </x:c>
      <x:c r="F140" s="9" t="str">
        <x:v>Low</x:v>
      </x:c>
      <x:c r="G140"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41" ht="80" customHeight="1">
      <x:c r="A141" s="2" t="str">
        <x:v>Kajikia audax</x:v>
      </x:c>
      <x:c r="B141" s="10" t="n">
        <x:v>4.58</x:v>
      </x:c>
      <x:c r="C141" s="11" t="n">
        <x:v>241.0087796263</x:v>
      </x:c>
      <x:c r="D141" s="11" t="n">
        <x:v>101809.9804823091</x:v>
      </x:c>
      <x:c r="E141" s="9" t="str">
        <x:v>Large Pelagics (100.0000%)</x:v>
      </x:c>
      <x:c r="F141" s="9" t="str">
        <x:v>Medium</x:v>
      </x:c>
      <x:c r="G141"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42" ht="96" customHeight="1">
      <x:c r="A142" s="2" t="str">
        <x:v>Rhabdosargus haffara</x:v>
      </x:c>
      <x:c r="B142" s="10" t="n">
        <x:v>3.5</x:v>
      </x:c>
      <x:c r="C142" s="11" t="n">
        <x:v>2798.7202289907</x:v>
      </x:c>
      <x:c r="D142" s="11" t="n">
        <x:v>98337.00507998471</x:v>
      </x:c>
      <x:c r="E142" s="9" t="str">
        <x:v>Med Benthic Carnivores (100.0000%)</x:v>
      </x:c>
      <x:c r="F142" s="9" t="str">
        <x:v>Medium</x:v>
      </x:c>
      <x:c r="G142" s="9" t="str">
        <x:v>Analyst ecological analogue: Rhabdosargus haffara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43" ht="96" customHeight="1">
      <x:c r="A143" s="2" t="str">
        <x:v>Sarda orientalis</x:v>
      </x:c>
      <x:c r="B143" s="10" t="n">
        <x:v>4.21</x:v>
      </x:c>
      <x:c r="C143" s="11" t="n">
        <x:v>544.8239384108</x:v>
      </x:c>
      <x:c r="D143" s="11" t="n">
        <x:v>98177.88495527726</x:v>
      </x:c>
      <x:c r="E143" s="9" t="str">
        <x:v>Large Pelagics (100.0000%)</x:v>
      </x:c>
      <x:c r="F143" s="9" t="str">
        <x:v>Medium</x:v>
      </x:c>
      <x:c r="G143" s="9" t="str">
        <x:v>Analyst ecological analogue: Sarda orientalis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44" ht="80" customHeight="1">
      <x:c r="A144" s="2" t="str">
        <x:v>Chiloscyllium arabicum</x:v>
      </x:c>
      <x:c r="B144" s="10" t="n">
        <x:v>4.06</x:v>
      </x:c>
      <x:c r="C144" s="11" t="n">
        <x:v>760.9965256232</x:v>
      </x:c>
      <x:c r="D144" s="11" t="n">
        <x:v>97082.32409342464</x:v>
      </x:c>
      <x:c r="E144" s="9" t="str">
        <x:v>Sharks (100.0000%)</x:v>
      </x:c>
      <x:c r="F144" s="9" t="str">
        <x:v>High</x:v>
      </x:c>
      <x:c r="G14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45" ht="64" customHeight="1">
      <x:c r="A145" s="2" t="str">
        <x:v>Grammoplites suppositus</x:v>
      </x:c>
      <x:c r="B145" s="10" t="n">
        <x:v>3.84</x:v>
      </x:c>
      <x:c r="C145" s="11" t="n">
        <x:v>1258.6623290166</x:v>
      </x:c>
      <x:c r="D145" s="11" t="n">
        <x:v>96753.50901584934</x:v>
      </x:c>
      <x:c r="E145" s="9" t="str">
        <x:v>Med Benthic Carnivores (100.0000%)</x:v>
      </x:c>
      <x:c r="F145" s="9" t="str">
        <x:v>High</x:v>
      </x:c>
      <x:c r="G145" s="9" t="str">
        <x:v>Source explicitly lists Grammoplites suppositus in Med Benthic Carnivores (CMFRI Bulletin 51 printed p. 11 / PDF p. 21; member 37). Single-group allocation adds no internal composition assumption. See Sources and Allocation evidence.</x:v>
      </x:c>
    </x:row>
    <x:row r="146" ht="80" customHeight="1">
      <x:c r="A146" s="2" t="str">
        <x:v>Monacanthidae</x:v>
      </x:c>
      <x:c r="B146" s="10" t="n">
        <x:v>3</x:v>
      </x:c>
      <x:c r="C146" s="11" t="n">
        <x:v>8584.9128807466</x:v>
      </x:c>
      <x:c r="D146" s="11" t="n">
        <x:v>95387.92089718445</x:v>
      </x:c>
      <x:c r="E146" s="9" t="str">
        <x:v>Med Benthic Carnivores (100.0000%)</x:v>
      </x:c>
      <x:c r="F146" s="9" t="str">
        <x:v>Low</x:v>
      </x:c>
      <x:c r="G146"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147" ht="64" customHeight="1">
      <x:c r="A147" s="2" t="str">
        <x:v>Upeneus vittatus</x:v>
      </x:c>
      <x:c r="B147" s="10" t="n">
        <x:v>3.62</x:v>
      </x:c>
      <x:c r="C147" s="11" t="n">
        <x:v>2003.581349352</x:v>
      </x:c>
      <x:c r="D147" s="11" t="n">
        <x:v>92803.524648559</x:v>
      </x:c>
      <x:c r="E147" s="9" t="str">
        <x:v>Small Benthic Carnivores (100.0000%)</x:v>
      </x:c>
      <x:c r="F147" s="9" t="str">
        <x:v>High</x:v>
      </x:c>
      <x:c r="G147" s="9" t="str">
        <x:v>Source explicitly lists the genus Upeneus sp. in Small Benthic Carnivores; the catch label lies within that genus. No numerical source-size cutoff is stated. Single-group allocation adds no internal composition assumption. See Sources and Allocation evidence.</x:v>
      </x:c>
    </x:row>
    <x:row r="148" ht="80" customHeight="1">
      <x:c r="A148" s="2" t="str">
        <x:v>Thunnus alalunga</x:v>
      </x:c>
      <x:c r="B148" s="10" t="n">
        <x:v>4.3</x:v>
      </x:c>
      <x:c r="C148" s="11" t="n">
        <x:v>386.9004641675</x:v>
      </x:c>
      <x:c r="D148" s="11" t="n">
        <x:v>85774.21286637554</x:v>
      </x:c>
      <x:c r="E148" s="9" t="str">
        <x:v>Tunas (100.0000%)</x:v>
      </x:c>
      <x:c r="F148" s="9" t="str">
        <x:v>Medium</x:v>
      </x:c>
      <x:c r="G148" s="9" t="str">
        <x:v>Taxonomy/catch ecology links Thunnus alalunga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149" ht="96" customHeight="1">
      <x:c r="A149" s="2" t="str">
        <x:v>Mugilidae</x:v>
      </x:c>
      <x:c r="B149" s="10" t="n">
        <x:v>2.53</x:v>
      </x:c>
      <x:c r="C149" s="11" t="n">
        <x:v>22075.5779914634</x:v>
      </x:c>
      <x:c r="D149" s="11" t="n">
        <x:v>83113.1177311396</x:v>
      </x:c>
      <x:c r="E149" s="9" t="str">
        <x:v>Benthic Omnivores (100.0000%)</x:v>
      </x:c>
      <x:c r="F149" s="9" t="str">
        <x:v>Low</x:v>
      </x:c>
      <x:c r="G149" s="9" t="str">
        <x:v>Analyst ecological analogue: Mugilidae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50" ht="64" customHeight="1">
      <x:c r="A150" s="2" t="str">
        <x:v>Decapterus russelli</x:v>
      </x:c>
      <x:c r="B150" s="10" t="n">
        <x:v>3.68</x:v>
      </x:c>
      <x:c r="C150" s="11" t="n">
        <x:v>1513.8665326561</x:v>
      </x:c>
      <x:c r="D150" s="11" t="n">
        <x:v>80509.11980992687</x:v>
      </x:c>
      <x:c r="E150" s="9" t="str">
        <x:v>Small Benthopelagics (100.0000%)</x:v>
      </x:c>
      <x:c r="F150" s="9" t="str">
        <x:v>High</x:v>
      </x:c>
      <x:c r="G150" s="9" t="str">
        <x:v>Source explicitly lists Decapterus russelli in Small Benthopelagics (CMFRI Bulletin 51 printed p. 12 / PDF p. 22; member 56). Single-group allocation adds no internal composition assumption. See Sources and Allocation evidence.</x:v>
      </x:c>
    </x:row>
    <x:row r="151" ht="96" customHeight="1">
      <x:c r="A151" s="2" t="str">
        <x:v>Plectropomus areolatus</x:v>
      </x:c>
      <x:c r="B151" s="10" t="n">
        <x:v>4.5</x:v>
      </x:c>
      <x:c r="C151" s="11" t="n">
        <x:v>224.4842219874</x:v>
      </x:c>
      <x:c r="D151" s="11" t="n">
        <x:v>78875.71558344824</x:v>
      </x:c>
      <x:c r="E151" s="9" t="str">
        <x:v>Large Benthic Carnivores (100.0000%)</x:v>
      </x:c>
      <x:c r="F151" s="9" t="str">
        <x:v>Medium</x:v>
      </x:c>
      <x:c r="G151" s="9" t="str">
        <x:v>Taxonomy/catch ecology links Plectropomus areolatus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52" ht="80" customHeight="1">
      <x:c r="A152" s="2" t="str">
        <x:v>Dendrobranchiata</x:v>
      </x:c>
      <x:c r="B152" s="10" t="n">
        <x:v>3.24</x:v>
      </x:c>
      <x:c r="C152" s="11" t="n">
        <x:v>4051.9818168504</x:v>
      </x:c>
      <x:c r="D152" s="11" t="n">
        <x:v>78239.30399333364</x:v>
      </x:c>
      <x:c r="E152" s="9" t="str">
        <x:v>Shrimps (100.0000%)</x:v>
      </x:c>
      <x:c r="F152" s="9" t="str">
        <x:v>High</x:v>
      </x:c>
      <x:c r="G15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3" ht="80" customHeight="1">
      <x:c r="A153" s="2" t="str">
        <x:v>Anodontostoma chacunda</x:v>
      </x:c>
      <x:c r="B153" s="10" t="n">
        <x:v>2.84</x:v>
      </x:c>
      <x:c r="C153" s="11" t="n">
        <x:v>10024.2634246497</x:v>
      </x:c>
      <x:c r="D153" s="11" t="n">
        <x:v>77056.6210869176</x:v>
      </x:c>
      <x:c r="E153" s="9" t="str">
        <x:v>Clupeids (100.0000%)</x:v>
      </x:c>
      <x:c r="F153" s="9" t="str">
        <x:v>Medium</x:v>
      </x:c>
      <x:c r="G153" s="9" t="str">
        <x:v>Taxonomy/catch ecology links Anodontostoma chacunda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54" ht="64" customHeight="1">
      <x:c r="A154" s="2" t="str">
        <x:v>Sardinella gibbosa</x:v>
      </x:c>
      <x:c r="B154" s="10" t="n">
        <x:v>2.85</x:v>
      </x:c>
      <x:c r="C154" s="11" t="n">
        <x:v>9709.014710108</x:v>
      </x:c>
      <x:c r="D154" s="11" t="n">
        <x:v>76371.7337171616</x:v>
      </x:c>
      <x:c r="E154" s="9" t="str">
        <x:v>Clupeids (100.0000%)</x:v>
      </x:c>
      <x:c r="F154" s="9" t="str">
        <x:v>High</x:v>
      </x:c>
      <x:c r="G154" s="9" t="str">
        <x:v>Source explicitly lists Sardinella gibbosa in Clupeids (CMFRI Bulletin 51 printed p. 12 / PDF p. 22; member 64). Single-group allocation adds no internal composition assumption. See Sources and Allocation evidence.</x:v>
      </x:c>
    </x:row>
    <x:row r="155" ht="80" customHeight="1">
      <x:c r="A155" s="2" t="str">
        <x:v>Epinephelus polylepis</x:v>
      </x:c>
      <x:c r="B155" s="10" t="n">
        <x:v>3.8</x:v>
      </x:c>
      <x:c r="C155" s="11" t="n">
        <x:v>1031.4214949557</x:v>
      </x:c>
      <x:c r="D155" s="11" t="n">
        <x:v>72309.21861078213</x:v>
      </x:c>
      <x:c r="E155" s="9" t="str">
        <x:v>Large Benthic Carnivores (100.0000%)</x:v>
      </x:c>
      <x:c r="F155" s="9" t="str">
        <x:v>Medium</x:v>
      </x:c>
      <x:c r="G155" s="9" t="str">
        <x:v>Taxonomy/catch ecology links Epinephelus polylepis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56" ht="64" customHeight="1">
      <x:c r="A156" s="2" t="str">
        <x:v>Carcharhinus limbatus</x:v>
      </x:c>
      <x:c r="B156" s="10" t="n">
        <x:v>4.37</x:v>
      </x:c>
      <x:c r="C156" s="11" t="n">
        <x:v>266.8573186327</x:v>
      </x:c>
      <x:c r="D156" s="11" t="n">
        <x:v>69508.29065753173</x:v>
      </x:c>
      <x:c r="E156" s="9" t="str">
        <x:v>Sharks (100.0000%)</x:v>
      </x:c>
      <x:c r="F156" s="9" t="str">
        <x:v>High</x:v>
      </x:c>
      <x:c r="G156" s="9" t="str">
        <x:v>Source explicitly lists Carcharinus limbatus in Sharks (CMFRI Bulletin 51 printed p. 11 / PDF p. 21; member 5). WoRMS links the catch label to accepted name Carcharhinus limbatus. Single-group allocation adds no internal composition assumption. See Sources and Allocation evidence.</x:v>
      </x:c>
    </x:row>
    <x:row r="157" ht="80" customHeight="1">
      <x:c r="A157" s="2" t="str">
        <x:v>Carcharhinus amblyrhynchos</x:v>
      </x:c>
      <x:c r="B157" s="10" t="n">
        <x:v>4.11</x:v>
      </x:c>
      <x:c r="C157" s="11" t="n">
        <x:v>461.3120511759</x:v>
      </x:c>
      <x:c r="D157" s="11" t="n">
        <x:v>66031.67145755485</x:v>
      </x:c>
      <x:c r="E157" s="9" t="str">
        <x:v>Sharks (100.0000%)</x:v>
      </x:c>
      <x:c r="F157" s="9" t="str">
        <x:v>High</x:v>
      </x:c>
      <x:c r="G15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8" ht="112" customHeight="1">
      <x:c r="A158" s="2" t="str">
        <x:v>Turrum fulvoguttatum</x:v>
      </x:c>
      <x:c r="B158" s="10" t="n">
        <x:v>4.43</x:v>
      </x:c>
      <x:c r="C158" s="11" t="n">
        <x:v>218.7360422291</x:v>
      </x:c>
      <x:c r="D158" s="11" t="n">
        <x:v>65415.07450364999</x:v>
      </x:c>
      <x:c r="E158" s="9" t="str">
        <x:v>Large Benthopelagics (100.0000%)</x:v>
      </x:c>
      <x:c r="F158" s="9" t="str">
        <x:v>Low</x:v>
      </x:c>
      <x:c r="G15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59" ht="80" customHeight="1">
      <x:c r="A159" s="2" t="str">
        <x:v>Selar crumenophthalmus</x:v>
      </x:c>
      <x:c r="B159" s="10" t="n">
        <x:v>3.81</x:v>
      </x:c>
      <x:c r="C159" s="11" t="n">
        <x:v>886.6881088721001</x:v>
      </x:c>
      <x:c r="D159" s="11" t="n">
        <x:v>63610.43636977917</x:v>
      </x:c>
      <x:c r="E159" s="9" t="str">
        <x:v>Small Benthopelagics (100.0000%)</x:v>
      </x:c>
      <x:c r="F159" s="9" t="str">
        <x:v>Medium</x:v>
      </x:c>
      <x:c r="G159" s="9" t="str">
        <x:v>Taxonomy/catch ecology links Selar crumenophthalmus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60" ht="64" customHeight="1">
      <x:c r="A160" s="2" t="str">
        <x:v>Cephea</x:v>
      </x:c>
      <x:c r="B160" s="10" t="n">
        <x:v>3.46</x:v>
      </x:c>
      <x:c r="C160" s="11" t="n">
        <x:v>1971.0150273634</x:v>
      </x:c>
      <x:c r="D160" s="11" t="n">
        <x:v>63160.77146724438</x:v>
      </x:c>
      <x:c r="E160" s="9" t="str">
        <x:v>Micro Nekton (100.0000%)</x:v>
      </x:c>
      <x:c r="F160" s="9" t="str">
        <x:v>High</x:v>
      </x:c>
      <x:c r="G160" s="9" t="str">
        <x:v>The source explicitly places jellyfish in Micro Nekton. The taxon is a jellyfish; the misleading group name does not override source membership. Single-group allocation adds no internal composition assumption. See Sources and Allocation evidence.</x:v>
      </x:c>
    </x:row>
    <x:row r="161" ht="80" customHeight="1">
      <x:c r="A161" s="2" t="str">
        <x:v>Scomberomorus</x:v>
      </x:c>
      <x:c r="B161" s="10" t="n">
        <x:v>4.35</x:v>
      </x:c>
      <x:c r="C161" s="11" t="n">
        <x:v>245.9420494796</x:v>
      </x:c>
      <x:c r="D161" s="11" t="n">
        <x:v>61177.29611475563</x:v>
      </x:c>
      <x:c r="E161" s="9" t="str">
        <x:v>Large Pelagics (100.0000%)</x:v>
      </x:c>
      <x:c r="F161" s="9" t="str">
        <x:v>Medium</x:v>
      </x:c>
      <x:c r="G161" s="9" t="str">
        <x:v>Taxonomy/catch ecology links Scomberomorus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162" ht="80" customHeight="1">
      <x:c r="A162" s="2" t="str">
        <x:v>Rhinobatidae</x:v>
      </x:c>
      <x:c r="B162" s="10" t="n">
        <x:v>3.7</x:v>
      </x:c>
      <x:c r="C162" s="11" t="n">
        <x:v>1076.2764648199</x:v>
      </x:c>
      <x:c r="D162" s="11" t="n">
        <x:v>59935.113780136235</x:v>
      </x:c>
      <x:c r="E162" s="9" t="str">
        <x:v>Skates &amp; Rays (100.0000%)</x:v>
      </x:c>
      <x:c r="F162" s="9" t="str">
        <x:v>High</x:v>
      </x:c>
      <x:c r="G16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63" ht="96" customHeight="1">
      <x:c r="A163" s="2" t="str">
        <x:v>Plectorhinchus</x:v>
      </x:c>
      <x:c r="B163" s="10" t="n">
        <x:v>3.43</x:v>
      </x:c>
      <x:c r="C163" s="11" t="n">
        <x:v>2001.7966682487</x:v>
      </x:c>
      <x:c r="D163" s="11" t="n">
        <x:v>59865.61558862578</x:v>
      </x:c>
      <x:c r="E163" s="9" t="str">
        <x:v>Med Benthic Carnivores (100.0000%)</x:v>
      </x:c>
      <x:c r="F163" s="9" t="str">
        <x:v>Medium</x:v>
      </x:c>
      <x:c r="G163" s="9" t="str">
        <x:v>Analyst ecological analogue: Plectorhinchus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64" ht="80" customHeight="1">
      <x:c r="A164" s="2" t="str">
        <x:v>Xiphiidae</x:v>
      </x:c>
      <x:c r="B164" s="10" t="n">
        <x:v>4.5</x:v>
      </x:c>
      <x:c r="C164" s="11" t="n">
        <x:v>169.6466487985</x:v>
      </x:c>
      <x:c r="D164" s="11" t="n">
        <x:v>59607.75640199192</x:v>
      </x:c>
      <x:c r="E164" s="9" t="str">
        <x:v>Large Pelagics (100.0000%)</x:v>
      </x:c>
      <x:c r="F164" s="9" t="str">
        <x:v>Medium</x:v>
      </x:c>
      <x:c r="G16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65" ht="80" customHeight="1">
      <x:c r="A165" s="2" t="str">
        <x:v>Aprion virescens</x:v>
      </x:c>
      <x:c r="B165" s="10" t="n">
        <x:v>4.28</x:v>
      </x:c>
      <x:c r="C165" s="11" t="n">
        <x:v>278.8883279835</x:v>
      </x:c>
      <x:c r="D165" s="11" t="n">
        <x:v>59045.639296778856</x:v>
      </x:c>
      <x:c r="E165" s="9" t="str">
        <x:v>Large Benthic Carnivores (100.0000%)</x:v>
      </x:c>
      <x:c r="F165" s="9" t="str">
        <x:v>Medium</x:v>
      </x:c>
      <x:c r="G165" s="9" t="str">
        <x:v>Taxonomy/catch ecology links Aprion virescens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6" ht="80" customHeight="1">
      <x:c r="A166" s="2" t="str">
        <x:v>Variola louti</x:v>
      </x:c>
      <x:c r="B166" s="10" t="n">
        <x:v>4.33</x:v>
      </x:c>
      <x:c r="C166" s="11" t="n">
        <x:v>247.3096787445</x:v>
      </x:c>
      <x:c r="D166" s="11" t="n">
        <x:v>58748.74639141302</x:v>
      </x:c>
      <x:c r="E166" s="9" t="str">
        <x:v>Large Benthic Carnivores (100.0000%)</x:v>
      </x:c>
      <x:c r="F166" s="9" t="str">
        <x:v>Medium</x:v>
      </x:c>
      <x:c r="G166" s="9" t="str">
        <x:v>Taxonomy/catch ecology links Variola louti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7" ht="112" customHeight="1">
      <x:c r="A167" s="2" t="str">
        <x:v>Alectis ciliaris</x:v>
      </x:c>
      <x:c r="B167" s="10" t="n">
        <x:v>3.95</x:v>
      </x:c>
      <x:c r="C167" s="11" t="n">
        <x:v>580.5001742813</x:v>
      </x:c>
      <x:c r="D167" s="11" t="n">
        <x:v>57485.702768334624</x:v>
      </x:c>
      <x:c r="E167" s="9" t="str">
        <x:v>Large Benthopelagics (100.0000%)</x:v>
      </x:c>
      <x:c r="F167" s="9" t="str">
        <x:v>Low</x:v>
      </x:c>
      <x:c r="G167"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68" ht="96" customHeight="1">
      <x:c r="A168" s="2" t="str">
        <x:v>Lethrinus olivaceus</x:v>
      </x:c>
      <x:c r="B168" s="10" t="n">
        <x:v>3.95</x:v>
      </x:c>
      <x:c r="C168" s="11" t="n">
        <x:v>566.9437473966</x:v>
      </x:c>
      <x:c r="D168" s="11" t="n">
        <x:v>56143.238526253466</x:v>
      </x:c>
      <x:c r="E168" s="9" t="str">
        <x:v>Med Benthic Carnivores (100.0000%)</x:v>
      </x:c>
      <x:c r="F168" s="9" t="str">
        <x:v>Medium</x:v>
      </x:c>
      <x:c r="G168" s="9" t="str">
        <x:v>Analyst ecological analogue: Lethrinus olivaceus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69" ht="96" customHeight="1">
      <x:c r="A169" s="2" t="str">
        <x:v>Sillago sihama</x:v>
      </x:c>
      <x:c r="B169" s="10" t="n">
        <x:v>3.33</x:v>
      </x:c>
      <x:c r="C169" s="11" t="n">
        <x:v>2337.1472865438</x:v>
      </x:c>
      <x:c r="D169" s="11" t="n">
        <x:v>55519.24773570727</x:v>
      </x:c>
      <x:c r="E169" s="9" t="str">
        <x:v>Small Benthic Carnivores (100.0000%)</x:v>
      </x:c>
      <x:c r="F169" s="9" t="str">
        <x:v>Medium</x:v>
      </x:c>
      <x:c r="G169" s="9" t="str">
        <x:v>Analyst ecological analogue: Sillago sihama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0" ht="96" customHeight="1">
      <x:c r="A170" s="2" t="str">
        <x:v>Sparidentex hasta</x:v>
      </x:c>
      <x:c r="B170" s="10" t="n">
        <x:v>3.38</x:v>
      </x:c>
      <x:c r="C170" s="11" t="n">
        <x:v>1998.6201842592</x:v>
      </x:c>
      <x:c r="D170" s="11" t="n">
        <x:v>53270.62100686409</x:v>
      </x:c>
      <x:c r="E170" s="9" t="str">
        <x:v>Med Benthic Carnivores (100.0000%)</x:v>
      </x:c>
      <x:c r="F170" s="9" t="str">
        <x:v>Medium</x:v>
      </x:c>
      <x:c r="G170" s="9" t="str">
        <x:v>Analyst ecological analogue: Sparidentex hasta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1" ht="80" customHeight="1">
      <x:c r="A171" s="2" t="str">
        <x:v>Epinephelus areolatus</x:v>
      </x:c>
      <x:c r="B171" s="10" t="n">
        <x:v>3.74</x:v>
      </x:c>
      <x:c r="C171" s="11" t="n">
        <x:v>863.1735503841</x:v>
      </x:c>
      <x:c r="D171" s="11" t="n">
        <x:v>52705.460796540756</x:v>
      </x:c>
      <x:c r="E171" s="9" t="str">
        <x:v>Large Benthic Carnivores (100.0000%)</x:v>
      </x:c>
      <x:c r="F171" s="9" t="str">
        <x:v>Medium</x:v>
      </x:c>
      <x:c r="G171" s="9" t="str">
        <x:v>Taxonomy/catch ecology links Epinephelus areolatus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2" ht="64" customHeight="1">
      <x:c r="A172" s="2" t="str">
        <x:v>Glaucostegus granulatus</x:v>
      </x:c>
      <x:c r="B172" s="10" t="n">
        <x:v>3.5</x:v>
      </x:c>
      <x:c r="C172" s="11" t="n">
        <x:v>1492.370690756</x:v>
      </x:c>
      <x:c r="D172" s="11" t="n">
        <x:v>52436.561067419476</x:v>
      </x:c>
      <x:c r="E172" s="9" t="str">
        <x:v>Skates &amp; Rays (100.0000%)</x:v>
      </x:c>
      <x:c r="F172" s="9" t="str">
        <x:v>High</x:v>
      </x:c>
      <x:c r="G172" s="9" t="str">
        <x:v>Source explicitly lists Rhinobatos granulatus in Skates &amp; Rays (CMFRI Bulletin 51 printed p. 11 / PDF p. 21; member 8). WoRMS links the catch label to accepted name Glaucostegus granulatus. Single-group allocation adds no internal composition assumption. See Sources and Allocation evidence.</x:v>
      </x:c>
    </x:row>
    <x:row r="173" ht="64" customHeight="1">
      <x:c r="A173" s="2" t="str">
        <x:v>Scyphozoa</x:v>
      </x:c>
      <x:c r="B173" s="10" t="n">
        <x:v>3.46</x:v>
      </x:c>
      <x:c r="C173" s="11" t="n">
        <x:v>1609.5114857666</x:v>
      </x:c>
      <x:c r="D173" s="11" t="n">
        <x:v>51576.46477327761</x:v>
      </x:c>
      <x:c r="E173" s="9" t="str">
        <x:v>Micro Nekton (100.0000%)</x:v>
      </x:c>
      <x:c r="F173" s="9" t="str">
        <x:v>High</x:v>
      </x:c>
      <x:c r="G173" s="9" t="str">
        <x:v>The source explicitly places jellyfish in Micro Nekton. The taxon is a jellyfish; the misleading group name does not override source membership. Single-group allocation adds no internal composition assumption. See Sources and Allocation evidence.</x:v>
      </x:c>
    </x:row>
    <x:row r="174" ht="80" customHeight="1">
      <x:c r="A174" s="2" t="str">
        <x:v>Nematalosa nasus</x:v>
      </x:c>
      <x:c r="B174" s="10" t="n">
        <x:v>2.67</x:v>
      </x:c>
      <x:c r="C174" s="11" t="n">
        <x:v>9921.0855099612</x:v>
      </x:c>
      <x:c r="D174" s="11" t="n">
        <x:v>51560.44814137861</x:v>
      </x:c>
      <x:c r="E174" s="9" t="str">
        <x:v>Clupeids (100.0000%)</x:v>
      </x:c>
      <x:c r="F174" s="9" t="str">
        <x:v>Medium</x:v>
      </x:c>
      <x:c r="G174" s="9" t="str">
        <x:v>Taxonomy/catch ecology links Nematalosa nasus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5" ht="64" customHeight="1">
      <x:c r="A175" s="2" t="str">
        <x:v>Lutjanus bohar</x:v>
      </x:c>
      <x:c r="B175" s="10" t="n">
        <x:v>4.27</x:v>
      </x:c>
      <x:c r="C175" s="11" t="n">
        <x:v>238.0492373376</x:v>
      </x:c>
      <x:c r="D175" s="11" t="n">
        <x:v>49252.04697097229</x:v>
      </x:c>
      <x:c r="E175" s="9" t="str">
        <x:v>Large Benthic Carnivores (100.0000%)</x:v>
      </x:c>
      <x:c r="F175" s="9" t="str">
        <x:v>High</x:v>
      </x:c>
      <x:c r="G17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76" ht="80" customHeight="1">
      <x:c r="A176" s="2" t="str">
        <x:v>Sardinella albella</x:v>
      </x:c>
      <x:c r="B176" s="10" t="n">
        <x:v>2.68</x:v>
      </x:c>
      <x:c r="C176" s="11" t="n">
        <x:v>9104.8444447795</x:v>
      </x:c>
      <x:c r="D176" s="11" t="n">
        <x:v>48420.583746534154</x:v>
      </x:c>
      <x:c r="E176" s="9" t="str">
        <x:v>Clupeids (100.0000%)</x:v>
      </x:c>
      <x:c r="F176" s="9" t="str">
        <x:v>Medium</x:v>
      </x:c>
      <x:c r="G176" s="9" t="str">
        <x:v>Taxonomy/catch ecology links Sardinella albella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7" ht="96" customHeight="1">
      <x:c r="A177" s="2" t="str">
        <x:v>Drepane punctata</x:v>
      </x:c>
      <x:c r="B177" s="10" t="n">
        <x:v>3.32</x:v>
      </x:c>
      <x:c r="C177" s="11" t="n">
        <x:v>2023.9569672398</x:v>
      </x:c>
      <x:c r="D177" s="11" t="n">
        <x:v>46984.94956299099</x:v>
      </x:c>
      <x:c r="E177" s="9" t="str">
        <x:v>Med Benthic Carnivores (100.0000%)</x:v>
      </x:c>
      <x:c r="F177" s="9" t="str">
        <x:v>Medium</x:v>
      </x:c>
      <x:c r="G177" s="9" t="str">
        <x:v>Analyst ecological analogue: Drepane punctata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78" ht="80" customHeight="1">
      <x:c r="A178" s="2" t="str">
        <x:v>Epinephelus chlorostigma</x:v>
      </x:c>
      <x:c r="B178" s="10" t="n">
        <x:v>3.99</x:v>
      </x:c>
      <x:c r="C178" s="11" t="n">
        <x:v>420.5194554911</x:v>
      </x:c>
      <x:c r="D178" s="11" t="n">
        <x:v>45660.807115774835</x:v>
      </x:c>
      <x:c r="E178" s="9" t="str">
        <x:v>Large Benthic Carnivores (100.0000%)</x:v>
      </x:c>
      <x:c r="F178" s="9" t="str">
        <x:v>Medium</x:v>
      </x:c>
      <x:c r="G178" s="9" t="str">
        <x:v>Taxonomy/catch ecology links Epinephelus chlorostigma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9" ht="80" customHeight="1">
      <x:c r="A179" s="2" t="str">
        <x:v>Equulites klunzingeri</x:v>
      </x:c>
      <x:c r="B179" s="10" t="n">
        <x:v>3.5</x:v>
      </x:c>
      <x:c r="C179" s="11" t="n">
        <x:v>1225.1280950144</x:v>
      </x:c>
      <x:c r="D179" s="11" t="n">
        <x:v>43046.61339676313</x:v>
      </x:c>
      <x:c r="E179" s="9" t="str">
        <x:v>Small Benthic Carnivores (100.0000%)</x:v>
      </x:c>
      <x:c r="F179" s="9" t="str">
        <x:v>Medium</x:v>
      </x:c>
      <x:c r="G179" s="9" t="str">
        <x:v>Taxonomy/catch ecology links Equulites klunzingeri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80" ht="64" customHeight="1">
      <x:c r="A180" s="2" t="str">
        <x:v>Epinephelus diacanthus</x:v>
      </x:c>
      <x:c r="B180" s="10" t="n">
        <x:v>3.8</x:v>
      </x:c>
      <x:c r="C180" s="11" t="n">
        <x:v>611.4399599559999</x:v>
      </x:c>
      <x:c r="D180" s="11" t="n">
        <x:v>42865.83704921258</x:v>
      </x:c>
      <x:c r="E180" s="9" t="str">
        <x:v>Large Benthic Carnivores (100.0000%)</x:v>
      </x:c>
      <x:c r="F180" s="9" t="str">
        <x:v>High</x:v>
      </x:c>
      <x:c r="G180" s="9" t="str">
        <x:v>Source explicitly lists Epinephelus diacanthus in Large Benthic Carnivores (CMFRI Bulletin 51 printed p. 11 / PDF p. 21; member 29). Single-group allocation adds no internal composition assumption. See Sources and Allocation evidence.</x:v>
      </x:c>
    </x:row>
    <x:row r="181" ht="80" customHeight="1">
      <x:c r="A181" s="2" t="str">
        <x:v>Carcharhinus dussumieri</x:v>
      </x:c>
      <x:c r="B181" s="10" t="n">
        <x:v>3.9</x:v>
      </x:c>
      <x:c r="C181" s="11" t="n">
        <x:v>478.1128567108</x:v>
      </x:c>
      <x:c r="D181" s="11" t="n">
        <x:v>42197.615718896996</x:v>
      </x:c>
      <x:c r="E181" s="9" t="str">
        <x:v>Sharks (100.0000%)</x:v>
      </x:c>
      <x:c r="F181" s="9" t="str">
        <x:v>High</x:v>
      </x:c>
      <x:c r="G18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2" ht="96" customHeight="1">
      <x:c r="A182" s="2" t="str">
        <x:v>Plectropomus pessuliferus</x:v>
      </x:c>
      <x:c r="B182" s="10" t="n">
        <x:v>4.28</x:v>
      </x:c>
      <x:c r="C182" s="11" t="n">
        <x:v>197.2215659769</x:v>
      </x:c>
      <x:c r="D182" s="11" t="n">
        <x:v>41755.327411575556</x:v>
      </x:c>
      <x:c r="E182" s="9" t="str">
        <x:v>Large Benthic Carnivores (100.0000%)</x:v>
      </x:c>
      <x:c r="F182" s="9" t="str">
        <x:v>Medium</x:v>
      </x:c>
      <x:c r="G182" s="9" t="str">
        <x:v>Taxonomy/catch ecology links Plectropomus pessuliferus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3" ht="96" customHeight="1">
      <x:c r="A183" s="2" t="str">
        <x:v>Rhabdosargus sarba</x:v>
      </x:c>
      <x:c r="B183" s="10" t="n">
        <x:v>3.37</x:v>
      </x:c>
      <x:c r="C183" s="11" t="n">
        <x:v>1557.243562944</x:v>
      </x:c>
      <x:c r="D183" s="11" t="n">
        <x:v>40561.50258583099</x:v>
      </x:c>
      <x:c r="E183" s="9" t="str">
        <x:v>Med Benthic Carnivores (100.0000%)</x:v>
      </x:c>
      <x:c r="F183" s="9" t="str">
        <x:v>Medium</x:v>
      </x:c>
      <x:c r="G183" s="9" t="str">
        <x:v>Analyst ecological analogue: Rhabdosargus sarba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84" ht="128" customHeight="1">
      <x:c r="A184" s="2" t="str">
        <x:v>Platycaranx malabaricus</x:v>
      </x:c>
      <x:c r="B184" s="10" t="n">
        <x:v>3.88</x:v>
      </x:c>
      <x:c r="C184" s="11" t="n">
        <x:v>474.0952417614</x:v>
      </x:c>
      <x:c r="D184" s="11" t="n">
        <x:v>39959.779869804144</x:v>
      </x:c>
      <x:c r="E184" s="9" t="str">
        <x:v>Small Benthopelagics (100.0000%)</x:v>
      </x:c>
      <x:c r="F184" s="9" t="str">
        <x:v>Low</x:v>
      </x:c>
      <x:c r="G18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85" ht="80" customHeight="1">
      <x:c r="A185" s="2" t="str">
        <x:v>Isurus</x:v>
      </x:c>
      <x:c r="B185" s="10" t="n">
        <x:v>4.5</x:v>
      </x:c>
      <x:c r="C185" s="11" t="n">
        <x:v>111.262020275</x:v>
      </x:c>
      <x:c r="D185" s="11" t="n">
        <x:v>39093.48901564819</x:v>
      </x:c>
      <x:c r="E185" s="9" t="str">
        <x:v>Sharks (100.0000%)</x:v>
      </x:c>
      <x:c r="F185" s="9" t="str">
        <x:v>High</x:v>
      </x:c>
      <x:c r="G18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6" ht="64" customHeight="1">
      <x:c r="A186" s="2" t="str">
        <x:v>Portunus pelagicus</x:v>
      </x:c>
      <x:c r="B186" s="10" t="n">
        <x:v>2.48</x:v>
      </x:c>
      <x:c r="C186" s="11" t="n">
        <x:v>11587.998194489</x:v>
      </x:c>
      <x:c r="D186" s="11" t="n">
        <x:v>38883.55009273612</x:v>
      </x:c>
      <x:c r="E186" s="9" t="str">
        <x:v>Crabs &amp; Lobster (100.0000%)</x:v>
      </x:c>
      <x:c r="F186" s="9" t="str">
        <x:v>High</x:v>
      </x:c>
      <x:c r="G186" s="9" t="str">
        <x:v>Source explicitly lists Portunus pelagicus in Crabs &amp; Lobster (CMFRI Bulletin 51 printed p. 12 / PDF p. 22; member 76). Single-group allocation adds no internal composition assumption. See Sources and Allocation evidence.</x:v>
      </x:c>
    </x:row>
    <x:row r="187" ht="96" customHeight="1">
      <x:c r="A187" s="2" t="str">
        <x:v>Hemiramphus</x:v>
      </x:c>
      <x:c r="B187" s="10" t="n">
        <x:v>3.05</x:v>
      </x:c>
      <x:c r="C187" s="11" t="n">
        <x:v>3074.0866887009</x:v>
      </x:c>
      <x:c r="D187" s="11" t="n">
        <x:v>38324.24438718249</x:v>
      </x:c>
      <x:c r="E187" s="9" t="str">
        <x:v>Small Benthopelagics (100.0000%)</x:v>
      </x:c>
      <x:c r="F187" s="9" t="str">
        <x:v>Low</x:v>
      </x:c>
      <x:c r="G187" s="9" t="str">
        <x:v>Analyst ecological analogue: Hemiramphus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188" ht="80" customHeight="1">
      <x:c r="A188" s="2" t="str">
        <x:v>Etelis</x:v>
      </x:c>
      <x:c r="B188" s="10" t="n">
        <x:v>4.36</x:v>
      </x:c>
      <x:c r="C188" s="11" t="n">
        <x:v>150.4844562009</x:v>
      </x:c>
      <x:c r="D188" s="11" t="n">
        <x:v>38304.44143944342</x:v>
      </x:c>
      <x:c r="E188" s="9" t="str">
        <x:v>Large Benthic Carnivores (100.0000%)</x:v>
      </x:c>
      <x:c r="F188" s="9" t="str">
        <x:v>Medium</x:v>
      </x:c>
      <x:c r="G188" s="9" t="str">
        <x:v>Taxonomy/catch ecology links Etelis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9" ht="80" customHeight="1">
      <x:c r="A189" s="2" t="str">
        <x:v>Aetomylaeus maculatus</x:v>
      </x:c>
      <x:c r="B189" s="10" t="n">
        <x:v>3.8</x:v>
      </x:c>
      <x:c r="C189" s="11" t="n">
        <x:v>546.0696812812</x:v>
      </x:c>
      <x:c r="D189" s="11" t="n">
        <x:v>38282.96400025903</x:v>
      </x:c>
      <x:c r="E189" s="9" t="str">
        <x:v>Skates &amp; Rays (100.0000%)</x:v>
      </x:c>
      <x:c r="F189" s="9" t="str">
        <x:v>High</x:v>
      </x:c>
      <x:c r="G18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0" ht="80" customHeight="1">
      <x:c r="A190" s="2" t="str">
        <x:v>Sphyraena forsteri</x:v>
      </x:c>
      <x:c r="B190" s="10" t="n">
        <x:v>4.42</x:v>
      </x:c>
      <x:c r="C190" s="11" t="n">
        <x:v>127.8203893037</x:v>
      </x:c>
      <x:c r="D190" s="11" t="n">
        <x:v>37355.76429968097</x:v>
      </x:c>
      <x:c r="E190" s="9" t="str">
        <x:v>Large Pelagics (100.0000%)</x:v>
      </x:c>
      <x:c r="F190" s="9" t="str">
        <x:v>Medium</x:v>
      </x:c>
      <x:c r="G190" s="9" t="str">
        <x:v>Taxonomy/catch ecology links Sphyraena forsteri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91" ht="80" customHeight="1">
      <x:c r="A191" s="2" t="str">
        <x:v>Aetomylaeus nichofii</x:v>
      </x:c>
      <x:c r="B191" s="10" t="n">
        <x:v>3.76</x:v>
      </x:c>
      <x:c r="C191" s="11" t="n">
        <x:v>549.7183426767999</x:v>
      </x:c>
      <x:c r="D191" s="11" t="n">
        <x:v>35147.76540700259</x:v>
      </x:c>
      <x:c r="E191" s="9" t="str">
        <x:v>Skates &amp; Rays (100.0000%)</x:v>
      </x:c>
      <x:c r="F191" s="9" t="str">
        <x:v>High</x:v>
      </x:c>
      <x:c r="G19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2" ht="64" customHeight="1">
      <x:c r="A192" s="2" t="str">
        <x:v>Scomberoides tol</x:v>
      </x:c>
      <x:c r="B192" s="10" t="n">
        <x:v>4.11</x:v>
      </x:c>
      <x:c r="C192" s="11" t="n">
        <x:v>242.2670763147</x:v>
      </x:c>
      <x:c r="D192" s="11" t="n">
        <x:v>34677.828050268756</x:v>
      </x:c>
      <x:c r="E192" s="9" t="str">
        <x:v>Large Benthopelagics (100.0000%)</x:v>
      </x:c>
      <x:c r="F192" s="9" t="str">
        <x:v>High</x:v>
      </x:c>
      <x:c r="G192" s="9" t="str">
        <x:v>Source explicitly lists Scomberoides tol in Large Benthopelagics (CMFRI Bulletin 51 printed p. 11 / PDF p. 21; member 26). Single-group allocation adds no internal composition assumption. See Sources and Allocation evidence.</x:v>
      </x:c>
    </x:row>
    <x:row r="193" ht="128" customHeight="1">
      <x:c r="A193" s="2" t="str">
        <x:v>Carangoides</x:v>
      </x:c>
      <x:c r="B193" s="10" t="n">
        <x:v>4.34</x:v>
      </x:c>
      <x:c r="C193" s="11" t="n">
        <x:v>141.1240359112</x:v>
      </x:c>
      <x:c r="D193" s="11" t="n">
        <x:v>34305.08333148909</x:v>
      </x:c>
      <x:c r="E193" s="9" t="str">
        <x:v>Small Benthopelagics (100.0000%)</x:v>
      </x:c>
      <x:c r="F193" s="9" t="str">
        <x:v>Low</x:v>
      </x:c>
      <x:c r="G193"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4" ht="80" customHeight="1">
      <x:c r="A194" s="2" t="str">
        <x:v>Palinuridae</x:v>
      </x:c>
      <x:c r="B194" s="10" t="n">
        <x:v>3.14</x:v>
      </x:c>
      <x:c r="C194" s="11" t="n">
        <x:v>2227.1976792536</x:v>
      </x:c>
      <x:c r="D194" s="11" t="n">
        <x:v>34159.87367335259</x:v>
      </x:c>
      <x:c r="E194" s="9" t="str">
        <x:v>Crabs &amp; Lobster (100.0000%)</x:v>
      </x:c>
      <x:c r="F194" s="9" t="str">
        <x:v>High</x:v>
      </x:c>
      <x:c r="G194"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5" ht="128" customHeight="1">
      <x:c r="A195" s="2" t="str">
        <x:v>Turrum coeruleopinnatum</x:v>
      </x:c>
      <x:c r="B195" s="10" t="n">
        <x:v>4.44</x:v>
      </x:c>
      <x:c r="C195" s="11" t="n">
        <x:v>108.9544907694</x:v>
      </x:c>
      <x:c r="D195" s="11" t="n">
        <x:v>33342.84287051945</x:v>
      </x:c>
      <x:c r="E195" s="9" t="str">
        <x:v>Small Benthopelagics (100.0000%)</x:v>
      </x:c>
      <x:c r="F195" s="9" t="str">
        <x:v>Low</x:v>
      </x:c>
      <x:c r="G195"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6" ht="80" customHeight="1">
      <x:c r="A196" s="2" t="str">
        <x:v>Istiophorus</x:v>
      </x:c>
      <x:c r="B196" s="10" t="n">
        <x:v>4.5</x:v>
      </x:c>
      <x:c r="C196" s="11" t="n">
        <x:v>93.9501696056</x:v>
      </x:c>
      <x:c r="D196" s="11" t="n">
        <x:v>33010.72472364656</x:v>
      </x:c>
      <x:c r="E196" s="9" t="str">
        <x:v>Large Pelagics (100.0000%)</x:v>
      </x:c>
      <x:c r="F196" s="9" t="str">
        <x:v>Medium</x:v>
      </x:c>
      <x:c r="G19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97" ht="80" customHeight="1">
      <x:c r="A197" s="2" t="str">
        <x:v>Sphyrna</x:v>
      </x:c>
      <x:c r="B197" s="10" t="n">
        <x:v>4.2</x:v>
      </x:c>
      <x:c r="C197" s="11" t="n">
        <x:v>183.2860892277</x:v>
      </x:c>
      <x:c r="D197" s="11" t="n">
        <x:v>32276.54167664467</x:v>
      </x:c>
      <x:c r="E197" s="9" t="str">
        <x:v>Sharks (100.0000%)</x:v>
      </x:c>
      <x:c r="F197" s="9" t="str">
        <x:v>High</x:v>
      </x:c>
      <x:c r="G19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8" ht="80" customHeight="1">
      <x:c r="A198" s="2" t="str">
        <x:v>Pastinachus sephen</x:v>
      </x:c>
      <x:c r="B198" s="10" t="n">
        <x:v>3.71</x:v>
      </x:c>
      <x:c r="C198" s="11" t="n">
        <x:v>551.0187187822</x:v>
      </x:c>
      <x:c r="D198" s="11" t="n">
        <x:v>31399.580302198643</x:v>
      </x:c>
      <x:c r="E198" s="9" t="str">
        <x:v>Skates &amp; Rays (100.0000%)</x:v>
      </x:c>
      <x:c r="F198" s="9" t="str">
        <x:v>High</x:v>
      </x:c>
      <x:c r="G1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9" ht="80" customHeight="1">
      <x:c r="A199" s="2" t="str">
        <x:v>Pterotolithus maculatus</x:v>
      </x:c>
      <x:c r="B199" s="10" t="n">
        <x:v>3.7</x:v>
      </x:c>
      <x:c r="C199" s="11" t="n">
        <x:v>554.0141528185</x:v>
      </x:c>
      <x:c r="D199" s="11" t="n">
        <x:v>30851.64673794011</x:v>
      </x:c>
      <x:c r="E199" s="9" t="str">
        <x:v>Med Benthic Carnivores (100.0000%)</x:v>
      </x:c>
      <x:c r="F199" s="9" t="str">
        <x:v>Medium</x:v>
      </x:c>
      <x:c r="G199" s="9" t="str">
        <x:v>Taxonomy/catch ecology links Pterotolithus maculatus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00" ht="80" customHeight="1">
      <x:c r="A200" s="2" t="str">
        <x:v>Leiognathus</x:v>
      </x:c>
      <x:c r="B200" s="10" t="n">
        <x:v>3.22</x:v>
      </x:c>
      <x:c r="C200" s="11" t="n">
        <x:v>1635.3764661877</x:v>
      </x:c>
      <x:c r="D200" s="11" t="n">
        <x:v>30156.104133517914</x:v>
      </x:c>
      <x:c r="E200" s="9" t="str">
        <x:v>Small Benthic Carnivores (100.0000%)</x:v>
      </x:c>
      <x:c r="F200" s="9" t="str">
        <x:v>Medium</x:v>
      </x:c>
      <x:c r="G200" s="9" t="str">
        <x:v>Taxonomy/catch ecology links Leiognathus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1" ht="80" customHeight="1">
      <x:c r="A201" s="2" t="str">
        <x:v>Scolopsis taeniata</x:v>
      </x:c>
      <x:c r="B201" s="10" t="n">
        <x:v>3.51</x:v>
      </x:c>
      <x:c r="C201" s="11" t="n">
        <x:v>780.837542664</x:v>
      </x:c>
      <x:c r="D201" s="11" t="n">
        <x:v>28074.89732206536</x:v>
      </x:c>
      <x:c r="E201" s="9" t="str">
        <x:v>Small Benthic Carnivores (100.0000%)</x:v>
      </x:c>
      <x:c r="F201" s="9" t="str">
        <x:v>Medium</x:v>
      </x:c>
      <x:c r="G201" s="9" t="str">
        <x:v>Taxonomy/catch ecology links Scolopsis taeniata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2" ht="64" customHeight="1">
      <x:c r="A202" s="2" t="str">
        <x:v>Siganus canaliculatus</x:v>
      </x:c>
      <x:c r="B202" s="10" t="n">
        <x:v>2.76</x:v>
      </x:c>
      <x:c r="C202" s="11" t="n">
        <x:v>4201.7667470129</x:v>
      </x:c>
      <x:c r="D202" s="11" t="n">
        <x:v>26865.159928960577</x:v>
      </x:c>
      <x:c r="E202" s="9" t="str">
        <x:v>Benthic Omnivores (100.0000%)</x:v>
      </x:c>
      <x:c r="F202" s="9" t="str">
        <x:v>Very low</x:v>
      </x:c>
      <x:c r="G20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03" ht="80" customHeight="1">
      <x:c r="A203" s="2" t="str">
        <x:v>Gastropoda</x:v>
      </x:c>
      <x:c r="B203" s="10" t="n">
        <x:v>3.06</x:v>
      </x:c>
      <x:c r="C203" s="11" t="n">
        <x:v>2069.105188128</x:v>
      </x:c>
      <x:c r="D203" s="11" t="n">
        <x:v>26396.117944523918</x:v>
      </x:c>
      <x:c r="E203" s="9" t="str">
        <x:v>Heterotrophic Benthos (100.0000%)</x:v>
      </x:c>
      <x:c r="F203" s="9" t="str">
        <x:v>High</x:v>
      </x:c>
      <x:c r="G20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4" ht="80" customHeight="1">
      <x:c r="A204" s="2" t="str">
        <x:v>Epinephelus multinotatus</x:v>
      </x:c>
      <x:c r="B204" s="10" t="n">
        <x:v>3.86</x:v>
      </x:c>
      <x:c r="C204" s="11" t="n">
        <x:v>322.6083990754</x:v>
      </x:c>
      <x:c r="D204" s="11" t="n">
        <x:v>25967.68059027143</x:v>
      </x:c>
      <x:c r="E204" s="9" t="str">
        <x:v>Large Benthic Carnivores (100.0000%)</x:v>
      </x:c>
      <x:c r="F204" s="9" t="str">
        <x:v>Medium</x:v>
      </x:c>
      <x:c r="G204" s="9" t="str">
        <x:v>Taxonomy/catch ecology links Epinephelus multinotatus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05" ht="96" customHeight="1">
      <x:c r="A205" s="2" t="str">
        <x:v>Synanceiidae</x:v>
      </x:c>
      <x:c r="B205" s="10" t="n">
        <x:v>4.2</x:v>
      </x:c>
      <x:c r="C205" s="11" t="n">
        <x:v>147.2538116373</x:v>
      </x:c>
      <x:c r="D205" s="11" t="n">
        <x:v>25931.28484754533</x:v>
      </x:c>
      <x:c r="E205" s="9" t="str">
        <x:v>Med Benthic Carnivores (100.0000%)</x:v>
      </x:c>
      <x:c r="F205" s="9" t="str">
        <x:v>Medium</x:v>
      </x:c>
      <x:c r="G205" s="9" t="str">
        <x:v>Analyst inference: demersal predatory lineage Synanceiidae,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06" ht="64" customHeight="1">
      <x:c r="A206" s="2" t="str">
        <x:v>Lutjanus gibbus</x:v>
      </x:c>
      <x:c r="B206" s="10" t="n">
        <x:v>4.12</x:v>
      </x:c>
      <x:c r="C206" s="11" t="n">
        <x:v>176.028097981</x:v>
      </x:c>
      <x:c r="D206" s="11" t="n">
        <x:v>25783.358482080097</x:v>
      </x:c>
      <x:c r="E206" s="9" t="str">
        <x:v>Large Benthic Carnivores (100.0000%)</x:v>
      </x:c>
      <x:c r="F206" s="9" t="str">
        <x:v>High</x:v>
      </x:c>
      <x:c r="G20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07" ht="64" customHeight="1">
      <x:c r="A207" s="2" t="str">
        <x:v>Cephalopoda</x:v>
      </x:c>
      <x:c r="B207" s="10" t="n">
        <x:v>3.81</x:v>
      </x:c>
      <x:c r="C207" s="11" t="n">
        <x:v>356.3845102118</x:v>
      </x:c>
      <x:c r="D207" s="11" t="n">
        <x:v>25566.796242299228</x:v>
      </x:c>
      <x:c r="E207" s="9" t="str">
        <x:v>Cephalopods (100.0000%)</x:v>
      </x:c>
      <x:c r="F207" s="9" t="str">
        <x:v>Medium</x:v>
      </x:c>
      <x:c r="G207"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208" ht="80" customHeight="1">
      <x:c r="A208" s="2" t="str">
        <x:v>Metapenaeus affinis</x:v>
      </x:c>
      <x:c r="B208" s="10" t="n">
        <x:v>3.44</x:v>
      </x:c>
      <x:c r="C208" s="11" t="n">
        <x:v>807.2122770048001</x:v>
      </x:c>
      <x:c r="D208" s="11" t="n">
        <x:v>24702.7469223731</x:v>
      </x:c>
      <x:c r="E208" s="9" t="str">
        <x:v>Shrimps (100.0000%)</x:v>
      </x:c>
      <x:c r="F208" s="9" t="str">
        <x:v>High</x:v>
      </x:c>
      <x:c r="G208"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9" ht="80" customHeight="1">
      <x:c r="A209" s="2" t="str">
        <x:v>Himantura uarnak</x:v>
      </x:c>
      <x:c r="B209" s="10" t="n">
        <x:v>3.6</x:v>
      </x:c>
      <x:c r="C209" s="11" t="n">
        <x:v>550.6355295366</x:v>
      </x:c>
      <x:c r="D209" s="11" t="n">
        <x:v>24356.883630004726</x:v>
      </x:c>
      <x:c r="E209" s="9" t="str">
        <x:v>Skates &amp; Rays (100.0000%)</x:v>
      </x:c>
      <x:c r="F209" s="9" t="str">
        <x:v>High</x:v>
      </x:c>
      <x:c r="G2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0" ht="112" customHeight="1">
      <x:c r="A210" s="2" t="str">
        <x:v>Seriola</x:v>
      </x:c>
      <x:c r="B210" s="10" t="n">
        <x:v>4.39</x:v>
      </x:c>
      <x:c r="C210" s="11" t="n">
        <x:v>88.567114277</x:v>
      </x:c>
      <x:c r="D210" s="11" t="n">
        <x:v>24156.27611691629</x:v>
      </x:c>
      <x:c r="E210" s="9" t="str">
        <x:v>Large Benthopelagics (100.0000%)</x:v>
      </x:c>
      <x:c r="F210" s="9" t="str">
        <x:v>Low</x:v>
      </x:c>
      <x:c r="G210"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11" ht="96" customHeight="1">
      <x:c r="A211" s="2" t="str">
        <x:v>Lethrinus obsoletus</x:v>
      </x:c>
      <x:c r="B211" s="10" t="n">
        <x:v>3.89</x:v>
      </x:c>
      <x:c r="C211" s="11" t="n">
        <x:v>270.2132329423</x:v>
      </x:c>
      <x:c r="D211" s="11" t="n">
        <x:v>23305.80477181972</x:v>
      </x:c>
      <x:c r="E211" s="9" t="str">
        <x:v>Med Benthic Carnivores (100.0000%)</x:v>
      </x:c>
      <x:c r="F211" s="9" t="str">
        <x:v>Medium</x:v>
      </x:c>
      <x:c r="G211" s="9" t="str">
        <x:v>Analyst ecological analogue: Lethrinus obsoletus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12" ht="80" customHeight="1">
      <x:c r="A212" s="2" t="str">
        <x:v>Penaeus semisulcatus</x:v>
      </x:c>
      <x:c r="B212" s="10" t="n">
        <x:v>2</x:v>
      </x:c>
      <x:c r="C212" s="11" t="n">
        <x:v>20702.3987437151</x:v>
      </x:c>
      <x:c r="D212" s="11" t="n">
        <x:v>23002.665270794558</x:v>
      </x:c>
      <x:c r="E212" s="9" t="str">
        <x:v>Shrimps (100.0000%)</x:v>
      </x:c>
      <x:c r="F212" s="9" t="str">
        <x:v>High</x:v>
      </x:c>
      <x:c r="G21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3" ht="96" customHeight="1">
      <x:c r="A213" s="2" t="str">
        <x:v>Caesionidae</x:v>
      </x:c>
      <x:c r="B213" s="10" t="n">
        <x:v>3.39</x:v>
      </x:c>
      <x:c r="C213" s="11" t="n">
        <x:v>836.9951396712</x:v>
      </x:c>
      <x:c r="D213" s="11" t="n">
        <x:v>22828.660352621475</x:v>
      </x:c>
      <x:c r="E213" s="9" t="str">
        <x:v>Small Benthopelagics (100.0000%)</x:v>
      </x:c>
      <x:c r="F213" s="9" t="str">
        <x:v>Low</x:v>
      </x:c>
      <x:c r="G213" s="9" t="str">
        <x:v>Analyst ecological analogue: Caesionidae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4" ht="80" customHeight="1">
      <x:c r="A214" s="2" t="str">
        <x:v>Rhynchobatus djiddensis</x:v>
      </x:c>
      <x:c r="B214" s="10" t="n">
        <x:v>3.6</x:v>
      </x:c>
      <x:c r="C214" s="11" t="n">
        <x:v>514.42622623</x:v>
      </x:c>
      <x:c r="D214" s="11" t="n">
        <x:v>22755.19659810429</x:v>
      </x:c>
      <x:c r="E214" s="9" t="str">
        <x:v>Skates &amp; Rays (100.0000%)</x:v>
      </x:c>
      <x:c r="F214" s="9" t="str">
        <x:v>High</x:v>
      </x:c>
      <x:c r="G214"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5" ht="80" customHeight="1">
      <x:c r="A215" s="2" t="str">
        <x:v>Prionace glauca</x:v>
      </x:c>
      <x:c r="B215" s="10" t="n">
        <x:v>4.35</x:v>
      </x:c>
      <x:c r="C215" s="11" t="n">
        <x:v>90.8771079742</x:v>
      </x:c>
      <x:c r="D215" s="11" t="n">
        <x:v>22605.389181533203</x:v>
      </x:c>
      <x:c r="E215" s="9" t="str">
        <x:v>Sharks (100.0000%)</x:v>
      </x:c>
      <x:c r="F215" s="9" t="str">
        <x:v>High</x:v>
      </x:c>
      <x:c r="G21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6" ht="96" customHeight="1">
      <x:c r="A216" s="2" t="str">
        <x:v>Plectorhinchus gaterinus</x:v>
      </x:c>
      <x:c r="B216" s="10" t="n">
        <x:v>3.99</x:v>
      </x:c>
      <x:c r="C216" s="11" t="n">
        <x:v>205.0011336003</x:v>
      </x:c>
      <x:c r="D216" s="11" t="n">
        <x:v>22259.415343594235</x:v>
      </x:c>
      <x:c r="E216" s="9" t="str">
        <x:v>Med Benthic Carnivores (100.0000%)</x:v>
      </x:c>
      <x:c r="F216" s="9" t="str">
        <x:v>Medium</x:v>
      </x:c>
      <x:c r="G216" s="9" t="str">
        <x:v>Analyst ecological analogue: Plectorhinchus gaterinus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7" ht="96" customHeight="1">
      <x:c r="A217" s="2" t="str">
        <x:v>Cephalopholis hemistiktos</x:v>
      </x:c>
      <x:c r="B217" s="10" t="n">
        <x:v>4.14</x:v>
      </x:c>
      <x:c r="C217" s="11" t="n">
        <x:v>142.6691455745</x:v>
      </x:c>
      <x:c r="D217" s="11" t="n">
        <x:v>21882.02706615311</x:v>
      </x:c>
      <x:c r="E217" s="9" t="str">
        <x:v>Large Benthic Carnivores (100.0000%)</x:v>
      </x:c>
      <x:c r="F217" s="9" t="str">
        <x:v>Medium</x:v>
      </x:c>
      <x:c r="G217" s="9" t="str">
        <x:v>Taxonomy/catch ecology links Cephalopholis hemistiktos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18" ht="80" customHeight="1">
      <x:c r="A218" s="2" t="str">
        <x:v>Pteriomorphia</x:v>
      </x:c>
      <x:c r="B218" s="10" t="n">
        <x:v>2.27</x:v>
      </x:c>
      <x:c r="C218" s="11" t="n">
        <x:v>9823.3010831509</x:v>
      </x:c>
      <x:c r="D218" s="11" t="n">
        <x:v>20324.269540557456</x:v>
      </x:c>
      <x:c r="E218" s="9" t="str">
        <x:v>Heterotrophic Benthos (100.0000%)</x:v>
      </x:c>
      <x:c r="F218" s="9" t="str">
        <x:v>High</x:v>
      </x:c>
      <x:c r="G21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9" ht="80" customHeight="1">
      <x:c r="A219" s="2" t="str">
        <x:v>Scombroidei</x:v>
      </x:c>
      <x:c r="B219" s="10" t="n">
        <x:v>4.2</x:v>
      </x:c>
      <x:c r="C219" s="11" t="n">
        <x:v>115.1794292579</x:v>
      </x:c>
      <x:c r="D219" s="11" t="n">
        <x:v>20283.01037137802</x:v>
      </x:c>
      <x:c r="E219" s="9" t="str">
        <x:v>Large Pelagics (62.0805%); Tunas (37.9195%)</x:v>
      </x:c>
      <x:c r="F219" s="9" t="str">
        <x:v>Very low</x:v>
      </x:c>
      <x:c r="G219" s="9" t="str">
        <x:v>Provider common name is tunas, bonitos and billfishes. Source Tunas plus Large Pelagics approximate those taxa; billfishes are ecological extensions, not source members. Allocation uses published model catch proportions, assumed constant across regions, years and catch bases; whole-group quantities are a composition proxy. See Sources and Allocation evidence.</x:v>
      </x:c>
    </x:row>
    <x:row r="220" ht="80" customHeight="1">
      <x:c r="A220" s="2" t="str">
        <x:v>Leptomelanosoma indicum</x:v>
      </x:c>
      <x:c r="B220" s="10" t="n">
        <x:v>3.86</x:v>
      </x:c>
      <x:c r="C220" s="11" t="n">
        <x:v>251.4670584479</x:v>
      </x:c>
      <x:c r="D220" s="11" t="n">
        <x:v>20241.30887932645</x:v>
      </x:c>
      <x:c r="E220" s="9" t="str">
        <x:v>Med Benthic Carnivores (100.0000%)</x:v>
      </x:c>
      <x:c r="F220" s="9" t="str">
        <x:v>Medium</x:v>
      </x:c>
      <x:c r="G220" s="9" t="str">
        <x:v>Taxonomy/catch ecology links Leptomelanosoma indicum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21" ht="80" customHeight="1">
      <x:c r="A221" s="2" t="str">
        <x:v>Triakidae</x:v>
      </x:c>
      <x:c r="B221" s="10" t="n">
        <x:v>3.82</x:v>
      </x:c>
      <x:c r="C221" s="11" t="n">
        <x:v>273.8695191465</x:v>
      </x:c>
      <x:c r="D221" s="11" t="n">
        <x:v>20104.866323231483</x:v>
      </x:c>
      <x:c r="E221" s="9" t="str">
        <x:v>Sharks (100.0000%)</x:v>
      </x:c>
      <x:c r="F221" s="9" t="str">
        <x:v>High</x:v>
      </x:c>
      <x:c r="G2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2" ht="96" customHeight="1">
      <x:c r="A222" s="2" t="str">
        <x:v>Lethrinus borbonicus</x:v>
      </x:c>
      <x:c r="B222" s="10" t="n">
        <x:v>3.47</x:v>
      </x:c>
      <x:c r="C222" s="11" t="n">
        <x:v>598.3735818699</x:v>
      </x:c>
      <x:c r="D222" s="11" t="n">
        <x:v>19621.39595342071</x:v>
      </x:c>
      <x:c r="E222" s="9" t="str">
        <x:v>Med Benthic Carnivores (100.0000%)</x:v>
      </x:c>
      <x:c r="F222" s="9" t="str">
        <x:v>Medium</x:v>
      </x:c>
      <x:c r="G222" s="9" t="str">
        <x:v>Analyst ecological analogue: Lethrinus borbonicus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3" ht="80" customHeight="1">
      <x:c r="A223" s="2" t="str">
        <x:v>Sphyrna zygaena</x:v>
      </x:c>
      <x:c r="B223" s="10" t="n">
        <x:v>4.94</x:v>
      </x:c>
      <x:c r="C223" s="11" t="n">
        <x:v>18.9725217008</x:v>
      </x:c>
      <x:c r="D223" s="11" t="n">
        <x:v>18360.417345609363</x:v>
      </x:c>
      <x:c r="E223" s="9" t="str">
        <x:v>Sharks (100.0000%)</x:v>
      </x:c>
      <x:c r="F223" s="9" t="str">
        <x:v>High</x:v>
      </x:c>
      <x:c r="G22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4" ht="96" customHeight="1">
      <x:c r="A224" s="2" t="str">
        <x:v>Plectorhinchus sordidus</x:v>
      </x:c>
      <x:c r="B224" s="10" t="n">
        <x:v>3.99</x:v>
      </x:c>
      <x:c r="C224" s="11" t="n">
        <x:v>159.3145298907</x:v>
      </x:c>
      <x:c r="D224" s="11" t="n">
        <x:v>17298.67649425213</x:v>
      </x:c>
      <x:c r="E224" s="9" t="str">
        <x:v>Med Benthic Carnivores (100.0000%)</x:v>
      </x:c>
      <x:c r="F224" s="9" t="str">
        <x:v>Medium</x:v>
      </x:c>
      <x:c r="G224" s="9" t="str">
        <x:v>Analyst ecological analogue: Plectorhinchus sordidus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5" ht="64" customHeight="1">
      <x:c r="A225" s="2" t="str">
        <x:v>Siganidae</x:v>
      </x:c>
      <x:c r="B225" s="10" t="n">
        <x:v>2.11</x:v>
      </x:c>
      <x:c r="C225" s="11" t="n">
        <x:v>11453.6827165665</x:v>
      </x:c>
      <x:c r="D225" s="11" t="n">
        <x:v>16394.66847205799</x:v>
      </x:c>
      <x:c r="E225" s="9" t="str">
        <x:v>Benthic Omnivores (100.0000%)</x:v>
      </x:c>
      <x:c r="F225" s="9" t="str">
        <x:v>Very low</x:v>
      </x:c>
      <x:c r="G22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26" ht="96" customHeight="1">
      <x:c r="A226" s="2" t="str">
        <x:v>Ariomma indica</x:v>
      </x:c>
      <x:c r="B226" s="10" t="n">
        <x:v>3.63</x:v>
      </x:c>
      <x:c r="C226" s="11" t="n">
        <x:v>344.7426951396</x:v>
      </x:c>
      <x:c r="D226" s="11" t="n">
        <x:v>16340.019222557186</x:v>
      </x:c>
      <x:c r="E226" s="9" t="str">
        <x:v>Small Benthopelagics (100.0000%)</x:v>
      </x:c>
      <x:c r="F226" s="9" t="str">
        <x:v>Low</x:v>
      </x:c>
      <x:c r="G226" s="9" t="str">
        <x:v>Analyst ecological analogue: Ariomma indica is a small or medium water-column feeder, compared with source scads;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27" ht="64" customHeight="1">
      <x:c r="A227" s="2" t="str">
        <x:v>Panulirus homarus</x:v>
      </x:c>
      <x:c r="B227" s="10" t="n">
        <x:v>3.33</x:v>
      </x:c>
      <x:c r="C227" s="11" t="n">
        <x:v>686.1816229061001</x:v>
      </x:c>
      <x:c r="D227" s="11" t="n">
        <x:v>16300.33662540398</x:v>
      </x:c>
      <x:c r="E227" s="9" t="str">
        <x:v>Crabs &amp; Lobster (100.0000%)</x:v>
      </x:c>
      <x:c r="F227" s="9" t="str">
        <x:v>High</x:v>
      </x:c>
      <x:c r="G227" s="9" t="str">
        <x:v>Source explicitly lists the genus Panulirus sp. in Crabs &amp; Lobster; the catch label lies within that genus. No numerical source-size cutoff is stated. Single-group allocation adds no internal composition assumption. See Sources and Allocation evidence.</x:v>
      </x:c>
    </x:row>
    <x:row r="228" ht="80" customHeight="1">
      <x:c r="A228" s="2" t="str">
        <x:v>Carcharhinus plumbeus</x:v>
      </x:c>
      <x:c r="B228" s="10" t="n">
        <x:v>4.49</x:v>
      </x:c>
      <x:c r="C228" s="11" t="n">
        <x:v>47.0705105901</x:v>
      </x:c>
      <x:c r="D228" s="11" t="n">
        <x:v>16162.42043140763</x:v>
      </x:c>
      <x:c r="E228" s="9" t="str">
        <x:v>Sharks (100.0000%)</x:v>
      </x:c>
      <x:c r="F228" s="9" t="str">
        <x:v>High</x:v>
      </x:c>
      <x:c r="G228"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9" ht="80" customHeight="1">
      <x:c r="A229" s="2" t="str">
        <x:v>Galeocerdo cuvier</x:v>
      </x:c>
      <x:c r="B229" s="10" t="n">
        <x:v>4.54</x:v>
      </x:c>
      <x:c r="C229" s="11" t="n">
        <x:v>39.2437233437</x:v>
      </x:c>
      <x:c r="D229" s="11" t="n">
        <x:v>15119.161146916704</x:v>
      </x:c>
      <x:c r="E229" s="9" t="str">
        <x:v>Sharks (100.0000%)</x:v>
      </x:c>
      <x:c r="F229" s="9" t="str">
        <x:v>High</x:v>
      </x:c>
      <x:c r="G22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0" ht="80" customHeight="1">
      <x:c r="A230" s="2" t="str">
        <x:v>Alepes</x:v>
      </x:c>
      <x:c r="B230" s="10" t="n">
        <x:v>3.32</x:v>
      </x:c>
      <x:c r="C230" s="11" t="n">
        <x:v>641.2199025457</x:v>
      </x:c>
      <x:c r="D230" s="11" t="n">
        <x:v>14885.536237948167</x:v>
      </x:c>
      <x:c r="E230" s="9" t="str">
        <x:v>Small Benthopelagics (100.0000%)</x:v>
      </x:c>
      <x:c r="F230" s="9" t="str">
        <x:v>Medium</x:v>
      </x:c>
      <x:c r="G230" s="9" t="str">
        <x:v>Taxonomy/catch ecology links Alepes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231" ht="64" customHeight="1">
      <x:c r="A231" s="2" t="str">
        <x:v>Photopectoralis bindus</x:v>
      </x:c>
      <x:c r="B231" s="10" t="n">
        <x:v>2.93</x:v>
      </x:c>
      <x:c r="C231" s="11" t="n">
        <x:v>1563.7980307215</x:v>
      </x:c>
      <x:c r="D231" s="11" t="n">
        <x:v>14788.977644589306</x:v>
      </x:c>
      <x:c r="E231" s="9" t="str">
        <x:v>Small Benthic Carnivores (100.0000%)</x:v>
      </x:c>
      <x:c r="F231" s="9" t="str">
        <x:v>High</x:v>
      </x:c>
      <x:c r="G231" s="9" t="str">
        <x:v>Source explicitly lists Leiognathus bindus in Small Benthic Carnivores (CMFRI Bulletin 51 printed p. 12 / PDF p. 22; member 51). WoRMS links the catch label to accepted name Photopectoralis bindus. Single-group allocation adds no internal composition assumption. See Sources and Allocation evidence.</x:v>
      </x:c>
    </x:row>
    <x:row r="232" ht="80" customHeight="1">
      <x:c r="A232" s="2" t="str">
        <x:v>Tetraodontidae</x:v>
      </x:c>
      <x:c r="B232" s="10" t="n">
        <x:v>3.5</x:v>
      </x:c>
      <x:c r="C232" s="11" t="n">
        <x:v>407.8819904272</x:v>
      </x:c>
      <x:c r="D232" s="11" t="n">
        <x:v>14331.512292366086</x:v>
      </x:c>
      <x:c r="E232" s="9" t="str">
        <x:v>Small Benthic Carnivores (100.0000%)</x:v>
      </x:c>
      <x:c r="F232" s="9" t="str">
        <x:v>Medium</x:v>
      </x:c>
      <x:c r="G232" s="9" t="str">
        <x:v>Taxonomy/catch ecology links Tetraodontidae (Tetraodontidae)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33" ht="112" customHeight="1">
      <x:c r="A233" s="2" t="str">
        <x:v>Seriola dumerili</x:v>
      </x:c>
      <x:c r="B233" s="10" t="n">
        <x:v>4.5</x:v>
      </x:c>
      <x:c r="C233" s="11" t="n">
        <x:v>40.3669867796</x:v>
      </x:c>
      <x:c r="D233" s="11" t="n">
        <x:v>14183.513389049042</x:v>
      </x:c>
      <x:c r="E233" s="9" t="str">
        <x:v>Large Benthopelagics (100.0000%)</x:v>
      </x:c>
      <x:c r="F233" s="9" t="str">
        <x:v>Low</x:v>
      </x:c>
      <x:c r="G233"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4" ht="128" customHeight="1">
      <x:c r="A234" s="2" t="str">
        <x:v>Seriolina nigrofasciata</x:v>
      </x:c>
      <x:c r="B234" s="10" t="n">
        <x:v>4.17</x:v>
      </x:c>
      <x:c r="C234" s="11" t="n">
        <x:v>84.9940185442</x:v>
      </x:c>
      <x:c r="D234" s="11" t="n">
        <x:v>13968.37397476115</x:v>
      </x:c>
      <x:c r="E234" s="9" t="str">
        <x:v>Small Benthopelagics (100.0000%)</x:v>
      </x:c>
      <x:c r="F234" s="9" t="str">
        <x:v>Low</x:v>
      </x:c>
      <x:c r="G23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5" ht="96" customHeight="1">
      <x:c r="A235" s="2" t="str">
        <x:v>Acanthopagrus berda</x:v>
      </x:c>
      <x:c r="B235" s="10" t="n">
        <x:v>3.48</x:v>
      </x:c>
      <x:c r="C235" s="11" t="n">
        <x:v>412.1603828784</x:v>
      </x:c>
      <x:c r="D235" s="11" t="n">
        <x:v>13830.049526168643</x:v>
      </x:c>
      <x:c r="E235" s="9" t="str">
        <x:v>Med Benthic Carnivores (100.0000%)</x:v>
      </x:c>
      <x:c r="F235" s="9" t="str">
        <x:v>Medium</x:v>
      </x:c>
      <x:c r="G235" s="9" t="str">
        <x:v>Analyst ecological analogue: Acanthopagrus berda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36" ht="64" customHeight="1">
      <x:c r="A236" s="2" t="str">
        <x:v>Panulirus polyphagus</x:v>
      </x:c>
      <x:c r="B236" s="10" t="n">
        <x:v>2.94</x:v>
      </x:c>
      <x:c r="C236" s="11" t="n">
        <x:v>1406.8263113102</x:v>
      </x:c>
      <x:c r="D236" s="11" t="n">
        <x:v>13614.383272704472</x:v>
      </x:c>
      <x:c r="E236" s="9" t="str">
        <x:v>Crabs &amp; Lobster (100.0000%)</x:v>
      </x:c>
      <x:c r="F236" s="9" t="str">
        <x:v>High</x:v>
      </x:c>
      <x:c r="G236" s="9" t="str">
        <x:v>Source explicitly lists the genus Panulirus sp. in Crabs &amp; Lobster; the catch label lies within that genus. No numerical source-size cutoff is stated. Single-group allocation adds no internal composition assumption. See Sources and Allocation evidence.</x:v>
      </x:c>
    </x:row>
    <x:row r="237" ht="96" customHeight="1">
      <x:c r="A237" s="2" t="str">
        <x:v>Diagramma pictum</x:v>
      </x:c>
      <x:c r="B237" s="10" t="n">
        <x:v>3.7</x:v>
      </x:c>
      <x:c r="C237" s="11" t="n">
        <x:v>239.621441558</x:v>
      </x:c>
      <x:c r="D237" s="11" t="n">
        <x:v>13343.911934692575</x:v>
      </x:c>
      <x:c r="E237" s="9" t="str">
        <x:v>Med Benthic Carnivores (100.0000%)</x:v>
      </x:c>
      <x:c r="F237" s="9" t="str">
        <x:v>Medium</x:v>
      </x:c>
      <x:c r="G237" s="9" t="str">
        <x:v>Analyst ecological analogue: Diagramma pictum is a benthic invertebrate-feeding demersal/reef lineage, compared with source sciaenids and flatheads; Bulletin pp. 11-20 does not name this taxon, so this is not source membership. SAU class: Large reef assoc. fish (&gt;=90 cm). This is a guild extension, not explicit taxonomic membership; provider size bins are not the source model’s operative thresholds. Single-group allocation adds no internal composition assumption. See Sources and Allocation evidence.</x:v>
      </x:c>
    </x:row>
    <x:row r="238" ht="112" customHeight="1">
      <x:c r="A238" s="2" t="str">
        <x:v>Caranx melampygus</x:v>
      </x:c>
      <x:c r="B238" s="10" t="n">
        <x:v>4.49</x:v>
      </x:c>
      <x:c r="C238" s="11" t="n">
        <x:v>36.8502356304</x:v>
      </x:c>
      <x:c r="D238" s="11" t="n">
        <x:v>12653.12387285275</x:v>
      </x:c>
      <x:c r="E238" s="9" t="str">
        <x:v>Large Benthopelagics (100.0000%)</x:v>
      </x:c>
      <x:c r="F238" s="9" t="str">
        <x:v>Low</x:v>
      </x:c>
      <x:c r="G2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9" ht="80" customHeight="1">
      <x:c r="A239" s="2" t="str">
        <x:v>Carcharhinus longimanus</x:v>
      </x:c>
      <x:c r="B239" s="10" t="n">
        <x:v>4.16</x:v>
      </x:c>
      <x:c r="C239" s="11" t="n">
        <x:v>77.8966908449</x:v>
      </x:c>
      <x:c r="D239" s="11" t="n">
        <x:v>12510.55277296874</x:v>
      </x:c>
      <x:c r="E239" s="9" t="str">
        <x:v>Sharks (100.0000%)</x:v>
      </x:c>
      <x:c r="F239" s="9" t="str">
        <x:v>High</x:v>
      </x:c>
      <x:c r="G23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0" ht="80" customHeight="1">
      <x:c r="A240" s="2" t="str">
        <x:v>Tenualosa ilisha</x:v>
      </x:c>
      <x:c r="B240" s="10" t="n">
        <x:v>2.2</x:v>
      </x:c>
      <x:c r="C240" s="11" t="n">
        <x:v>7029.5433802274</x:v>
      </x:c>
      <x:c r="D240" s="11" t="n">
        <x:v>12378.972721591661</x:v>
      </x:c>
      <x:c r="E240" s="9" t="str">
        <x:v>Clupeids (100.0000%)</x:v>
      </x:c>
      <x:c r="F240" s="9" t="str">
        <x:v>Medium</x:v>
      </x:c>
      <x:c r="G240" s="9" t="str">
        <x:v>Taxonomy/catch ecology links Tenualosa ilisha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41" ht="128" customHeight="1">
      <x:c r="A241" s="2" t="str">
        <x:v>Atropus armatus</x:v>
      </x:c>
      <x:c r="B241" s="10" t="n">
        <x:v>4.15</x:v>
      </x:c>
      <x:c r="C241" s="11" t="n">
        <x:v>72.39867264749999</x:v>
      </x:c>
      <x:c r="D241" s="11" t="n">
        <x:v>11362.871477271805</x:v>
      </x:c>
      <x:c r="E241" s="9" t="str">
        <x:v>Small Benthopelagics (100.0000%)</x:v>
      </x:c>
      <x:c r="F241" s="9" t="str">
        <x:v>Low</x:v>
      </x:c>
      <x:c r="G241"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2" ht="80" customHeight="1">
      <x:c r="A242" s="2" t="str">
        <x:v>Carcharhinus albimarginatus</x:v>
      </x:c>
      <x:c r="B242" s="10" t="n">
        <x:v>4.21</x:v>
      </x:c>
      <x:c r="C242" s="11" t="n">
        <x:v>62.77281302839999</x:v>
      </x:c>
      <x:c r="D242" s="11" t="n">
        <x:v>11311.731334342589</x:v>
      </x:c>
      <x:c r="E242" s="9" t="str">
        <x:v>Sharks (100.0000%)</x:v>
      </x:c>
      <x:c r="F242" s="9" t="str">
        <x:v>High</x:v>
      </x:c>
      <x:c r="G24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3" ht="80" customHeight="1">
      <x:c r="A243" s="2" t="str">
        <x:v>Protonibea diacanthus</x:v>
      </x:c>
      <x:c r="B243" s="10" t="n">
        <x:v>3.5</x:v>
      </x:c>
      <x:c r="C243" s="11" t="n">
        <x:v>313.9796068624</x:v>
      </x:c>
      <x:c r="D243" s="11" t="n">
        <x:v>11032.118850326868</x:v>
      </x:c>
      <x:c r="E243" s="9" t="str">
        <x:v>Med Benthic Carnivores (100.0000%)</x:v>
      </x:c>
      <x:c r="F243" s="9" t="str">
        <x:v>Medium</x:v>
      </x:c>
      <x:c r="G243" s="9" t="str">
        <x:v>Taxonomy/catch ecology links Protonibea diacanthus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4" ht="64" customHeight="1">
      <x:c r="A244" s="2" t="str">
        <x:v>Lutjanus quinquelineatus</x:v>
      </x:c>
      <x:c r="B244" s="10" t="n">
        <x:v>3.68</x:v>
      </x:c>
      <x:c r="C244" s="11" t="n">
        <x:v>197.0934409627</x:v>
      </x:c>
      <x:c r="D244" s="11" t="n">
        <x:v>10481.650204907066</x:v>
      </x:c>
      <x:c r="E244" s="9" t="str">
        <x:v>Large Benthic Carnivores (100.0000%)</x:v>
      </x:c>
      <x:c r="F244" s="9" t="str">
        <x:v>High</x:v>
      </x:c>
      <x:c r="G24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45" ht="112" customHeight="1">
      <x:c r="A245" s="2" t="str">
        <x:v>Scyris indica</x:v>
      </x:c>
      <x:c r="B245" s="10" t="n">
        <x:v>4.09</x:v>
      </x:c>
      <x:c r="C245" s="11" t="n">
        <x:v>76.2077720442</x:v>
      </x:c>
      <x:c r="D245" s="11" t="n">
        <x:v>10417.338004352008</x:v>
      </x:c>
      <x:c r="E245" s="9" t="str">
        <x:v>Large Benthopelagics (100.0000%)</x:v>
      </x:c>
      <x:c r="F245" s="9" t="str">
        <x:v>Low</x:v>
      </x:c>
      <x:c r="G245"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6" ht="80" customHeight="1">
      <x:c r="A246" s="2" t="str">
        <x:v>Nemipterus</x:v>
      </x:c>
      <x:c r="B246" s="10" t="n">
        <x:v>3.72</x:v>
      </x:c>
      <x:c r="C246" s="11" t="n">
        <x:v>178.3601724019</x:v>
      </x:c>
      <x:c r="D246" s="11" t="n">
        <x:v>10400.527676439197</x:v>
      </x:c>
      <x:c r="E246" s="9" t="str">
        <x:v>Small Benthic Carnivores (100.0000%)</x:v>
      </x:c>
      <x:c r="F246" s="9" t="str">
        <x:v>Medium</x:v>
      </x:c>
      <x:c r="G246" s="9" t="str">
        <x:v>Taxonomy/catch ecology links Nemipterus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247" ht="96" customHeight="1">
      <x:c r="A247" s="2" t="str">
        <x:v>Gerreidae</x:v>
      </x:c>
      <x:c r="B247" s="10" t="n">
        <x:v>3.03</x:v>
      </x:c>
      <x:c r="C247" s="11" t="n">
        <x:v>861.1587998386</x:v>
      </x:c>
      <x:c r="D247" s="11" t="n">
        <x:v>10252.75865447008</x:v>
      </x:c>
      <x:c r="E247" s="9" t="str">
        <x:v>Small Benthic Carnivores (100.0000%)</x:v>
      </x:c>
      <x:c r="F247" s="9" t="str">
        <x:v>Medium</x:v>
      </x:c>
      <x:c r="G247" s="9" t="str">
        <x:v>Analyst ecological analogue: Gerreidae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48" ht="80" customHeight="1">
      <x:c r="A248" s="2" t="str">
        <x:v>Pleuronectiformes</x:v>
      </x:c>
      <x:c r="B248" s="10" t="n">
        <x:v>3.57</x:v>
      </x:c>
      <x:c r="C248" s="11" t="n">
        <x:v>246.3103623643</x:v>
      </x:c>
      <x:c r="D248" s="11" t="n">
        <x:v>10168.10854555864</x:v>
      </x:c>
      <x:c r="E248" s="9" t="str">
        <x:v>Med Benthic Carnivores (17.3452%); Benthic Omnivores (82.6548%)</x:v>
      </x:c>
      <x:c r="F248" s="9" t="str">
        <x:v>Medium</x:v>
      </x:c>
      <x:c r="G248"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249" ht="64" customHeight="1">
      <x:c r="A249" s="2" t="str">
        <x:v>Ablennes hians</x:v>
      </x:c>
      <x:c r="B249" s="10" t="n">
        <x:v>4.5</x:v>
      </x:c>
      <x:c r="C249" s="11" t="n">
        <x:v>28.7832680703</x:v>
      </x:c>
      <x:c r="D249" s="11" t="n">
        <x:v>10113.409511705278</x:v>
      </x:c>
      <x:c r="E249" s="9" t="str">
        <x:v>Large Pelagics (100.0000%)</x:v>
      </x:c>
      <x:c r="F249" s="9" t="str">
        <x:v>Medium</x:v>
      </x:c>
      <x:c r="G249" s="9" t="str">
        <x:v>Neritic/oceanic surface piscivore is a supported ecological extension of Large Pelagics. FAO/FishBase and the Arabian Sea needlefish diet study support the habitat/diet match; not an explicit source member. Single-group allocation adds no internal composition assumption. See Sources and Allocation evidence.</x:v>
      </x:c>
    </x:row>
    <x:row r="250" ht="96" customHeight="1">
      <x:c r="A250" s="2" t="str">
        <x:v>Lethrinus microdon</x:v>
      </x:c>
      <x:c r="B250" s="10" t="n">
        <x:v>3.79</x:v>
      </x:c>
      <x:c r="C250" s="11" t="n">
        <x:v>144.8482167059</x:v>
      </x:c>
      <x:c r="D250" s="11" t="n">
        <x:v>9923.631827711864</x:v>
      </x:c>
      <x:c r="E250" s="9" t="str">
        <x:v>Med Benthic Carnivores (100.0000%)</x:v>
      </x:c>
      <x:c r="F250" s="9" t="str">
        <x:v>Medium</x:v>
      </x:c>
      <x:c r="G250" s="9" t="str">
        <x:v>Analyst ecological analogue: Lethrinus microdon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51" ht="48" customHeight="1">
      <x:c r="A251" s="2" t="str">
        <x:v>Sphyrna lewini</x:v>
      </x:c>
      <x:c r="B251" s="10" t="n">
        <x:v>4.08</x:v>
      </x:c>
      <x:c r="C251" s="11" t="n">
        <x:v>70.8423699149</x:v>
      </x:c>
      <x:c r="D251" s="11" t="n">
        <x:v>9463.473534743876</x:v>
      </x:c>
      <x:c r="E251" s="9" t="str">
        <x:v>Sharks (100.0000%)</x:v>
      </x:c>
      <x:c r="F251" s="9" t="str">
        <x:v>High</x:v>
      </x:c>
      <x:c r="G251" s="9" t="str">
        <x:v>Source explicitly lists Sphyrna lewini in Sharks (CMFRI Bulletin 51 printed p. 11 / PDF p. 21; member 7). Single-group allocation adds no internal composition assumption. See Sources and Allocation evidence.</x:v>
      </x:c>
    </x:row>
    <x:row r="252" ht="80" customHeight="1">
      <x:c r="A252" s="2" t="str">
        <x:v>Gymnosarda unicolor</x:v>
      </x:c>
      <x:c r="B252" s="10" t="n">
        <x:v>4.5</x:v>
      </x:c>
      <x:c r="C252" s="11" t="n">
        <x:v>26.4339358961</x:v>
      </x:c>
      <x:c r="D252" s="11" t="n">
        <x:v>9287.938328284448</x:v>
      </x:c>
      <x:c r="E252" s="9" t="str">
        <x:v>Tunas (100.0000%)</x:v>
      </x:c>
      <x:c r="F252" s="9" t="str">
        <x:v>Medium</x:v>
      </x:c>
      <x:c r="G252" s="9" t="str">
        <x:v>Taxonomy/catch ecology links Gymnosarda unicolor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253" ht="80" customHeight="1">
      <x:c r="A253" s="2" t="str">
        <x:v>Carcharhinus</x:v>
      </x:c>
      <x:c r="B253" s="10" t="n">
        <x:v>4.26</x:v>
      </x:c>
      <x:c r="C253" s="11" t="n">
        <x:v>44.8729973553</x:v>
      </x:c>
      <x:c r="D253" s="11" t="n">
        <x:v>9072.825757315879</x:v>
      </x:c>
      <x:c r="E253" s="9" t="str">
        <x:v>Sharks (100.0000%)</x:v>
      </x:c>
      <x:c r="F253" s="9" t="str">
        <x:v>High</x:v>
      </x:c>
      <x:c r="G25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54" ht="80" customHeight="1">
      <x:c r="A254" s="2" t="str">
        <x:v>Cnidaria</x:v>
      </x:c>
      <x:c r="B254" s="10" t="n">
        <x:v>2.5</x:v>
      </x:c>
      <x:c r="C254" s="11" t="n">
        <x:v>2478.493102748</x:v>
      </x:c>
      <x:c r="D254" s="11" t="n">
        <x:v>8708.537077446012</x:v>
      </x:c>
      <x:c r="E254" s="9" t="str">
        <x:v>Micro Nekton (100.0000%)</x:v>
      </x:c>
      <x:c r="F254" s="9" t="str">
        <x:v>Medium</x:v>
      </x:c>
      <x:c r="G254" s="9" t="str">
        <x:v>Regional functional metadata labels this phylum-level record Jellyfish, supporting Micro Nekton as a fishery interpretation. Cnidaria also includes non-jellyfish benthos, so full taxonomic containment is not claimed. Single-group allocation adds no internal composition assumption. See Sources and Allocation evidence.</x:v>
      </x:c>
    </x:row>
    <x:row r="255" ht="64" customHeight="1">
      <x:c r="A255" s="2" t="str">
        <x:v>Lutjanus russellii</x:v>
      </x:c>
      <x:c r="B255" s="10" t="n">
        <x:v>4.1</x:v>
      </x:c>
      <x:c r="C255" s="11" t="n">
        <x:v>61.9176394999</x:v>
      </x:c>
      <x:c r="D255" s="11" t="n">
        <x:v>8661.076644970479</x:v>
      </x:c>
      <x:c r="E255" s="9" t="str">
        <x:v>Large Benthic Carnivores (100.0000%)</x:v>
      </x:c>
      <x:c r="F255" s="9" t="str">
        <x:v>High</x:v>
      </x:c>
      <x:c r="G25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56" ht="80" customHeight="1">
      <x:c r="A256" s="2" t="str">
        <x:v>Leiognathus equula</x:v>
      </x:c>
      <x:c r="B256" s="10" t="n">
        <x:v>2.95</x:v>
      </x:c>
      <x:c r="C256" s="11" t="n">
        <x:v>817.6882328239</x:v>
      </x:c>
      <x:c r="D256" s="11" t="n">
        <x:v>8097.393384502507</x:v>
      </x:c>
      <x:c r="E256" s="9" t="str">
        <x:v>Small Benthic Carnivores (100.0000%)</x:v>
      </x:c>
      <x:c r="F256" s="9" t="str">
        <x:v>Medium</x:v>
      </x:c>
      <x:c r="G256" s="9" t="str">
        <x:v>Taxonomy/catch ecology links Leiognathus equula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57" ht="80" customHeight="1">
      <x:c r="A257" s="2" t="str">
        <x:v>Rachycentridae</x:v>
      </x:c>
      <x:c r="B257" s="10" t="n">
        <x:v>3.96</x:v>
      </x:c>
      <x:c r="C257" s="11" t="n">
        <x:v>76.4946209167</x:v>
      </x:c>
      <x:c r="D257" s="11" t="n">
        <x:v>7751.547047605743</x:v>
      </x:c>
      <x:c r="E257" s="9" t="str">
        <x:v>Large Pelagics (100.0000%)</x:v>
      </x:c>
      <x:c r="F257" s="9" t="str">
        <x:v>Medium</x:v>
      </x:c>
      <x:c r="G257" s="9" t="str">
        <x:v>Taxonomy/catch ecology links Rachycentridae (Rachycentridae)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258" ht="80" customHeight="1">
      <x:c r="A258" s="2" t="str">
        <x:v>Sepioteuthis lessoniana</x:v>
      </x:c>
      <x:c r="B258" s="10" t="n">
        <x:v>3.98</x:v>
      </x:c>
      <x:c r="C258" s="11" t="n">
        <x:v>69.91063238939999</x:v>
      </x:c>
      <x:c r="D258" s="11" t="n">
        <x:v>7418.237290660784</x:v>
      </x:c>
      <x:c r="E258" s="9" t="str">
        <x:v>Cephalopods (100.0000%)</x:v>
      </x:c>
      <x:c r="F258" s="9" t="str">
        <x:v>Medium</x:v>
      </x:c>
      <x:c r="G258" s="9" t="str">
        <x:v>Taxonomy/catch ecology links Sepioteuthis lessoniana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259" ht="80" customHeight="1">
      <x:c r="A259" s="2" t="str">
        <x:v>Carcharhinus amblyrhynchoides</x:v>
      </x:c>
      <x:c r="B259" s="10" t="n">
        <x:v>4.22</x:v>
      </x:c>
      <x:c r="C259" s="11" t="n">
        <x:v>39.2044933063</x:v>
      </x:c>
      <x:c r="D259" s="11" t="n">
        <x:v>7229.251533762104</x:v>
      </x:c>
      <x:c r="E259" s="9" t="str">
        <x:v>Sharks (100.0000%)</x:v>
      </x:c>
      <x:c r="F259" s="9" t="str">
        <x:v>High</x:v>
      </x:c>
      <x:c r="G25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0" ht="80" customHeight="1">
      <x:c r="A260" s="2" t="str">
        <x:v>Nebrius ferrugineus</x:v>
      </x:c>
      <x:c r="B260" s="10" t="n">
        <x:v>4.1</x:v>
      </x:c>
      <x:c r="C260" s="11" t="n">
        <x:v>51.4256960025</x:v>
      </x:c>
      <x:c r="D260" s="11" t="n">
        <x:v>7193.457279638767</x:v>
      </x:c>
      <x:c r="E260" s="9" t="str">
        <x:v>Sharks (100.0000%)</x:v>
      </x:c>
      <x:c r="F260" s="9" t="str">
        <x:v>High</x:v>
      </x:c>
      <x:c r="G2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1" ht="80" customHeight="1">
      <x:c r="A261" s="2" t="str">
        <x:v>Thryssa dussumieri</x:v>
      </x:c>
      <x:c r="B261" s="10" t="n">
        <x:v>2.82</x:v>
      </x:c>
      <x:c r="C261" s="11" t="n">
        <x:v>945.5750839089001</x:v>
      </x:c>
      <x:c r="D261" s="11" t="n">
        <x:v>6941.502917087144</x:v>
      </x:c>
      <x:c r="E261" s="9" t="str">
        <x:v>Clupeids (100.0000%)</x:v>
      </x:c>
      <x:c r="F261" s="9" t="str">
        <x:v>Medium</x:v>
      </x:c>
      <x:c r="G261" s="9" t="str">
        <x:v>Taxonomy/catch ecology links Thryssa dussumieri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262" ht="80" customHeight="1">
      <x:c r="A262" s="2" t="str">
        <x:v>Carcharhiniformes</x:v>
      </x:c>
      <x:c r="B262" s="10" t="n">
        <x:v>4.08</x:v>
      </x:c>
      <x:c r="C262" s="11" t="n">
        <x:v>51.3218003719</x:v>
      </x:c>
      <x:c r="D262" s="11" t="n">
        <x:v>6855.819478630009</x:v>
      </x:c>
      <x:c r="E262" s="9" t="str">
        <x:v>Sharks (100.0000%)</x:v>
      </x:c>
      <x:c r="F262" s="9" t="str">
        <x:v>High</x:v>
      </x:c>
      <x:c r="G26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3" ht="64" customHeight="1">
      <x:c r="A263" s="2" t="str">
        <x:v>Siganus</x:v>
      </x:c>
      <x:c r="B263" s="10" t="n">
        <x:v>2.11</x:v>
      </x:c>
      <x:c r="C263" s="11" t="n">
        <x:v>4772.0980873942</x:v>
      </x:c>
      <x:c r="D263" s="11" t="n">
        <x:v>6830.725801912489</x:v>
      </x:c>
      <x:c r="E263" s="9" t="str">
        <x:v>Benthic Omnivores (100.0000%)</x:v>
      </x:c>
      <x:c r="F263" s="9" t="str">
        <x:v>Very low</x:v>
      </x:c>
      <x:c r="G26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64" ht="64" customHeight="1">
      <x:c r="A264" s="2" t="str">
        <x:v>Alepes djedaba</x:v>
      </x:c>
      <x:c r="B264" s="10" t="n">
        <x:v>3.32</x:v>
      </x:c>
      <x:c r="C264" s="11" t="n">
        <x:v>275.3715488328</x:v>
      </x:c>
      <x:c r="D264" s="11" t="n">
        <x:v>6392.585683596145</x:v>
      </x:c>
      <x:c r="E264" s="9" t="str">
        <x:v>Small Benthopelagics (100.0000%)</x:v>
      </x:c>
      <x:c r="F264" s="9" t="str">
        <x:v>High</x:v>
      </x:c>
      <x:c r="G264" s="9" t="str">
        <x:v>Source explicitly lists Caranx kalla in Small Benthopelagics (printed p. 12 / PDF p. 22; WoRMS accepted-name relation). WoRMS links the catch label to accepted name Alepes djedaba. Single-group allocation adds no internal composition assumption. See Sources and Allocation evidence.</x:v>
      </x:c>
    </x:row>
    <x:row r="265" ht="64" customHeight="1">
      <x:c r="A265" s="2" t="str">
        <x:v>Panulirus</x:v>
      </x:c>
      <x:c r="B265" s="10" t="n">
        <x:v>2.6</x:v>
      </x:c>
      <x:c r="C265" s="11" t="n">
        <x:v>1433.8668301254</x:v>
      </x:c>
      <x:c r="D265" s="11" t="n">
        <x:v>6342.585185463723</x:v>
      </x:c>
      <x:c r="E265" s="9" t="str">
        <x:v>Crabs &amp; Lobster (100.0000%)</x:v>
      </x:c>
      <x:c r="F265" s="9" t="str">
        <x:v>High</x:v>
      </x:c>
      <x:c r="G265" s="9" t="str">
        <x:v>Source explicitly lists the genus Panulirus sp. in Crabs &amp; Lobster; the catch label lies within that genus. No numerical source-size cutoff is stated. Single-group allocation adds no internal composition assumption. See Sources and Allocation evidence.</x:v>
      </x:c>
    </x:row>
    <x:row r="266" ht="96" customHeight="1">
      <x:c r="A266" s="2" t="str">
        <x:v>Pomadasys argenteus</x:v>
      </x:c>
      <x:c r="B266" s="10" t="n">
        <x:v>3.47</x:v>
      </x:c>
      <x:c r="C266" s="11" t="n">
        <x:v>183.7921848953</x:v>
      </x:c>
      <x:c r="D266" s="11" t="n">
        <x:v>6026.7687983576</x:v>
      </x:c>
      <x:c r="E266" s="9" t="str">
        <x:v>Med Benthic Carnivores (100.0000%)</x:v>
      </x:c>
      <x:c r="F266" s="9" t="str">
        <x:v>Medium</x:v>
      </x:c>
      <x:c r="G266" s="9" t="str">
        <x:v>Analyst ecological analogue: Pomadasys argenteus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67" ht="80" customHeight="1">
      <x:c r="A267" s="2" t="str">
        <x:v>Mytilidae</x:v>
      </x:c>
      <x:c r="B267" s="10" t="n">
        <x:v>2</x:v>
      </x:c>
      <x:c r="C267" s="11" t="n">
        <x:v>5115.2690789387</x:v>
      </x:c>
      <x:c r="D267" s="11" t="n">
        <x:v>5683.632309931888</x:v>
      </x:c>
      <x:c r="E267" s="9" t="str">
        <x:v>Heterotrophic Benthos (100.0000%)</x:v>
      </x:c>
      <x:c r="F267" s="9" t="str">
        <x:v>High</x:v>
      </x:c>
      <x:c r="G26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8" ht="112" customHeight="1">
      <x:c r="A268" s="2" t="str">
        <x:v>Trachinotus mookalee</x:v>
      </x:c>
      <x:c r="B268" s="10" t="n">
        <x:v>3.78</x:v>
      </x:c>
      <x:c r="C268" s="11" t="n">
        <x:v>80.1045331388</x:v>
      </x:c>
      <x:c r="D268" s="11" t="n">
        <x:v>5363.083814532776</x:v>
      </x:c>
      <x:c r="E268" s="9" t="str">
        <x:v>Small Benthopelagics (100.0000%)</x:v>
      </x:c>
      <x:c r="F268" s="9" t="str">
        <x:v>Low</x:v>
      </x:c>
      <x:c r="G268" s="9" t="str">
        <x:v>Analyst carangid analogue using water-column predation and SAU Medium demersals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69" ht="96" customHeight="1">
      <x:c r="A269" s="2" t="str">
        <x:v>Ophichthidae</x:v>
      </x:c>
      <x:c r="B269" s="10" t="n">
        <x:v>3.64</x:v>
      </x:c>
      <x:c r="C269" s="11" t="n">
        <x:v>110.0270014639</x:v>
      </x:c>
      <x:c r="D269" s="11" t="n">
        <x:v>5336.503123656032</x:v>
      </x:c>
      <x:c r="E269" s="9" t="str">
        <x:v>Med Benthic Carnivores (100.0000%)</x:v>
      </x:c>
      <x:c r="F269" s="9" t="str">
        <x:v>Medium</x:v>
      </x:c>
      <x:c r="G269" s="9" t="str">
        <x:v>Analyst inference: demersal predatory lineage Ophichthidae,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70" ht="96" customHeight="1">
      <x:c r="A270" s="2" t="str">
        <x:v>Plectorhinchus schotaf</x:v>
      </x:c>
      <x:c r="B270" s="10" t="n">
        <x:v>3.82</x:v>
      </x:c>
      <x:c r="C270" s="11" t="n">
        <x:v>70.8966956128</x:v>
      </x:c>
      <x:c r="D270" s="11" t="n">
        <x:v>5204.553586307313</x:v>
      </x:c>
      <x:c r="E270" s="9" t="str">
        <x:v>Med Benthic Carnivores (100.0000%)</x:v>
      </x:c>
      <x:c r="F270" s="9" t="str">
        <x:v>Medium</x:v>
      </x:c>
      <x:c r="G270" s="9" t="str">
        <x:v>Analyst ecological analogue: Plectorhinchus schotaf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1" ht="96" customHeight="1">
      <x:c r="A271" s="2" t="str">
        <x:v>Moolgarda seheli</x:v>
      </x:c>
      <x:c r="B271" s="10" t="n">
        <x:v>2.32</x:v>
      </x:c>
      <x:c r="C271" s="11" t="n">
        <x:v>2177.339695119</x:v>
      </x:c>
      <x:c r="D271" s="11" t="n">
        <x:v>5054.563778407823</x:v>
      </x:c>
      <x:c r="E271" s="9" t="str">
        <x:v>Benthic Omnivores (100.0000%)</x:v>
      </x:c>
      <x:c r="F271" s="9" t="str">
        <x:v>Low</x:v>
      </x:c>
      <x:c r="G271" s="9" t="str">
        <x:v>Analyst ecological analogue: Moolgarda seheli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2" ht="64" customHeight="1">
      <x:c r="A272" s="2" t="str">
        <x:v>Bregmaceros mcclellandi</x:v>
      </x:c>
      <x:c r="B272" s="10" t="n">
        <x:v>3.3</x:v>
      </x:c>
      <x:c r="C272" s="11" t="n">
        <x:v>220.7688407029</x:v>
      </x:c>
      <x:c r="D272" s="11" t="n">
        <x:v>4894.352757487377</x:v>
      </x:c>
      <x:c r="E272" s="9" t="str">
        <x:v>Anchovies (100.0000%)</x:v>
      </x:c>
      <x:c r="F272" s="9" t="str">
        <x:v>High</x:v>
      </x:c>
      <x:c r="G272" s="9" t="str">
        <x:v>Source explicitly lists Bregmaceros mcclellandi in Anchovies (CMFRI Bulletin 51 printed p. 12 / PDF p. 22; member 74). Single-group allocation adds no internal composition assumption. See Sources and Allocation evidence.</x:v>
      </x:c>
    </x:row>
    <x:row r="273" ht="96" customHeight="1">
      <x:c r="A273" s="2" t="str">
        <x:v>Gerres oyena</x:v>
      </x:c>
      <x:c r="B273" s="10" t="n">
        <x:v>3.07</x:v>
      </x:c>
      <x:c r="C273" s="11" t="n">
        <x:v>374.836913513</x:v>
      </x:c>
      <x:c r="D273" s="11" t="n">
        <x:v>4893.277479861149</x:v>
      </x:c>
      <x:c r="E273" s="9" t="str">
        <x:v>Small Benthic Carnivores (100.0000%)</x:v>
      </x:c>
      <x:c r="F273" s="9" t="str">
        <x:v>Medium</x:v>
      </x:c>
      <x:c r="G273" s="9" t="str">
        <x:v>Analyst ecological analogue: Gerres oyena is a small demersal benthic feeder, compared with source goatfishes and threadfin breams;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4" ht="80" customHeight="1">
      <x:c r="A274" s="2" t="str">
        <x:v>Epinephelus fuscoguttatus</x:v>
      </x:c>
      <x:c r="B274" s="10" t="n">
        <x:v>4.14</x:v>
      </x:c>
      <x:c r="C274" s="11" t="n">
        <x:v>30.2439927719</x:v>
      </x:c>
      <x:c r="D274" s="11" t="n">
        <x:v>4638.703524566014</x:v>
      </x:c>
      <x:c r="E274" s="9" t="str">
        <x:v>Large Benthic Carnivores (100.0000%)</x:v>
      </x:c>
      <x:c r="F274" s="9" t="str">
        <x:v>Medium</x:v>
      </x:c>
      <x:c r="G274" s="9" t="str">
        <x:v>Taxonomy/catch ecology links Epinephelus fuscoguttatus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75" ht="96" customHeight="1">
      <x:c r="A275" s="2" t="str">
        <x:v>Planiliza klunzingeri</x:v>
      </x:c>
      <x:c r="B275" s="10" t="n">
        <x:v>2.63</x:v>
      </x:c>
      <x:c r="C275" s="11" t="n">
        <x:v>973.8521671146</x:v>
      </x:c>
      <x:c r="D275" s="11" t="n">
        <x:v>4615.837653684824</x:v>
      </x:c>
      <x:c r="E275" s="9" t="str">
        <x:v>Benthic Omnivores (100.0000%)</x:v>
      </x:c>
      <x:c r="F275" s="9" t="str">
        <x:v>Low</x:v>
      </x:c>
      <x:c r="G275" s="9" t="str">
        <x:v>Analyst ecological analogue: Planiliza klunzingeri is a shallow benthic omnivory/detritivory, compared with the source Benthic Omnivores guild;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6" ht="80" customHeight="1">
      <x:c r="A276" s="2" t="str">
        <x:v>Pristipomoides</x:v>
      </x:c>
      <x:c r="B276" s="10" t="n">
        <x:v>3.91</x:v>
      </x:c>
      <x:c r="C276" s="11" t="n">
        <x:v>48.3603788729</x:v>
      </x:c>
      <x:c r="D276" s="11" t="n">
        <x:v>4367.643524572302</x:v>
      </x:c>
      <x:c r="E276" s="9" t="str">
        <x:v>Large Benthic Carnivores (100.0000%)</x:v>
      </x:c>
      <x:c r="F276" s="9" t="str">
        <x:v>Medium</x:v>
      </x:c>
      <x:c r="G276" s="9" t="str">
        <x:v>Taxonomy/catch ecology links Pristipomoides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277" ht="96" customHeight="1">
      <x:c r="A277" s="2" t="str">
        <x:v>Gerres</x:v>
      </x:c>
      <x:c r="B277" s="10" t="n">
        <x:v>3.27</x:v>
      </x:c>
      <x:c r="C277" s="11" t="n">
        <x:v>206.116103661</x:v>
      </x:c>
      <x:c r="D277" s="11" t="n">
        <x:v>4264.512725402425</x:v>
      </x:c>
      <x:c r="E277" s="9" t="str">
        <x:v>Small Benthic Carnivores (100.0000%)</x:v>
      </x:c>
      <x:c r="F277" s="9" t="str">
        <x:v>Medium</x:v>
      </x:c>
      <x:c r="G277" s="9" t="str">
        <x:v>Analyst ecological analogue: Gerres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78" ht="80" customHeight="1">
      <x:c r="A278" s="2" t="str">
        <x:v>Sardinella</x:v>
      </x:c>
      <x:c r="B278" s="10" t="n">
        <x:v>2.77</x:v>
      </x:c>
      <x:c r="C278" s="11" t="n">
        <x:v>598.5057446582</x:v>
      </x:c>
      <x:c r="D278" s="11" t="n">
        <x:v>3915.847893731703</x:v>
      </x:c>
      <x:c r="E278" s="9" t="str">
        <x:v>Clupeids (100.0000%)</x:v>
      </x:c>
      <x:c r="F278" s="9" t="str">
        <x:v>Medium</x:v>
      </x:c>
      <x:c r="G278" s="9" t="str">
        <x:v>Taxonomy/catch ecology links Sardinella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79" ht="80" customHeight="1">
      <x:c r="A279" s="2" t="str">
        <x:v>Gobiidae</x:v>
      </x:c>
      <x:c r="B279" s="10" t="n">
        <x:v>3.11</x:v>
      </x:c>
      <x:c r="C279" s="11" t="n">
        <x:v>268.6275609828</x:v>
      </x:c>
      <x:c r="D279" s="11" t="n">
        <x:v>3845.1037223168014</x:v>
      </x:c>
      <x:c r="E279" s="9" t="str">
        <x:v>Small Benthic Carnivores (40.0000%); Small Benthopelagics (18.6275%); Benthic Omnivores (41.3725%)</x:v>
      </x:c>
      <x:c r="F279" s="9" t="str">
        <x:v>Very low</x:v>
      </x:c>
      <x:c r="G279" s="9" t="str">
        <x:v>Coarse gobies have unknown species/feeding composition; approximate small benthic carnivory, omnivory and water-column feeding with three source pools. Reef and specialised feeding remain unmatched. Allocation uses published model catch proportions, assumed constant across regions, years and catch bases; whole-group quantities are a composition proxy. See Sources and Allocation evidence.</x:v>
      </x:c>
    </x:row>
    <x:row r="280" ht="96" customHeight="1">
      <x:c r="A280" s="2" t="str">
        <x:v>Mugil cephalus</x:v>
      </x:c>
      <x:c r="B280" s="10" t="n">
        <x:v>2.14</x:v>
      </x:c>
      <x:c r="C280" s="11" t="n">
        <x:v>2491.5239236417</x:v>
      </x:c>
      <x:c r="D280" s="11" t="n">
        <x:v>3821.400465640714</x:v>
      </x:c>
      <x:c r="E280" s="9" t="str">
        <x:v>Benthic Omnivores (100.0000%)</x:v>
      </x:c>
      <x:c r="F280" s="9" t="str">
        <x:v>Low</x:v>
      </x:c>
      <x:c r="G280" s="9" t="str">
        <x:v>Analyst ecological analogue: Mugil cephalus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81" ht="64" customHeight="1">
      <x:c r="A281" s="2" t="str">
        <x:v>Marine groundfishes not identified</x:v>
      </x:c>
      <x:c r="B281" s="10" t="n">
        <x:v>3.22</x:v>
      </x:c>
      <x:c r="C281" s="11" t="n">
        <x:v>206.9254230252</x:v>
      </x:c>
      <x:c r="D281" s="11" t="n">
        <x:v>3815.6746985400077</x:v>
      </x:c>
      <x:c r="E281" s="9" t="str">
        <x:v>Large Benthic Carnivores (12.3734%); Med Benthic Carnivores (14.5310%); Small Benthic Carnivores (35.9313%); Benthic Omnivores (37.1642%)</x:v>
      </x:c>
      <x:c r="F281" s="9" t="str">
        <x:v>Very low</x:v>
      </x:c>
      <x:c r="G281" s="9" t="str">
        <x:v>Groundfish reporting is approximated by the model’s benthic fish pools; diet/size composition is unknown. Allocation uses published model catch proportions, assumed constant across regions, years and catch bases; whole-group quantities are a composition proxy. See Sources and Allocation evidence.</x:v>
      </x:c>
    </x:row>
    <x:row r="282" ht="80" customHeight="1">
      <x:c r="A282" s="2" t="str">
        <x:v>Metapenaeus</x:v>
      </x:c>
      <x:c r="B282" s="10" t="n">
        <x:v>2.7</x:v>
      </x:c>
      <x:c r="C282" s="11" t="n">
        <x:v>658.9165637525</x:v>
      </x:c>
      <x:c r="D282" s="11" t="n">
        <x:v>3669.339664203376</x:v>
      </x:c>
      <x:c r="E282" s="9" t="str">
        <x:v>Shrimps (100.0000%)</x:v>
      </x:c>
      <x:c r="F282" s="9" t="str">
        <x:v>High</x:v>
      </x:c>
      <x:c r="G28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83" ht="64" customHeight="1">
      <x:c r="A283" s="2" t="str">
        <x:v>Upeneus sulphureus</x:v>
      </x:c>
      <x:c r="B283" s="10" t="n">
        <x:v>3.08</x:v>
      </x:c>
      <x:c r="C283" s="11" t="n">
        <x:v>273.4688693824</x:v>
      </x:c>
      <x:c r="D283" s="11" t="n">
        <x:v>3653.132173705492</x:v>
      </x:c>
      <x:c r="E283" s="9" t="str">
        <x:v>Small Benthic Carnivores (100.0000%)</x:v>
      </x:c>
      <x:c r="F283" s="9" t="str">
        <x:v>High</x:v>
      </x:c>
      <x:c r="G283" s="9" t="str">
        <x:v>Source explicitly lists the genus Upeneus sp. in Small Benthic Carnivores; the catch label lies within that genus. No numerical source-size cutoff is stated. Single-group allocation adds no internal composition assumption. See Sources and Allocation evidence.</x:v>
      </x:c>
    </x:row>
    <x:row r="284" ht="96" customHeight="1">
      <x:c r="A284" s="2" t="str">
        <x:v>Cheimerius nufar</x:v>
      </x:c>
      <x:c r="B284" s="10" t="n">
        <x:v>3.54</x:v>
      </x:c>
      <x:c r="C284" s="11" t="n">
        <x:v>93.5392838267</x:v>
      </x:c>
      <x:c r="D284" s="11" t="n">
        <x:v>3603.7240741839328</x:v>
      </x:c>
      <x:c r="E284" s="9" t="str">
        <x:v>Med Benthic Carnivores (100.0000%)</x:v>
      </x:c>
      <x:c r="F284" s="9" t="str">
        <x:v>Medium</x:v>
      </x:c>
      <x:c r="G284" s="9" t="str">
        <x:v>Analyst ecological analogue: Cheimerius nufar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85" ht="128" customHeight="1">
      <x:c r="A285" s="2" t="str">
        <x:v>Ferdauia orthogrammus</x:v>
      </x:c>
      <x:c r="B285" s="10" t="n">
        <x:v>4.48</x:v>
      </x:c>
      <x:c r="C285" s="11" t="n">
        <x:v>10.6467126222</x:v>
      </x:c>
      <x:c r="D285" s="11" t="n">
        <x:v>3572.5064555598647</x:v>
      </x:c>
      <x:c r="E285" s="9" t="str">
        <x:v>Med Benthic Carnivores (100.0000%)</x:v>
      </x:c>
      <x:c r="F285" s="9" t="str">
        <x:v>Low</x:v>
      </x:c>
      <x:c r="G285" s="9" t="str">
        <x:v>Analyst benthic-feeding analogue: FishBase documents small crustaceans taken from sandy channels/reef basins and common 40 cm FL (https: //www.fishbase.se/Country/CountrySpeciesSummary.php?c_code=508&amp;id=1909). The source medium benthic carnivores consume crustaceans and fish (Bulletin p. 17). Reef/island habitat and absence from the printed member list limit confidence; the former small-scad inference is unsupported. This is a guild extension, not explicit taxonomic membership; provider size bins are not the source model’s operative thresholds. Single-group allocation adds no internal composition assumption. See Sources and Allocation evidence.</x:v>
      </x:c>
    </x:row>
    <x:row r="286" ht="64" customHeight="1">
      <x:c r="A286" s="2" t="str">
        <x:v>Parapenaeopsis stylifera</x:v>
      </x:c>
      <x:c r="B286" s="10" t="n">
        <x:v>2.66</x:v>
      </x:c>
      <x:c r="C286" s="11" t="n">
        <x:v>663.4540086032</x:v>
      </x:c>
      <x:c r="D286" s="11" t="n">
        <x:v>3369.522129835206</x:v>
      </x:c>
      <x:c r="E286" s="9" t="str">
        <x:v>Shrimps (100.0000%)</x:v>
      </x:c>
      <x:c r="F286" s="9" t="str">
        <x:v>High</x:v>
      </x:c>
      <x:c r="G286" s="9" t="str">
        <x:v>Source explicitly lists Parapenaeopsis stylifera in Shrimps (CMFRI Bulletin 51 printed p. 12 / PDF p. 22; member 81). Single-group allocation adds no internal composition assumption. See Sources and Allocation evidence.</x:v>
      </x:c>
    </x:row>
    <x:row r="287" ht="96" customHeight="1">
      <x:c r="A287" s="2" t="str">
        <x:v>Aethaloperca rogaa</x:v>
      </x:c>
      <x:c r="B287" s="10" t="n">
        <x:v>4.2</x:v>
      </x:c>
      <x:c r="C287" s="11" t="n">
        <x:v>19.1309960553</x:v>
      </x:c>
      <x:c r="D287" s="11" t="n">
        <x:v>3368.9539347828218</x:v>
      </x:c>
      <x:c r="E287" s="9" t="str">
        <x:v>Large Benthic Carnivores (100.0000%)</x:v>
      </x:c>
      <x:c r="F287" s="9" t="str">
        <x:v>Medium</x:v>
      </x:c>
      <x:c r="G287" s="9" t="str">
        <x:v>Taxonomy/catch ecology links Aethaloperca rogaa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88" ht="96" customHeight="1">
      <x:c r="A288" s="2" t="str">
        <x:v>Drepane</x:v>
      </x:c>
      <x:c r="B288" s="10" t="n">
        <x:v>3.32</x:v>
      </x:c>
      <x:c r="C288" s="11" t="n">
        <x:v>139.6850337186</x:v>
      </x:c>
      <x:c r="D288" s="11" t="n">
        <x:v>3242.7044498498553</x:v>
      </x:c>
      <x:c r="E288" s="9" t="str">
        <x:v>Med Benthic Carnivores (100.0000%)</x:v>
      </x:c>
      <x:c r="F288" s="9" t="str">
        <x:v>Medium</x:v>
      </x:c>
      <x:c r="G288" s="9" t="str">
        <x:v>Analyst ecological analogue: Drepane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289" ht="64" customHeight="1">
      <x:c r="A289" s="2" t="str">
        <x:v>Mene maculata</x:v>
      </x:c>
      <x:c r="B289" s="10" t="n">
        <x:v>3.45</x:v>
      </x:c>
      <x:c r="C289" s="11" t="n">
        <x:v>100.0254615991</x:v>
      </x:c>
      <x:c r="D289" s="11" t="n">
        <x:v>3132.3339295861288</x:v>
      </x:c>
      <x:c r="E289" s="9" t="str">
        <x:v>Small Benthopelagics (100.0000%)</x:v>
      </x:c>
      <x:c r="F289" s="9" t="str">
        <x:v>High</x:v>
      </x:c>
      <x:c r="G289" s="9" t="str">
        <x:v>Source explicitly lists Mene maculata in Small Benthopelagics (CMFRI Bulletin 51 printed p. 12 / PDF p. 22; member 59). Single-group allocation adds no internal composition assumption. See Sources and Allocation evidence.</x:v>
      </x:c>
    </x:row>
    <x:row r="290" ht="80" customHeight="1">
      <x:c r="A290" s="2" t="str">
        <x:v>Platycephalidae</x:v>
      </x:c>
      <x:c r="B290" s="10" t="n">
        <x:v>3.9</x:v>
      </x:c>
      <x:c r="C290" s="11" t="n">
        <x:v>33.2178930692</x:v>
      </x:c>
      <x:c r="D290" s="11" t="n">
        <x:v>2931.767818101953</x:v>
      </x:c>
      <x:c r="E290" s="9" t="str">
        <x:v>Med Benthic Carnivores (100.0000%)</x:v>
      </x:c>
      <x:c r="F290" s="9" t="str">
        <x:v>Medium</x:v>
      </x:c>
      <x:c r="G290" s="9" t="str">
        <x:v>Taxonomy/catch ecology links Platycephalidae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91" ht="96" customHeight="1">
      <x:c r="A291" s="2" t="str">
        <x:v>Chanos chanos</x:v>
      </x:c>
      <x:c r="B291" s="10" t="n">
        <x:v>2.03</x:v>
      </x:c>
      <x:c r="C291" s="11" t="n">
        <x:v>2439.8292221102</x:v>
      </x:c>
      <x:c r="D291" s="11" t="n">
        <x:v>2904.8045699710337</x:v>
      </x:c>
      <x:c r="E291" s="9" t="str">
        <x:v>Benthic Omnivores (100.0000%)</x:v>
      </x:c>
      <x:c r="F291" s="9" t="str">
        <x:v>Low</x:v>
      </x:c>
      <x:c r="G291" s="9" t="str">
        <x:v>Analyst ecological analogue: Chanos chanos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92" ht="96" customHeight="1">
      <x:c r="A292" s="2" t="str">
        <x:v>Lethrinus mahsena</x:v>
      </x:c>
      <x:c r="B292" s="10" t="n">
        <x:v>3.43</x:v>
      </x:c>
      <x:c r="C292" s="11" t="n">
        <x:v>95.8082475609</x:v>
      </x:c>
      <x:c r="D292" s="11" t="n">
        <x:v>2865.2359201489835</x:v>
      </x:c>
      <x:c r="E292" s="9" t="str">
        <x:v>Med Benthic Carnivores (100.0000%)</x:v>
      </x:c>
      <x:c r="F292" s="9" t="str">
        <x:v>Medium</x:v>
      </x:c>
      <x:c r="G292" s="9" t="str">
        <x:v>Analyst ecological analogue: Lethrinus mahsena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93" ht="64" customHeight="1">
      <x:c r="A293" s="2" t="str">
        <x:v>Terapon</x:v>
      </x:c>
      <x:c r="B293" s="10" t="n">
        <x:v>3.5</x:v>
      </x:c>
      <x:c r="C293" s="11" t="n">
        <x:v>81.10070015390001</x:v>
      </x:c>
      <x:c r="D293" s="11" t="n">
        <x:v>2849.588136896581</x:v>
      </x:c>
      <x:c r="E293" s="9" t="str">
        <x:v>Small Benthic Carnivores (100.0000%)</x:v>
      </x:c>
      <x:c r="F293" s="9" t="str">
        <x:v>High</x:v>
      </x:c>
      <x:c r="G293" s="9" t="str">
        <x:v>Source explicitly lists the genus Terapon sp. in Small Benthic Carnivores; the catch label lies within that genus. No numerical source-size cutoff is stated. Single-group allocation adds no internal composition assumption. See Sources and Allocation evidence.</x:v>
      </x:c>
    </x:row>
    <x:row r="294" ht="96" customHeight="1">
      <x:c r="A294" s="2" t="str">
        <x:v>Gerres longirostris</x:v>
      </x:c>
      <x:c r="B294" s="10" t="n">
        <x:v>3.5</x:v>
      </x:c>
      <x:c r="C294" s="11" t="n">
        <x:v>80.5468615588</x:v>
      </x:c>
      <x:c r="D294" s="11" t="n">
        <x:v>2830.1282322674283</x:v>
      </x:c>
      <x:c r="E294" s="9" t="str">
        <x:v>Small Benthic Carnivores (100.0000%)</x:v>
      </x:c>
      <x:c r="F294" s="9" t="str">
        <x:v>Medium</x:v>
      </x:c>
      <x:c r="G294" s="9" t="str">
        <x:v>Analyst ecological analogue: Gerres longirostris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5" ht="64" customHeight="1">
      <x:c r="A295" s="2" t="str">
        <x:v>Lutjanus fulviflamma</x:v>
      </x:c>
      <x:c r="B295" s="10" t="n">
        <x:v>3.79</x:v>
      </x:c>
      <x:c r="C295" s="11" t="n">
        <x:v>41.2445218417</x:v>
      </x:c>
      <x:c r="D295" s="11" t="n">
        <x:v>2825.6851135287725</x:v>
      </x:c>
      <x:c r="E295" s="9" t="str">
        <x:v>Large Benthic Carnivores (100.0000%)</x:v>
      </x:c>
      <x:c r="F295" s="9" t="str">
        <x:v>High</x:v>
      </x:c>
      <x:c r="G29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96" ht="96" customHeight="1">
      <x:c r="A296" s="2" t="str">
        <x:v>Sillaginidae</x:v>
      </x:c>
      <x:c r="B296" s="10" t="n">
        <x:v>3.25</x:v>
      </x:c>
      <x:c r="C296" s="11" t="n">
        <x:v>141.4224127073</x:v>
      </x:c>
      <x:c r="D296" s="11" t="n">
        <x:v>2794.317384837984</x:v>
      </x:c>
      <x:c r="E296" s="9" t="str">
        <x:v>Small Benthic Carnivores (100.0000%)</x:v>
      </x:c>
      <x:c r="F296" s="9" t="str">
        <x:v>Medium</x:v>
      </x:c>
      <x:c r="G296" s="9" t="str">
        <x:v>Analyst ecological analogue: Sillaginidae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7" ht="112" customHeight="1">
      <x:c r="A297" s="2" t="str">
        <x:v>Platycaranx talamparoides</x:v>
      </x:c>
      <x:c r="B297" s="10" t="n">
        <x:v>4.4</x:v>
      </x:c>
      <x:c r="C297" s="11" t="n">
        <x:v>9.989073583200001</x:v>
      </x:c>
      <x:c r="D297" s="11" t="n">
        <x:v>2787.9353774434317</x:v>
      </x:c>
      <x:c r="E297" s="9" t="str">
        <x:v>Small Benthopelagics (100.0000%)</x:v>
      </x:c>
      <x:c r="F297" s="9" t="str">
        <x:v>Low</x:v>
      </x:c>
      <x:c r="G297" s="9" t="str">
        <x:v>Analyst carangid analogue using water-column predation and SAU Medium pelagics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98" ht="80" customHeight="1">
      <x:c r="A298" s="2" t="str">
        <x:v>Pristidae</x:v>
      </x:c>
      <x:c r="B298" s="10" t="n">
        <x:v>4.24</x:v>
      </x:c>
      <x:c r="C298" s="11" t="n">
        <x:v>13.9678019289</x:v>
      </x:c>
      <x:c r="D298" s="11" t="n">
        <x:v>2697.0286408721727</x:v>
      </x:c>
      <x:c r="E298" s="9" t="str">
        <x:v>Skates &amp; Rays (100.0000%)</x:v>
      </x:c>
      <x:c r="F298" s="9" t="str">
        <x:v>High</x:v>
      </x:c>
      <x:c r="G2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99" ht="112" customHeight="1">
      <x:c r="A299" s="2" t="str">
        <x:v>Caranx lugubris</x:v>
      </x:c>
      <x:c r="B299" s="10" t="n">
        <x:v>4.5</x:v>
      </x:c>
      <x:c r="C299" s="11" t="n">
        <x:v>7.4041855923</x:v>
      </x:c>
      <x:c r="D299" s="11" t="n">
        <x:v>2601.5656322523187</x:v>
      </x:c>
      <x:c r="E299" s="9" t="str">
        <x:v>Large Benthopelagics (100.0000%)</x:v>
      </x:c>
      <x:c r="F299" s="9" t="str">
        <x:v>Low</x:v>
      </x:c>
      <x:c r="G299"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0" ht="64" customHeight="1">
      <x:c r="A300" s="2" t="str">
        <x:v>Pomacanthus maculosus</x:v>
      </x:c>
      <x:c r="B300" s="10" t="n">
        <x:v>2.67</x:v>
      </x:c>
      <x:c r="C300" s="11" t="n">
        <x:v>463.4169309852</x:v>
      </x:c>
      <x:c r="D300" s="11" t="n">
        <x:v>2408.4042632138026</x:v>
      </x:c>
      <x:c r="E300" s="9" t="str">
        <x:v>Benthic Omnivores (100.0000%)</x:v>
      </x:c>
      <x:c r="F300" s="9" t="str">
        <x:v>Very low</x:v>
      </x:c>
      <x:c r="G300"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01" ht="48" customHeight="1">
      <x:c r="A301" s="2" t="str">
        <x:v>Auxis rochei</x:v>
      </x:c>
      <x:c r="B301" s="10" t="n">
        <x:v>4.13</x:v>
      </x:c>
      <x:c r="C301" s="11" t="n">
        <x:v>15.3808366829</x:v>
      </x:c>
      <x:c r="D301" s="11" t="n">
        <x:v>2305.3530876040245</x:v>
      </x:c>
      <x:c r="E301" s="9" t="str">
        <x:v>Tunas (100.0000%)</x:v>
      </x:c>
      <x:c r="F301" s="9" t="str">
        <x:v>High</x:v>
      </x:c>
      <x:c r="G301" s="9" t="str">
        <x:v>Source explicitly lists Auxis rochei in Tunas (CMFRI Bulletin 51 printed p. 11 / PDF p. 21; member 19). Single-group allocation adds no internal composition assumption. See Sources and Allocation evidence.</x:v>
      </x:c>
    </x:row>
    <x:row r="302" ht="80" customHeight="1">
      <x:c r="A302" s="2" t="str">
        <x:v>Saccostrea cuccullata</x:v>
      </x:c>
      <x:c r="B302" s="10" t="n">
        <x:v>2</x:v>
      </x:c>
      <x:c r="C302" s="11" t="n">
        <x:v>2045.9840194217</x:v>
      </x:c>
      <x:c r="D302" s="11" t="n">
        <x:v>2273.315577135222</x:v>
      </x:c>
      <x:c r="E302" s="9" t="str">
        <x:v>Heterotrophic Benthos (100.0000%)</x:v>
      </x:c>
      <x:c r="F302" s="9" t="str">
        <x:v>High</x:v>
      </x:c>
      <x:c r="G30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03" ht="80" customHeight="1">
      <x:c r="A303" s="2" t="str">
        <x:v>Epinephelus polyphekadion</x:v>
      </x:c>
      <x:c r="B303" s="10" t="n">
        <x:v>3.99</x:v>
      </x:c>
      <x:c r="C303" s="11" t="n">
        <x:v>20.7502568833</x:v>
      </x:c>
      <x:c r="D303" s="11" t="n">
        <x:v>2253.102596750587</x:v>
      </x:c>
      <x:c r="E303" s="9" t="str">
        <x:v>Large Benthic Carnivores (100.0000%)</x:v>
      </x:c>
      <x:c r="F303" s="9" t="str">
        <x:v>Medium</x:v>
      </x:c>
      <x:c r="G303" s="9" t="str">
        <x:v>Taxonomy/catch ecology links Epinephelus polyphekadion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04" ht="80" customHeight="1">
      <x:c r="A304" s="2" t="str">
        <x:v>Sphyraena putnamae</x:v>
      </x:c>
      <x:c r="B304" s="10" t="n">
        <x:v>4.5</x:v>
      </x:c>
      <x:c r="C304" s="11" t="n">
        <x:v>5.920474202699999</x:v>
      </x:c>
      <x:c r="D304" s="11" t="n">
        <x:v>2080.2425898668225</x:v>
      </x:c>
      <x:c r="E304" s="9" t="str">
        <x:v>Large Pelagics (100.0000%)</x:v>
      </x:c>
      <x:c r="F304" s="9" t="str">
        <x:v>Medium</x:v>
      </x:c>
      <x:c r="G304" s="9" t="str">
        <x:v>Taxonomy/catch ecology links Sphyraena putnamae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305" ht="96" customHeight="1">
      <x:c r="A305" s="2" t="str">
        <x:v>Lethrinus xanthochilus</x:v>
      </x:c>
      <x:c r="B305" s="10" t="n">
        <x:v>3.78</x:v>
      </x:c>
      <x:c r="C305" s="11" t="n">
        <x:v>29.0985545056</x:v>
      </x:c>
      <x:c r="D305" s="11" t="n">
        <x:v>1948.179217584052</x:v>
      </x:c>
      <x:c r="E305" s="9" t="str">
        <x:v>Med Benthic Carnivores (100.0000%)</x:v>
      </x:c>
      <x:c r="F305" s="9" t="str">
        <x:v>Medium</x:v>
      </x:c>
      <x:c r="G305" s="9" t="str">
        <x:v>Analyst ecological analogue: Lethrinus xanthochilus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06" ht="96" customHeight="1">
      <x:c r="A306" s="2" t="str">
        <x:v>Cephalopholis miniata</x:v>
      </x:c>
      <x:c r="B306" s="10" t="n">
        <x:v>4.29</x:v>
      </x:c>
      <x:c r="C306" s="11" t="n">
        <x:v>8.903091871400001</x:v>
      </x:c>
      <x:c r="D306" s="11" t="n">
        <x:v>1928.8495118443377</x:v>
      </x:c>
      <x:c r="E306" s="9" t="str">
        <x:v>Large Benthic Carnivores (100.0000%)</x:v>
      </x:c>
      <x:c r="F306" s="9" t="str">
        <x:v>Medium</x:v>
      </x:c>
      <x:c r="G306" s="9" t="str">
        <x:v>Taxonomy/catch ecology links Cephalopholis miniata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07" ht="80" customHeight="1">
      <x:c r="A307" s="2" t="str">
        <x:v>Scolopsis</x:v>
      </x:c>
      <x:c r="B307" s="10" t="n">
        <x:v>3.3</x:v>
      </x:c>
      <x:c r="C307" s="11" t="n">
        <x:v>86.04629369540001</x:v>
      </x:c>
      <x:c r="D307" s="11" t="n">
        <x:v>1907.6103017019543</x:v>
      </x:c>
      <x:c r="E307" s="9" t="str">
        <x:v>Small Benthic Carnivores (100.0000%)</x:v>
      </x:c>
      <x:c r="F307" s="9" t="str">
        <x:v>Medium</x:v>
      </x:c>
      <x:c r="G307" s="9" t="str">
        <x:v>Taxonomy/catch ecology links Scolopsis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8" ht="112" customHeight="1">
      <x:c r="A308" s="2" t="str">
        <x:v>Seriola rivoliana</x:v>
      </x:c>
      <x:c r="B308" s="10" t="n">
        <x:v>4.45</x:v>
      </x:c>
      <x:c r="C308" s="11" t="n">
        <x:v>5.8770278345</x:v>
      </x:c>
      <x:c r="D308" s="11" t="n">
        <x:v>1840.412770591211</x:v>
      </x:c>
      <x:c r="E308" s="9" t="str">
        <x:v>Large Benthopelagics (100.0000%)</x:v>
      </x:c>
      <x:c r="F308" s="9" t="str">
        <x:v>Low</x:v>
      </x:c>
      <x:c r="G308"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9" ht="80" customHeight="1">
      <x:c r="A309" s="2" t="str">
        <x:v>Rajiformes</x:v>
      </x:c>
      <x:c r="B309" s="10" t="n">
        <x:v>3.61</x:v>
      </x:c>
      <x:c r="C309" s="11" t="n">
        <x:v>40.4204750011</x:v>
      </x:c>
      <x:c r="D309" s="11" t="n">
        <x:v>1829.6115927691453</x:v>
      </x:c>
      <x:c r="E309" s="9" t="str">
        <x:v>Skates &amp; Rays (100.0000%)</x:v>
      </x:c>
      <x:c r="F309" s="9" t="str">
        <x:v>High</x:v>
      </x:c>
      <x:c r="G3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0" ht="96" customHeight="1">
      <x:c r="A310" s="2" t="str">
        <x:v>Lethrinus harak</x:v>
      </x:c>
      <x:c r="B310" s="10" t="n">
        <x:v>3.59</x:v>
      </x:c>
      <x:c r="C310" s="11" t="n">
        <x:v>41.987706075</x:v>
      </x:c>
      <x:c r="D310" s="11" t="n">
        <x:v>1815.0125775472898</x:v>
      </x:c>
      <x:c r="E310" s="9" t="str">
        <x:v>Med Benthic Carnivores (100.0000%)</x:v>
      </x:c>
      <x:c r="F310" s="9" t="str">
        <x:v>Medium</x:v>
      </x:c>
      <x:c r="G310" s="9" t="str">
        <x:v>Analyst ecological analogue: Lethrinus harak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1" ht="80" customHeight="1">
      <x:c r="A311" s="2" t="str">
        <x:v>Aphareus furca</x:v>
      </x:c>
      <x:c r="B311" s="10" t="n">
        <x:v>4.14</x:v>
      </x:c>
      <x:c r="C311" s="11" t="n">
        <x:v>11.4918118209</x:v>
      </x:c>
      <x:c r="D311" s="11" t="n">
        <x:v>1762.5684677053086</x:v>
      </x:c>
      <x:c r="E311" s="9" t="str">
        <x:v>Large Benthic Carnivores (100.0000%)</x:v>
      </x:c>
      <x:c r="F311" s="9" t="str">
        <x:v>Medium</x:v>
      </x:c>
      <x:c r="G311" s="9" t="str">
        <x:v>Taxonomy/catch ecology links Aphareus furca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2" ht="80" customHeight="1">
      <x:c r="A312" s="2" t="str">
        <x:v>Selaroides leptolepis</x:v>
      </x:c>
      <x:c r="B312" s="10" t="n">
        <x:v>3.84</x:v>
      </x:c>
      <x:c r="C312" s="11" t="n">
        <x:v>22.6289844276</x:v>
      </x:c>
      <x:c r="D312" s="11" t="n">
        <x:v>1739.4924741617774</x:v>
      </x:c>
      <x:c r="E312" s="9" t="str">
        <x:v>Small Benthopelagics (100.0000%)</x:v>
      </x:c>
      <x:c r="F312" s="9" t="str">
        <x:v>Medium</x:v>
      </x:c>
      <x:c r="G312" s="9" t="str">
        <x:v>Taxonomy/catch ecology links Selaroides leptolepis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313" ht="80" customHeight="1">
      <x:c r="A313" s="2" t="str">
        <x:v>Decapterus macarellus</x:v>
      </x:c>
      <x:c r="B313" s="10" t="n">
        <x:v>3.96</x:v>
      </x:c>
      <x:c r="C313" s="11" t="n">
        <x:v>16.4368031841</x:v>
      </x:c>
      <x:c r="D313" s="11" t="n">
        <x:v>1665.61585202877</x:v>
      </x:c>
      <x:c r="E313" s="9" t="str">
        <x:v>Small Benthopelagics (100.0000%)</x:v>
      </x:c>
      <x:c r="F313" s="9" t="str">
        <x:v>Medium</x:v>
      </x:c>
      <x:c r="G313" s="9" t="str">
        <x:v>Taxonomy/catch ecology links Decapterus macarellus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14" ht="64" customHeight="1">
      <x:c r="A314" s="2" t="str">
        <x:v>Lutjanus kasmira</x:v>
      </x:c>
      <x:c r="B314" s="10" t="n">
        <x:v>3.87</x:v>
      </x:c>
      <x:c r="C314" s="11" t="n">
        <x:v>19.9109870128</x:v>
      </x:c>
      <x:c r="D314" s="11" t="n">
        <x:v>1640.0242874442451</x:v>
      </x:c>
      <x:c r="E314" s="9" t="str">
        <x:v>Large Benthic Carnivores (100.0000%)</x:v>
      </x:c>
      <x:c r="F314" s="9" t="str">
        <x:v>High</x:v>
      </x:c>
      <x:c r="G31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315" ht="96" customHeight="1">
      <x:c r="A315" s="2" t="str">
        <x:v>Gerres oblongus</x:v>
      </x:c>
      <x:c r="B315" s="10" t="n">
        <x:v>3.5</x:v>
      </x:c>
      <x:c r="C315" s="11" t="n">
        <x:v>42.4110536403</x:v>
      </x:c>
      <x:c r="D315" s="11" t="n">
        <x:v>1490.172527454706</x:v>
      </x:c>
      <x:c r="E315" s="9" t="str">
        <x:v>Small Benthic Carnivores (100.0000%)</x:v>
      </x:c>
      <x:c r="F315" s="9" t="str">
        <x:v>Medium</x:v>
      </x:c>
      <x:c r="G315" s="9" t="str">
        <x:v>Analyst ecological analogue: Gerres oblongus is a small demersal benthic feeder, compared with source goatfishes and threadfin breams;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6" ht="80" customHeight="1">
      <x:c r="A316" s="2" t="str">
        <x:v>Maculabatis gerrardi</x:v>
      </x:c>
      <x:c r="B316" s="10" t="n">
        <x:v>3.73</x:v>
      </x:c>
      <x:c r="C316" s="11" t="n">
        <x:v>23.7089324402</x:v>
      </x:c>
      <x:c r="D316" s="11" t="n">
        <x:v>1414.7167309312852</x:v>
      </x:c>
      <x:c r="E316" s="9" t="str">
        <x:v>Skates &amp; Rays (100.0000%)</x:v>
      </x:c>
      <x:c r="F316" s="9" t="str">
        <x:v>High</x:v>
      </x:c>
      <x:c r="G316"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7" ht="80" customHeight="1">
      <x:c r="A317" s="2" t="str">
        <x:v>Bothus pantherinus</x:v>
      </x:c>
      <x:c r="B317" s="10" t="n">
        <x:v>3.5</x:v>
      </x:c>
      <x:c r="C317" s="11" t="n">
        <x:v>40.1204108382</x:v>
      </x:c>
      <x:c r="D317" s="11" t="n">
        <x:v>1409.6875434490803</x:v>
      </x:c>
      <x:c r="E317" s="9" t="str">
        <x:v>Med Benthic Carnivores (100.0000%)</x:v>
      </x:c>
      <x:c r="F317" s="9" t="str">
        <x:v>Medium</x:v>
      </x:c>
      <x:c r="G317" s="9" t="str">
        <x:v>Taxonomy/catch ecology links Bothus pantherinus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18" ht="64" customHeight="1">
      <x:c r="A318" s="2" t="str">
        <x:v>Uroteuthis duvaucelii</x:v>
      </x:c>
      <x:c r="B318" s="10" t="n">
        <x:v>3.77</x:v>
      </x:c>
      <x:c r="C318" s="11" t="n">
        <x:v>19.6355134394</x:v>
      </x:c>
      <x:c r="D318" s="11" t="n">
        <x:v>1284.6941676044544</x:v>
      </x:c>
      <x:c r="E318" s="9" t="str">
        <x:v>Cephalopods (100.0000%)</x:v>
      </x:c>
      <x:c r="F318" s="9" t="str">
        <x:v>High</x:v>
      </x:c>
      <x:c r="G318" s="9" t="str">
        <x:v>Source explicitly lists Loligo duvauceli in Cephalopods (CMFRI Bulletin 51 printed p. 11 / PDF p. 21; member 20). WoRMS links the catch label to accepted name Uroteuthis duvaucelii. Single-group allocation adds no internal composition assumption. See Sources and Allocation evidence.</x:v>
      </x:c>
    </x:row>
    <x:row r="319" ht="96" customHeight="1">
      <x:c r="A319" s="2" t="str">
        <x:v>Monotaxis grandoculis</x:v>
      </x:c>
      <x:c r="B319" s="10" t="n">
        <x:v>3.37</x:v>
      </x:c>
      <x:c r="C319" s="11" t="n">
        <x:v>47.4653444192</x:v>
      </x:c>
      <x:c r="D319" s="11" t="n">
        <x:v>1236.3292012952593</x:v>
      </x:c>
      <x:c r="E319" s="9" t="str">
        <x:v>Med Benthic Carnivores (100.0000%)</x:v>
      </x:c>
      <x:c r="F319" s="9" t="str">
        <x:v>Medium</x:v>
      </x:c>
      <x:c r="G319" s="9" t="str">
        <x:v>Analyst ecological analogue: Monotaxis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20" ht="80" customHeight="1">
      <x:c r="A320" s="2" t="str">
        <x:v>Penaeus monodon</x:v>
      </x:c>
      <x:c r="B320" s="10" t="n">
        <x:v>2.6</x:v>
      </x:c>
      <x:c r="C320" s="11" t="n">
        <x:v>265.8570938715</x:v>
      </x:c>
      <x:c r="D320" s="11" t="n">
        <x:v>1175.9957268084265</x:v>
      </x:c>
      <x:c r="E320" s="9" t="str">
        <x:v>Shrimps (100.0000%)</x:v>
      </x:c>
      <x:c r="F320" s="9" t="str">
        <x:v>High</x:v>
      </x:c>
      <x:c r="G320"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21" ht="80" customHeight="1">
      <x:c r="A321" s="2" t="str">
        <x:v>Cephalopholis</x:v>
      </x:c>
      <x:c r="B321" s="10" t="n">
        <x:v>4.13</x:v>
      </x:c>
      <x:c r="C321" s="11" t="n">
        <x:v>7.6640017716</x:v>
      </x:c>
      <x:c r="D321" s="11" t="n">
        <x:v>1148.7171024450079</x:v>
      </x:c>
      <x:c r="E321" s="9" t="str">
        <x:v>Large Benthic Carnivores (100.0000%)</x:v>
      </x:c>
      <x:c r="F321" s="9" t="str">
        <x:v>Medium</x:v>
      </x:c>
      <x:c r="G321" s="9" t="str">
        <x:v>Taxonomy/catch ecology links Cephalopholis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2" ht="80" customHeight="1">
      <x:c r="A322" s="2" t="str">
        <x:v>Rastrelliger</x:v>
      </x:c>
      <x:c r="B322" s="10" t="n">
        <x:v>3.1</x:v>
      </x:c>
      <x:c r="C322" s="11" t="n">
        <x:v>81.6946443225</x:v>
      </x:c>
      <x:c r="D322" s="11" t="n">
        <x:v>1142.749597167571</x:v>
      </x:c>
      <x:c r="E322" s="9" t="str">
        <x:v>Mackerel (100.0000%)</x:v>
      </x:c>
      <x:c r="F322" s="9" t="str">
        <x:v>Medium</x:v>
      </x:c>
      <x:c r="G322" s="9" t="str">
        <x:v>Taxonomy/catch ecology links Rastrelliger (Scombridae) to source representatives Rastrelliger kanagurta in Mackerel. Extend those representatives to this label; the source does not establish complete containment or the provider’s numerical size bins. Single-group allocation adds no internal composition assumption. See Sources and Allocation evidence.</x:v>
      </x:c>
    </x:row>
    <x:row r="323" ht="80" customHeight="1">
      <x:c r="A323" s="2" t="str">
        <x:v>Aphareus rutilans</x:v>
      </x:c>
      <x:c r="B323" s="10" t="n">
        <x:v>4.11</x:v>
      </x:c>
      <x:c r="C323" s="11" t="n">
        <x:v>7.6716918161</x:v>
      </x:c>
      <x:c r="D323" s="11" t="n">
        <x:v>1098.117060313191</x:v>
      </x:c>
      <x:c r="E323" s="9" t="str">
        <x:v>Large Benthic Carnivores (100.0000%)</x:v>
      </x:c>
      <x:c r="F323" s="9" t="str">
        <x:v>Medium</x:v>
      </x:c>
      <x:c r="G323" s="9" t="str">
        <x:v>Taxonomy/catch ecology links Aphareus rutilans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4" ht="80" customHeight="1">
      <x:c r="A324" s="2" t="str">
        <x:v>Makaira</x:v>
      </x:c>
      <x:c r="B324" s="10" t="n">
        <x:v>4.47</x:v>
      </x:c>
      <x:c r="C324" s="11" t="n">
        <x:v>3.337168214</x:v>
      </x:c>
      <x:c r="D324" s="11" t="n">
        <x:v>1094.2979582327307</x:v>
      </x:c>
      <x:c r="E324" s="9" t="str">
        <x:v>Large Pelagics (100.0000%)</x:v>
      </x:c>
      <x:c r="F324" s="9" t="str">
        <x:v>Medium</x:v>
      </x:c>
      <x:c r="G32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5" ht="96" customHeight="1">
      <x:c r="A325" s="2" t="str">
        <x:v>Hemiramphidae</x:v>
      </x:c>
      <x:c r="B325" s="10" t="n">
        <x:v>2.82</x:v>
      </x:c>
      <x:c r="C325" s="11" t="n">
        <x:v>143.2128498556</x:v>
      </x:c>
      <x:c r="D325" s="11" t="n">
        <x:v>1051.33101744545</x:v>
      </x:c>
      <x:c r="E325" s="9" t="str">
        <x:v>Small Benthopelagics (100.0000%)</x:v>
      </x:c>
      <x:c r="F325" s="9" t="str">
        <x:v>Low</x:v>
      </x:c>
      <x:c r="G325" s="9" t="str">
        <x:v>Analyst ecological analogue: Hemiramphidae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26" ht="80" customHeight="1">
      <x:c r="A326" s="2" t="str">
        <x:v>Tetrapturus angustirostris</x:v>
      </x:c>
      <x:c r="B326" s="10" t="n">
        <x:v>4.5</x:v>
      </x:c>
      <x:c r="C326" s="11" t="n">
        <x:v>2.7928255889</x:v>
      </x:c>
      <x:c r="D326" s="11" t="n">
        <x:v>981.298885391674</x:v>
      </x:c>
      <x:c r="E326" s="9" t="str">
        <x:v>Large Pelagics (100.0000%)</x:v>
      </x:c>
      <x:c r="F326" s="9" t="str">
        <x:v>Medium</x:v>
      </x:c>
      <x:c r="G32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7" ht="64" customHeight="1">
      <x:c r="A327" s="2" t="str">
        <x:v>Platax orbicularis</x:v>
      </x:c>
      <x:c r="B327" s="10" t="n">
        <x:v>3.33</x:v>
      </x:c>
      <x:c r="C327" s="11" t="n">
        <x:v>40.0394225933</x:v>
      </x:c>
      <x:c r="D327" s="11" t="n">
        <x:v>951.1418621114949</x:v>
      </x:c>
      <x:c r="E327" s="9" t="str">
        <x:v>Benthic Omnivores (100.0000%)</x:v>
      </x:c>
      <x:c r="F327" s="9" t="str">
        <x:v>Very low</x:v>
      </x:c>
      <x:c r="G327"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28" ht="64" customHeight="1">
      <x:c r="A328" s="2" t="str">
        <x:v>Balistidae</x:v>
      </x:c>
      <x:c r="B328" s="10" t="n">
        <x:v>3.25</x:v>
      </x:c>
      <x:c r="C328" s="11" t="n">
        <x:v>46.4469439263</x:v>
      </x:c>
      <x:c r="D328" s="11" t="n">
        <x:v>917.7293782596856</x:v>
      </x:c>
      <x:c r="E328" s="9" t="str">
        <x:v>Med Benthic Carnivores (100.0000%)</x:v>
      </x:c>
      <x:c r="F328" s="9" t="str">
        <x:v>High</x:v>
      </x:c>
      <x:c r="G328" s="9" t="str">
        <x:v>The source explicitly lists the generic Balistids in Med Benthic Carnivores. The catch family matches that source-defined generic membership; fishery-caught fish are intended, not the separately modelled larvae. Single-group allocation adds no internal composition assumption. See Sources and Allocation evidence.</x:v>
      </x:c>
    </x:row>
    <x:row r="329" ht="112" customHeight="1">
      <x:c r="A329" s="2" t="str">
        <x:v>Elagatis bipinnulata</x:v>
      </x:c>
      <x:c r="B329" s="10" t="n">
        <x:v>4.27</x:v>
      </x:c>
      <x:c r="C329" s="11" t="n">
        <x:v>3.9166202399</x:v>
      </x:c>
      <x:c r="D329" s="11" t="n">
        <x:v>810.3431297679131</x:v>
      </x:c>
      <x:c r="E329" s="9" t="str">
        <x:v>Large Benthopelagics (100.0000%)</x:v>
      </x:c>
      <x:c r="F329" s="9" t="str">
        <x:v>Low</x:v>
      </x:c>
      <x:c r="G329"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30" ht="80" customHeight="1">
      <x:c r="A330" s="2" t="str">
        <x:v>Macolor niger</x:v>
      </x:c>
      <x:c r="B330" s="10" t="n">
        <x:v>4.01</x:v>
      </x:c>
      <x:c r="C330" s="11" t="n">
        <x:v>7.0322579812</x:v>
      </x:c>
      <x:c r="D330" s="11" t="n">
        <x:v>799.5622568969291</x:v>
      </x:c>
      <x:c r="E330" s="9" t="str">
        <x:v>Large Benthic Carnivores (100.0000%)</x:v>
      </x:c>
      <x:c r="F330" s="9" t="str">
        <x:v>Medium</x:v>
      </x:c>
      <x:c r="G330" s="9" t="str">
        <x:v>Taxonomy/catch ecology links Macolor niger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1" ht="80" customHeight="1">
      <x:c r="A331" s="2" t="str">
        <x:v>Macolor</x:v>
      </x:c>
      <x:c r="B331" s="10" t="n">
        <x:v>3.99</x:v>
      </x:c>
      <x:c r="C331" s="11" t="n">
        <x:v>7.071396266700001</x:v>
      </x:c>
      <x:c r="D331" s="11" t="n">
        <x:v>767.8257373274674</x:v>
      </x:c>
      <x:c r="E331" s="9" t="str">
        <x:v>Large Benthic Carnivores (100.0000%)</x:v>
      </x:c>
      <x:c r="F331" s="9" t="str">
        <x:v>Medium</x:v>
      </x:c>
      <x:c r="G331" s="9" t="str">
        <x:v>Taxonomy/catch ecology links Macolor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2" ht="96" customHeight="1">
      <x:c r="A332" s="2" t="str">
        <x:v>Plectorhinchus pictus</x:v>
      </x:c>
      <x:c r="B332" s="10" t="n">
        <x:v>3.85</x:v>
      </x:c>
      <x:c r="C332" s="11" t="n">
        <x:v>9.7031149892</x:v>
      </x:c>
      <x:c r="D332" s="11" t="n">
        <x:v>763.2532613331867</x:v>
      </x:c>
      <x:c r="E332" s="9" t="str">
        <x:v>Med Benthic Carnivores (100.0000%)</x:v>
      </x:c>
      <x:c r="F332" s="9" t="str">
        <x:v>Medium</x:v>
      </x:c>
      <x:c r="G332" s="9" t="str">
        <x:v>Analyst ecological analogue: Plectorhinchus pictus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33" ht="80" customHeight="1">
      <x:c r="A333" s="2" t="str">
        <x:v>Placuna placenta</x:v>
      </x:c>
      <x:c r="B333" s="10" t="n">
        <x:v>2.41</x:v>
      </x:c>
      <x:c r="C333" s="11" t="n">
        <x:v>261.0288478495</x:v>
      </x:c>
      <x:c r="D333" s="11" t="n">
        <x:v>745.4971663259672</x:v>
      </x:c>
      <x:c r="E333" s="9" t="str">
        <x:v>Heterotrophic Benthos (100.0000%)</x:v>
      </x:c>
      <x:c r="F333" s="9" t="str">
        <x:v>High</x:v>
      </x:c>
      <x:c r="G33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4" ht="80" customHeight="1">
      <x:c r="A334" s="2" t="str">
        <x:v>Penaeus</x:v>
      </x:c>
      <x:c r="B334" s="10" t="n">
        <x:v>2.7</x:v>
      </x:c>
      <x:c r="C334" s="11" t="n">
        <x:v>118.6702152224</x:v>
      </x:c>
      <x:c r="D334" s="11" t="n">
        <x:v>660.8444097918633</x:v>
      </x:c>
      <x:c r="E334" s="9" t="str">
        <x:v>Shrimps (100.0000%)</x:v>
      </x:c>
      <x:c r="F334" s="9" t="str">
        <x:v>High</x:v>
      </x:c>
      <x:c r="G334"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5" ht="80" customHeight="1">
      <x:c r="A335" s="2" t="str">
        <x:v>Spratelloides gracilis</x:v>
      </x:c>
      <x:c r="B335" s="10" t="n">
        <x:v>3.06</x:v>
      </x:c>
      <x:c r="C335" s="11" t="n">
        <x:v>51.3076464852</x:v>
      </x:c>
      <x:c r="D335" s="11" t="n">
        <x:v>654.5451124718245</x:v>
      </x:c>
      <x:c r="E335" s="9" t="str">
        <x:v>Clupeids (100.0000%)</x:v>
      </x:c>
      <x:c r="F335" s="9" t="str">
        <x:v>Medium</x:v>
      </x:c>
      <x:c r="G335" s="9" t="str">
        <x:v>Taxonomy/catch ecology links Spratelloides gracilis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336" ht="80" customHeight="1">
      <x:c r="A336" s="2" t="str">
        <x:v>Echinoidea</x:v>
      </x:c>
      <x:c r="B336" s="10" t="n">
        <x:v>2.51</x:v>
      </x:c>
      <x:c r="C336" s="11" t="n">
        <x:v>171.4364621341</x:v>
      </x:c>
      <x:c r="D336" s="11" t="n">
        <x:v>616.3972412561237</x:v>
      </x:c>
      <x:c r="E336" s="9" t="str">
        <x:v>Heterotrophic Benthos (100.0000%)</x:v>
      </x:c>
      <x:c r="F336" s="9" t="str">
        <x:v>High</x:v>
      </x:c>
      <x:c r="G336"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7" ht="80" customHeight="1">
      <x:c r="A337" s="2" t="str">
        <x:v>Aluterus monoceros</x:v>
      </x:c>
      <x:c r="B337" s="10" t="n">
        <x:v>3.84</x:v>
      </x:c>
      <x:c r="C337" s="11" t="n">
        <x:v>7.7472074079</x:v>
      </x:c>
      <x:c r="D337" s="11" t="n">
        <x:v>595.5286692130926</x:v>
      </x:c>
      <x:c r="E337" s="9" t="str">
        <x:v>Med Benthic Carnivores (100.0000%)</x:v>
      </x:c>
      <x:c r="F337" s="9" t="str">
        <x:v>Medium</x:v>
      </x:c>
      <x:c r="G337"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338" ht="80" customHeight="1">
      <x:c r="A338" s="2" t="str">
        <x:v>Solenidae</x:v>
      </x:c>
      <x:c r="B338" s="10" t="n">
        <x:v>2</x:v>
      </x:c>
      <x:c r="C338" s="11" t="n">
        <x:v>456.8924200862</x:v>
      </x:c>
      <x:c r="D338" s="11" t="n">
        <x:v>507.65824454022226</x:v>
      </x:c>
      <x:c r="E338" s="9" t="str">
        <x:v>Heterotrophic Benthos (100.0000%)</x:v>
      </x:c>
      <x:c r="F338" s="9" t="str">
        <x:v>High</x:v>
      </x:c>
      <x:c r="G33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9" ht="80" customHeight="1">
      <x:c r="A339" s="2" t="str">
        <x:v>Scomberomorus lineolatus</x:v>
      </x:c>
      <x:c r="B339" s="10" t="n">
        <x:v>4.5</x:v>
      </x:c>
      <x:c r="C339" s="11" t="n">
        <x:v>1.3862981081</x:v>
      </x:c>
      <x:c r="D339" s="11" t="n">
        <x:v>487.0955041753688</x:v>
      </x:c>
      <x:c r="E339" s="9" t="str">
        <x:v>Large Pelagics (100.0000%)</x:v>
      </x:c>
      <x:c r="F339" s="9" t="str">
        <x:v>Medium</x:v>
      </x:c>
      <x:c r="G339" s="9" t="str">
        <x:v>Taxonomy/catch ecology links Scomberomorus lineolatus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340" ht="64" customHeight="1">
      <x:c r="A340" s="2" t="str">
        <x:v>Crenidens crenidens</x:v>
      </x:c>
      <x:c r="B340" s="10" t="n">
        <x:v>2.8</x:v>
      </x:c>
      <x:c r="C340" s="11" t="n">
        <x:v>65.0630913088</x:v>
      </x:c>
      <x:c r="D340" s="11" t="n">
        <x:v>456.1337257319197</x:v>
      </x:c>
      <x:c r="E340" s="9" t="str">
        <x:v>Benthic Omnivores (100.0000%)</x:v>
      </x:c>
      <x:c r="F340" s="9" t="str">
        <x:v>Very low</x:v>
      </x:c>
      <x:c r="G340"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1" ht="80" customHeight="1">
      <x:c r="A341" s="2" t="str">
        <x:v>Epinephelus fasciatus</x:v>
      </x:c>
      <x:c r="B341" s="10" t="n">
        <x:v>3.72</x:v>
      </x:c>
      <x:c r="C341" s="11" t="n">
        <x:v>7.6657609458</x:v>
      </x:c>
      <x:c r="D341" s="11" t="n">
        <x:v>447.0053925385771</x:v>
      </x:c>
      <x:c r="E341" s="9" t="str">
        <x:v>Large Benthic Carnivores (100.0000%)</x:v>
      </x:c>
      <x:c r="F341" s="9" t="str">
        <x:v>Medium</x:v>
      </x:c>
      <x:c r="G341" s="9" t="str">
        <x:v>Taxonomy/catch ecology links Epinephelus fasciatus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42" ht="64" customHeight="1">
      <x:c r="A342" s="2" t="str">
        <x:v>Scaridae</x:v>
      </x:c>
      <x:c r="B342" s="10" t="n">
        <x:v>2</x:v>
      </x:c>
      <x:c r="C342" s="11" t="n">
        <x:v>394.4107437617</x:v>
      </x:c>
      <x:c r="D342" s="11" t="n">
        <x:v>438.2341597352222</x:v>
      </x:c>
      <x:c r="E342" s="9" t="str">
        <x:v>Benthic Omnivores (100.0000%)</x:v>
      </x:c>
      <x:c r="F342" s="9" t="str">
        <x:v>Very low</x:v>
      </x:c>
      <x:c r="G34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3" ht="64" customHeight="1">
      <x:c r="A343" s="2" t="str">
        <x:v>Bolbometopon muricatum</x:v>
      </x:c>
      <x:c r="B343" s="10" t="n">
        <x:v>2.67</x:v>
      </x:c>
      <x:c r="C343" s="11" t="n">
        <x:v>83.9329861972</x:v>
      </x:c>
      <x:c r="D343" s="11" t="n">
        <x:v>436.20452397337544</x:v>
      </x:c>
      <x:c r="E343" s="9" t="str">
        <x:v>Benthic Omnivores (100.0000%)</x:v>
      </x:c>
      <x:c r="F343" s="9" t="str">
        <x:v>Very low</x:v>
      </x:c>
      <x:c r="G34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4" ht="64" customHeight="1">
      <x:c r="A344" s="2" t="str">
        <x:v>Ephippidae</x:v>
      </x:c>
      <x:c r="B344" s="10" t="n">
        <x:v>3.57</x:v>
      </x:c>
      <x:c r="C344" s="11" t="n">
        <x:v>9.9624988688</x:v>
      </x:c>
      <x:c r="D344" s="11" t="n">
        <x:v>411.26881106665877</x:v>
      </x:c>
      <x:c r="E344" s="9" t="str">
        <x:v>Benthic Omnivores (100.0000%)</x:v>
      </x:c>
      <x:c r="F344" s="9" t="str">
        <x:v>Very low</x:v>
      </x:c>
      <x:c r="G34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45" ht="64" customHeight="1">
      <x:c r="A345" s="2" t="str">
        <x:v>Scarus persicus</x:v>
      </x:c>
      <x:c r="B345" s="10" t="n">
        <x:v>2</x:v>
      </x:c>
      <x:c r="C345" s="11" t="n">
        <x:v>361.1689012857</x:v>
      </x:c>
      <x:c r="D345" s="11" t="n">
        <x:v>401.29877920633334</x:v>
      </x:c>
      <x:c r="E345" s="9" t="str">
        <x:v>Benthic Omnivores (100.0000%)</x:v>
      </x:c>
      <x:c r="F345" s="9" t="str">
        <x:v>Very low</x:v>
      </x:c>
      <x:c r="G34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6" ht="96" customHeight="1">
      <x:c r="A346" s="2" t="str">
        <x:v>Caesio</x:v>
      </x:c>
      <x:c r="B346" s="10" t="n">
        <x:v>3.4</x:v>
      </x:c>
      <x:c r="C346" s="11" t="n">
        <x:v>12.6187645402</x:v>
      </x:c>
      <x:c r="D346" s="11" t="n">
        <x:v>352.1878158993623</x:v>
      </x:c>
      <x:c r="E346" s="9" t="str">
        <x:v>Small Benthopelagics (100.0000%)</x:v>
      </x:c>
      <x:c r="F346" s="9" t="str">
        <x:v>Low</x:v>
      </x:c>
      <x:c r="G346" s="9" t="str">
        <x:v>Analyst ecological analogue: Caesio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7" ht="96" customHeight="1">
      <x:c r="A347" s="2" t="str">
        <x:v>Caesio caerulaurea</x:v>
      </x:c>
      <x:c r="B347" s="10" t="n">
        <x:v>3.4</x:v>
      </x:c>
      <x:c r="C347" s="11" t="n">
        <x:v>12.5848514276</x:v>
      </x:c>
      <x:c r="D347" s="11" t="n">
        <x:v>351.2413060394712</x:v>
      </x:c>
      <x:c r="E347" s="9" t="str">
        <x:v>Small Benthopelagics (100.0000%)</x:v>
      </x:c>
      <x:c r="F347" s="9" t="str">
        <x:v>Low</x:v>
      </x:c>
      <x:c r="G347" s="9" t="str">
        <x:v>Analyst ecological analogue: Caesio caerulaurea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8" ht="96" customHeight="1">
      <x:c r="A348" s="2" t="str">
        <x:v>Cephalopholis argus</x:v>
      </x:c>
      <x:c r="B348" s="10" t="n">
        <x:v>4.48</x:v>
      </x:c>
      <x:c r="C348" s="11" t="n">
        <x:v>0.9515944381</x:v>
      </x:c>
      <x:c r="D348" s="11" t="n">
        <x:v>319.30769560723195</x:v>
      </x:c>
      <x:c r="E348" s="9" t="str">
        <x:v>Large Benthic Carnivores (100.0000%)</x:v>
      </x:c>
      <x:c r="F348" s="9" t="str">
        <x:v>Medium</x:v>
      </x:c>
      <x:c r="G348" s="9" t="str">
        <x:v>Taxonomy/catch ecology links Cephalopholis argus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49" ht="96" customHeight="1">
      <x:c r="A349" s="2" t="str">
        <x:v>Scorpaenidae</x:v>
      </x:c>
      <x:c r="B349" s="10" t="n">
        <x:v>3.92</x:v>
      </x:c>
      <x:c r="C349" s="11" t="n">
        <x:v>3.4476336859</x:v>
      </x:c>
      <x:c r="D349" s="11" t="n">
        <x:v>318.6240884405317</x:v>
      </x:c>
      <x:c r="E349" s="9" t="str">
        <x:v>Large Benthic Carnivores (100.0000%)</x:v>
      </x:c>
      <x:c r="F349" s="9" t="str">
        <x:v>Medium</x:v>
      </x:c>
      <x:c r="G349" s="9" t="str">
        <x:v>Analyst inference: demersal predatory lineage Scorpaenidae, SAU Large reef assoc. fish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350" ht="64" customHeight="1">
      <x:c r="A350" s="2" t="str">
        <x:v>Octopodidae</x:v>
      </x:c>
      <x:c r="B350" s="10" t="n">
        <x:v>3.59</x:v>
      </x:c>
      <x:c r="C350" s="11" t="n">
        <x:v>6.3182535683</x:v>
      </x:c>
      <x:c r="D350" s="11" t="n">
        <x:v>273.12065284332266</x:v>
      </x:c>
      <x:c r="E350" s="9" t="str">
        <x:v>Cephalopods (100.0000%)</x:v>
      </x:c>
      <x:c r="F350" s="9" t="str">
        <x:v>Medium</x:v>
      </x:c>
      <x:c r="G350"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51" ht="80" customHeight="1">
      <x:c r="A351" s="2" t="str">
        <x:v>Encrasicholina heteroloba</x:v>
      </x:c>
      <x:c r="B351" s="10" t="n">
        <x:v>3.27</x:v>
      </x:c>
      <x:c r="C351" s="11" t="n">
        <x:v>13.119853865</x:v>
      </x:c>
      <x:c r="D351" s="11" t="n">
        <x:v>271.4479012990344</x:v>
      </x:c>
      <x:c r="E351" s="9" t="str">
        <x:v>Anchovies (100.0000%)</x:v>
      </x:c>
      <x:c r="F351" s="9" t="str">
        <x:v>Medium</x:v>
      </x:c>
      <x:c r="G351" s="9" t="str">
        <x:v>Taxonomy/catch ecology links Encrasicholina heteroloba (Engraulidae) to source representatives Stolephorus devisi, Stolephorus waitei, Stolephorus commersonii in Anchovies. Extend those representatives to this label; the source does not establish complete containment or the provider’s numerical size bins. Single-group allocation adds no internal composition assumption. See Sources and Allocation evidence.</x:v>
      </x:c>
    </x:row>
    <x:row r="352" ht="80" customHeight="1">
      <x:c r="A352" s="2" t="str">
        <x:v>Argyrosomus heinii</x:v>
      </x:c>
      <x:c r="B352" s="10" t="n">
        <x:v>4.04</x:v>
      </x:c>
      <x:c r="C352" s="11" t="n">
        <x:v>2.2019980472</x:v>
      </x:c>
      <x:c r="D352" s="11" t="n">
        <x:v>268.2714274116302</x:v>
      </x:c>
      <x:c r="E352" s="9" t="str">
        <x:v>Med Benthic Carnivores (100.0000%)</x:v>
      </x:c>
      <x:c r="F352" s="9" t="str">
        <x:v>Medium</x:v>
      </x:c>
      <x:c r="G352" s="9" t="str">
        <x:v>Taxonomy/catch ecology links Argyrosomus heinii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53" ht="64" customHeight="1">
      <x:c r="A353" s="2" t="str">
        <x:v>Acanthurus dussumieri</x:v>
      </x:c>
      <x:c r="B353" s="10" t="n">
        <x:v>2.02</x:v>
      </x:c>
      <x:c r="C353" s="11" t="n">
        <x:v>221.5391927543</x:v>
      </x:c>
      <x:c r="D353" s="11" t="n">
        <x:v>257.75557027242064</x:v>
      </x:c>
      <x:c r="E353" s="9" t="str">
        <x:v>Benthic Omnivores (100.0000%)</x:v>
      </x:c>
      <x:c r="F353" s="9" t="str">
        <x:v>Very low</x:v>
      </x:c>
      <x:c r="G35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54" ht="80" customHeight="1">
      <x:c r="A354" s="2" t="str">
        <x:v>Pelates quadrilineatus</x:v>
      </x:c>
      <x:c r="B354" s="10" t="n">
        <x:v>3.5</x:v>
      </x:c>
      <x:c r="C354" s="11" t="n">
        <x:v>5.5553012848</x:v>
      </x:c>
      <x:c r="D354" s="11" t="n">
        <x:v>195.19339053808596</x:v>
      </x:c>
      <x:c r="E354" s="9" t="str">
        <x:v>Small Benthic Carnivores (100.0000%)</x:v>
      </x:c>
      <x:c r="F354" s="9" t="str">
        <x:v>Medium</x:v>
      </x:c>
      <x:c r="G354" s="9" t="str">
        <x:v>Taxonomy/catch ecology links Pelates quadrilineatus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55" ht="64" customHeight="1">
      <x:c r="A355" s="2" t="str">
        <x:v>Platax</x:v>
      </x:c>
      <x:c r="B355" s="10" t="n">
        <x:v>3.53</x:v>
      </x:c>
      <x:c r="C355" s="11" t="n">
        <x:v>4.9785119508</x:v>
      </x:c>
      <x:c r="D355" s="11" t="n">
        <x:v>187.43774231086226</x:v>
      </x:c>
      <x:c r="E355" s="9" t="str">
        <x:v>Benthic Omnivores (100.0000%)</x:v>
      </x:c>
      <x:c r="F355" s="9" t="str">
        <x:v>Very low</x:v>
      </x:c>
      <x:c r="G355"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56" ht="80" customHeight="1">
      <x:c r="A356" s="2" t="str">
        <x:v>Miscellaneous marine crustaceans</x:v>
      </x:c>
      <x:c r="B356" s="10" t="n">
        <x:v>2.7</x:v>
      </x:c>
      <x:c r="C356" s="11" t="n">
        <x:v>30.8608154948</x:v>
      </x:c>
      <x:c r="D356" s="11" t="n">
        <x:v>171.85607494800533</x:v>
      </x:c>
      <x:c r="E356" s="9" t="str">
        <x:v>Crabs &amp; Lobster (16.6213%); Shrimps (83.3787%); Heterotrophic Benthos (0.0000%)</x:v>
      </x:c>
      <x:c r="F356" s="9" t="str">
        <x:v>Medium</x:v>
      </x:c>
      <x:c r="G356"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357" ht="80" customHeight="1">
      <x:c r="A357" s="2" t="str">
        <x:v>Plotosidae</x:v>
      </x:c>
      <x:c r="B357" s="10" t="n">
        <x:v>3.49</x:v>
      </x:c>
      <x:c r="C357" s="11" t="n">
        <x:v>4.9742992882</x:v>
      </x:c>
      <x:c r="D357" s="11" t="n">
        <x:v>170.80060411422303</x:v>
      </x:c>
      <x:c r="E357" s="9" t="str">
        <x:v>Benthic Omnivores (100.0000%)</x:v>
      </x:c>
      <x:c r="F357" s="9" t="str">
        <x:v>Medium</x:v>
      </x:c>
      <x:c r="G357" s="9" t="str">
        <x:v>Taxonomy/catch ecology links Plotosidae (Plotosidae)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358" ht="80" customHeight="1">
      <x:c r="A358" s="2" t="str">
        <x:v>Thenus orientalis</x:v>
      </x:c>
      <x:c r="B358" s="10" t="n">
        <x:v>2.5</x:v>
      </x:c>
      <x:c r="C358" s="11" t="n">
        <x:v>43.4322562676</x:v>
      </x:c>
      <x:c r="D358" s="11" t="n">
        <x:v>152.60539302859948</x:v>
      </x:c>
      <x:c r="E358" s="9" t="str">
        <x:v>Crabs &amp; Lobster (100.0000%)</x:v>
      </x:c>
      <x:c r="F358" s="9" t="str">
        <x:v>High</x:v>
      </x:c>
      <x:c r="G35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59" ht="96" customHeight="1">
      <x:c r="A359" s="2" t="str">
        <x:v>Lethrinus rubrioperculatus</x:v>
      </x:c>
      <x:c r="B359" s="10" t="n">
        <x:v>3.75</x:v>
      </x:c>
      <x:c r="C359" s="11" t="n">
        <x:v>2.3499278536</x:v>
      </x:c>
      <x:c r="D359" s="11" t="n">
        <x:v>146.8290603661263</x:v>
      </x:c>
      <x:c r="E359" s="9" t="str">
        <x:v>Med Benthic Carnivores (100.0000%)</x:v>
      </x:c>
      <x:c r="F359" s="9" t="str">
        <x:v>Medium</x:v>
      </x:c>
      <x:c r="G359" s="9" t="str">
        <x:v>Analyst ecological analogue: Lethrinus rubrioperculatus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60" ht="80" customHeight="1">
      <x:c r="A360" s="2" t="str">
        <x:v>Rhincodon typus</x:v>
      </x:c>
      <x:c r="B360" s="10" t="n">
        <x:v>3.55</x:v>
      </x:c>
      <x:c r="C360" s="11" t="n">
        <x:v>3.5925205061</x:v>
      </x:c>
      <x:c r="D360" s="11" t="n">
        <x:v>141.63048629560672</x:v>
      </x:c>
      <x:c r="E360" s="9" t="str">
        <x:v>Sharks (100.0000%)</x:v>
      </x:c>
      <x:c r="F360" s="9" t="str">
        <x:v>High</x:v>
      </x:c>
      <x:c r="G3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61" ht="80" customHeight="1">
      <x:c r="A361" s="2" t="str">
        <x:v>Terapontidae</x:v>
      </x:c>
      <x:c r="B361" s="10" t="n">
        <x:v>3.64</x:v>
      </x:c>
      <x:c r="C361" s="11" t="n">
        <x:v>2.3770921113</x:v>
      </x:c>
      <x:c r="D361" s="11" t="n">
        <x:v>115.29314903062813</x:v>
      </x:c>
      <x:c r="E361" s="9" t="str">
        <x:v>Small Benthic Carnivores (100.0000%)</x:v>
      </x:c>
      <x:c r="F361" s="9" t="str">
        <x:v>Medium</x:v>
      </x:c>
      <x:c r="G361" s="9" t="str">
        <x:v>Taxonomy/catch ecology links Terapontidae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62" ht="80" customHeight="1">
      <x:c r="A362" s="2" t="str">
        <x:v>Mollusca</x:v>
      </x:c>
      <x:c r="B362" s="10" t="n">
        <x:v>2.1</x:v>
      </x:c>
      <x:c r="C362" s="11" t="n">
        <x:v>53.8537949785</x:v>
      </x:c>
      <x:c r="D362" s="11" t="n">
        <x:v>75.33101224442971</x:v>
      </x:c>
      <x:c r="E362" s="9" t="str">
        <x:v>Cephalopods (100.0000%); Heterotrophic Benthos (0.0000%)</x:v>
      </x:c>
      <x:c r="F362" s="9" t="str">
        <x:v>Very low</x:v>
      </x:c>
      <x:c r="G362" s="9" t="str">
        <x:v>Common-name metadata explicitly includes clams, seasnails, squids and octopuses; include Cephalopods and Heterotrophic Benthos. Adult fishery catch is assumed; larval zooplankton is excluded. Allocation uses published model catch proportions, assumed constant across regions, years and catch bases; whole-group quantities are a composition proxy. See Sources and Allocation evidence.</x:v>
      </x:c>
    </x:row>
    <x:row r="363" ht="96" customHeight="1">
      <x:c r="A363" s="2" t="str">
        <x:v>Hemiramphus archipelagicus</x:v>
      </x:c>
      <x:c r="B363" s="10" t="n">
        <x:v>3.25</x:v>
      </x:c>
      <x:c r="C363" s="11" t="n">
        <x:v>3.4504660959</x:v>
      </x:c>
      <x:c r="D363" s="11" t="n">
        <x:v>68.17658681529286</x:v>
      </x:c>
      <x:c r="E363" s="9" t="str">
        <x:v>Small Benthopelagics (100.0000%)</x:v>
      </x:c>
      <x:c r="F363" s="9" t="str">
        <x:v>Low</x:v>
      </x:c>
      <x:c r="G363" s="9" t="str">
        <x:v>Analyst ecological analogue: Hemiramphus archipelagicus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64" ht="64" customHeight="1">
      <x:c r="A364" s="2" t="str">
        <x:v>Chaetodontidae</x:v>
      </x:c>
      <x:c r="B364" s="10" t="n">
        <x:v>3.24</x:v>
      </x:c>
      <x:c r="C364" s="11" t="n">
        <x:v>3.4464118593</x:v>
      </x:c>
      <x:c r="D364" s="11" t="n">
        <x:v>66.54641539225797</x:v>
      </x:c>
      <x:c r="E364" s="9" t="str">
        <x:v>Benthic Omnivores (100.0000%)</x:v>
      </x:c>
      <x:c r="F364" s="9" t="str">
        <x:v>Very low</x:v>
      </x:c>
      <x:c r="G36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65" ht="96" customHeight="1">
      <x:c r="A365" s="2" t="str">
        <x:v>Sillago</x:v>
      </x:c>
      <x:c r="B365" s="10" t="n">
        <x:v>3.33</x:v>
      </x:c>
      <x:c r="C365" s="11" t="n">
        <x:v>2.142954404</x:v>
      </x:c>
      <x:c r="D365" s="11" t="n">
        <x:v>50.90616972537612</x:v>
      </x:c>
      <x:c r="E365" s="9" t="str">
        <x:v>Small Benthic Carnivores (100.0000%)</x:v>
      </x:c>
      <x:c r="F365" s="9" t="str">
        <x:v>Medium</x:v>
      </x:c>
      <x:c r="G365" s="9" t="str">
        <x:v>Analyst ecological analogue: Sillago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366" ht="80" customHeight="1">
      <x:c r="A366" s="2" t="str">
        <x:v>Miscellaneous aquatic invertebrates</x:v>
      </x:c>
      <x:c r="B366" s="10" t="n">
        <x:v>2.43</x:v>
      </x:c>
      <x:c r="C366" s="11" t="n">
        <x:v>14.3542101159</x:v>
      </x:c>
      <x:c r="D366" s="11" t="n">
        <x:v>42.9276178998052</x:v>
      </x:c>
      <x:c r="E366" s="9" t="str">
        <x:v>Cephalopods (43.1008%); Crabs &amp; Lobster (9.4574%); Shrimps (47.4419%); Heterotrophic Benthos (0.0000%); Meiobenthos (0.0000%)</x:v>
      </x:c>
      <x:c r="F366" s="9" t="str">
        <x:v>Very low</x:v>
      </x:c>
      <x:c r="G366" s="9" t="str">
        <x:v>Unidentified demersal invertebrates may span molluscs, crustaceans, epifauna and infauna. These adult pools are an explicit coarse approximation; fish-bearing pools and pelagic larvae are excluded. Allocation uses published model catch proportions, assumed constant across regions, years and catch bases; whole-group quantities are a composition proxy. See Sources and Allocation evidence.</x:v>
      </x:c>
    </x:row>
    <x:row r="367" ht="80" customHeight="1">
      <x:c r="A367" s="2" t="str">
        <x:v>Stromateidae</x:v>
      </x:c>
      <x:c r="B367" s="10" t="n">
        <x:v>3.62</x:v>
      </x:c>
      <x:c r="C367" s="11" t="n">
        <x:v>0.7879939557</x:v>
      </x:c>
      <x:c r="D367" s="11" t="n">
        <x:v>36.4989504990011</x:v>
      </x:c>
      <x:c r="E367" s="9" t="str">
        <x:v>Med Benthic Carnivores (100.0000%)</x:v>
      </x:c>
      <x:c r="F367" s="9" t="str">
        <x:v>Medium</x:v>
      </x:c>
      <x:c r="G367" s="9" t="str">
        <x:v>Taxonomy/catch ecology links Stromateidae (Stromateidae)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68" ht="64" customHeight="1">
      <x:c r="A368" s="2" t="str">
        <x:v>Siganus sutor</x:v>
      </x:c>
      <x:c r="B368" s="10" t="n">
        <x:v>2</x:v>
      </x:c>
      <x:c r="C368" s="11" t="n">
        <x:v>25.1810530432</x:v>
      </x:c>
      <x:c r="D368" s="11" t="n">
        <x:v>27.978947825777777</x:v>
      </x:c>
      <x:c r="E368" s="9" t="str">
        <x:v>Benthic Omnivores (100.0000%)</x:v>
      </x:c>
      <x:c r="F368" s="9" t="str">
        <x:v>Very low</x:v>
      </x:c>
      <x:c r="G36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69" ht="80" customHeight="1">
      <x:c r="A369" s="2" t="str">
        <x:v>Epinephelus coeruleopunctatus</x:v>
      </x:c>
      <x:c r="B369" s="10" t="n">
        <x:v>3.72</x:v>
      </x:c>
      <x:c r="C369" s="11" t="n">
        <x:v>0.4185975357</x:v>
      </x:c>
      <x:c r="D369" s="11" t="n">
        <x:v>24.4092343975034</x:v>
      </x:c>
      <x:c r="E369" s="9" t="str">
        <x:v>Large Benthic Carnivores (100.0000%)</x:v>
      </x:c>
      <x:c r="F369" s="9" t="str">
        <x:v>Medium</x:v>
      </x:c>
      <x:c r="G369" s="9" t="str">
        <x:v>Taxonomy/catch ecology links Epinephelus coeruleopunctatus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70" ht="80" customHeight="1">
      <x:c r="A370" s="2" t="str">
        <x:v>Holothuroidea</x:v>
      </x:c>
      <x:c r="B370" s="10" t="n">
        <x:v>2</x:v>
      </x:c>
      <x:c r="C370" s="11" t="n">
        <x:v>19.7259375191</x:v>
      </x:c>
      <x:c r="D370" s="11" t="n">
        <x:v>21.917708354555558</x:v>
      </x:c>
      <x:c r="E370" s="9" t="str">
        <x:v>Heterotrophic Benthos (100.0000%)</x:v>
      </x:c>
      <x:c r="F370" s="9" t="str">
        <x:v>High</x:v>
      </x:c>
      <x:c r="G370"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1" ht="64" customHeight="1">
      <x:c r="A371" s="2" t="str">
        <x:v>Panulirus versicolor</x:v>
      </x:c>
      <x:c r="B371" s="10" t="n">
        <x:v>3.57</x:v>
      </x:c>
      <x:c r="C371" s="11" t="n">
        <x:v>0.4006183361</x:v>
      </x:c>
      <x:c r="D371" s="11" t="n">
        <x:v>16.538202809271283</x:v>
      </x:c>
      <x:c r="E371" s="9" t="str">
        <x:v>Crabs &amp; Lobster (100.0000%)</x:v>
      </x:c>
      <x:c r="F371" s="9" t="str">
        <x:v>High</x:v>
      </x:c>
      <x:c r="G371" s="9" t="str">
        <x:v>Source explicitly lists the genus Panulirus sp. in Crabs &amp; Lobster; the catch label lies within that genus. No numerical source-size cutoff is stated. Single-group allocation adds no internal composition assumption. See Sources and Allocation evidence.</x:v>
      </x:c>
    </x:row>
    <x:row r="372" ht="80" customHeight="1">
      <x:c r="A372" s="2" t="str">
        <x:v>Haliotis</x:v>
      </x:c>
      <x:c r="B372" s="10" t="n">
        <x:v>2</x:v>
      </x:c>
      <x:c r="C372" s="11" t="n">
        <x:v>11.9074641369</x:v>
      </x:c>
      <x:c r="D372" s="11" t="n">
        <x:v>13.230515707666667</x:v>
      </x:c>
      <x:c r="E372" s="9" t="str">
        <x:v>Heterotrophic Benthos (100.0000%)</x:v>
      </x:c>
      <x:c r="F372" s="9" t="str">
        <x:v>High</x:v>
      </x:c>
      <x:c r="G37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3" ht="80" customHeight="1">
      <x:c r="A373" s="2" t="str">
        <x:v>Scylla serrata</x:v>
      </x:c>
      <x:c r="B373" s="10" t="n">
        <x:v>3.17</x:v>
      </x:c>
      <x:c r="C373" s="11" t="n">
        <x:v>0.7431801652</x:v>
      </x:c>
      <x:c r="D373" s="11" t="n">
        <x:v>12.213822402972818</x:v>
      </x:c>
      <x:c r="E373" s="9" t="str">
        <x:v>Crabs &amp; Lobster (100.0000%)</x:v>
      </x:c>
      <x:c r="F373" s="9" t="str">
        <x:v>High</x:v>
      </x:c>
      <x:c r="G373"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4" ht="64" customHeight="1">
      <x:c r="A374" s="2" t="str">
        <x:v>Panulirus penicillatus</x:v>
      </x:c>
      <x:c r="B374" s="10" t="n">
        <x:v>3.57</x:v>
      </x:c>
      <x:c r="C374" s="11" t="n">
        <x:v>0.1057314745</x:v>
      </x:c>
      <x:c r="D374" s="11" t="n">
        <x:v>4.364774177904372</x:v>
      </x:c>
      <x:c r="E374" s="9" t="str">
        <x:v>Crabs &amp; Lobster (100.0000%)</x:v>
      </x:c>
      <x:c r="F374" s="9" t="str">
        <x:v>High</x:v>
      </x:c>
      <x:c r="G374" s="9" t="str">
        <x:v>Source explicitly lists the genus Panulirus sp. in Crabs &amp; Lobster; the catch label lies within that genus. No numerical source-size cutoff is stated. Single-group allocation adds no internal composition assumption. See Sources and Allocation evidence.</x:v>
      </x:c>
    </x:row>
    <x:row r="375" ht="80" customHeight="1">
      <x:c r="A375" s="2" t="str">
        <x:v>Haliotidae</x:v>
      </x:c>
      <x:c r="B375" s="10" t="n">
        <x:v>2</x:v>
      </x:c>
      <x:c r="C375" s="11" t="n">
        <x:v>3.2553551353</x:v>
      </x:c>
      <x:c r="D375" s="11" t="n">
        <x:v>3.617061261444444</x:v>
      </x:c>
      <x:c r="E375" s="9" t="str">
        <x:v>Heterotrophic Benthos (100.0000%)</x:v>
      </x:c>
      <x:c r="F375" s="9" t="str">
        <x:v>High</x:v>
      </x:c>
      <x:c r="G37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6" ht="64" customHeight="1">
      <x:c r="A376" s="2" t="str">
        <x:v>Pomacentridae</x:v>
      </x:c>
      <x:c r="B376" s="10" t="n">
        <x:v>2.57</x:v>
      </x:c>
      <x:c r="C376" s="11" t="n">
        <x:v>0.8744134091</x:v>
      </x:c>
      <x:c r="D376" s="11" t="n">
        <x:v>3.6097265141734223</x:v>
      </x:c>
      <x:c r="E376" s="9" t="str">
        <x:v>Benthic Omnivores (100.0000%)</x:v>
      </x:c>
      <x:c r="F376" s="9" t="str">
        <x:v>Very low</x:v>
      </x:c>
      <x:c r="G376"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77" ht="80" customHeight="1">
      <x:c r="A377" s="2" t="str">
        <x:v>Holothuriidae</x:v>
      </x:c>
      <x:c r="B377" s="10" t="n">
        <x:v>2</x:v>
      </x:c>
      <x:c r="C377" s="11" t="n">
        <x:v>2.1300518595</x:v>
      </x:c>
      <x:c r="D377" s="11" t="n">
        <x:v>2.3667242883333333</x:v>
      </x:c>
      <x:c r="E377" s="9" t="str">
        <x:v>Heterotrophic Benthos (100.0000%)</x:v>
      </x:c>
      <x:c r="F377" s="9" t="str">
        <x:v>High</x:v>
      </x:c>
      <x:c r="G37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8" ht="80" customHeight="1">
      <x:c r="A378" s="2" t="str">
        <x:v>Mobula birostris</x:v>
      </x:c>
      <x:c r="B378" s="10" t="n">
        <x:v>3.46</x:v>
      </x:c>
      <x:c r="C378" s="11" t="n">
        <x:v>0.0328926779</x:v>
      </x:c>
      <x:c r="D378" s="11" t="n">
        <x:v>1.0540391031755145</x:v>
      </x:c>
      <x:c r="E378" s="9" t="str">
        <x:v>Skates &amp; Rays (100.0000%)</x:v>
      </x:c>
      <x:c r="F378" s="9" t="str">
        <x:v>High</x:v>
      </x:c>
      <x:c r="G37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9" ht="96" customHeight="1">
      <x:c r="A379" s="2" t="str">
        <x:v>Gymnocranius grandoculis</x:v>
      </x:c>
      <x:c r="B379" s="10" t="n">
        <x:v>3.76</x:v>
      </x:c>
      <x:c r="C379" s="11" t="n">
        <x:v>0.0088920206</x:v>
      </x:c>
      <x:c r="D379" s="11" t="n">
        <x:v>0.5685359752071896</x:v>
      </x:c>
      <x:c r="E379" s="9" t="str">
        <x:v>Med Benthic Carnivores (100.0000%)</x:v>
      </x:c>
      <x:c r="F379" s="9" t="str">
        <x:v>Medium</x:v>
      </x:c>
      <x:c r="G379" s="9" t="str">
        <x:v>Analyst ecological analogue: Gymnocranius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80" ht="80" customHeight="1">
      <x:c r="A380" s="2" t="str">
        <x:v>Bothidae</x:v>
      </x:c>
      <x:c r="B380" s="10" t="n">
        <x:v>3.77</x:v>
      </x:c>
      <x:c r="C380" s="11" t="n">
        <x:v>0.0083895745</x:v>
      </x:c>
      <x:c r="D380" s="11" t="n">
        <x:v>0.5489053017175598</x:v>
      </x:c>
      <x:c r="E380" s="9" t="str">
        <x:v>Med Benthic Carnivores (100.0000%)</x:v>
      </x:c>
      <x:c r="F380" s="9" t="str">
        <x:v>Medium</x:v>
      </x:c>
      <x:c r="G380" s="9" t="str">
        <x:v>Taxonomy/catch ecology links Bothidae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81" ht="80" customHeight="1">
      <x:c r="A381" s="2" t="str">
        <x:v>Holothuria fuscogilva</x:v>
      </x:c>
      <x:c r="B381" s="10" t="n">
        <x:v>2</x:v>
      </x:c>
      <x:c r="C381" s="11" t="n">
        <x:v>0.4425233668</x:v>
      </x:c>
      <x:c r="D381" s="11" t="n">
        <x:v>0.4916926297777777</x:v>
      </x:c>
      <x:c r="E381" s="9" t="str">
        <x:v>Heterotrophic Benthos (100.0000%)</x:v>
      </x:c>
      <x:c r="F381" s="9" t="str">
        <x:v>High</x:v>
      </x:c>
      <x:c r="G38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2" ht="80" customHeight="1">
      <x:c r="A382" s="2" t="str">
        <x:v>Holothuria edulis</x:v>
      </x:c>
      <x:c r="B382" s="10" t="n">
        <x:v>2</x:v>
      </x:c>
      <x:c r="C382" s="11" t="n">
        <x:v>0.4422714196</x:v>
      </x:c>
      <x:c r="D382" s="11" t="n">
        <x:v>0.49141268844444447</x:v>
      </x:c>
      <x:c r="E382" s="9" t="str">
        <x:v>Heterotrophic Benthos (100.0000%)</x:v>
      </x:c>
      <x:c r="F382" s="9" t="str">
        <x:v>High</x:v>
      </x:c>
      <x:c r="G38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3" ht="80" customHeight="1">
      <x:c r="A383" s="2" t="str">
        <x:v>Holothuria atra</x:v>
      </x:c>
      <x:c r="B383" s="10" t="n">
        <x:v>2</x:v>
      </x:c>
      <x:c r="C383" s="11" t="n">
        <x:v>0.4411441591</x:v>
      </x:c>
      <x:c r="D383" s="11" t="n">
        <x:v>0.4901601767777778</x:v>
      </x:c>
      <x:c r="E383" s="9" t="str">
        <x:v>Heterotrophic Benthos (100.0000%)</x:v>
      </x:c>
      <x:c r="F383" s="9" t="str">
        <x:v>High</x:v>
      </x:c>
      <x:c r="G38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4" ht="80" customHeight="1">
      <x:c r="A384" s="2" t="str">
        <x:v>Holothuria fuscopunctata</x:v>
      </x:c>
      <x:c r="B384" s="10" t="n">
        <x:v>2</x:v>
      </x:c>
      <x:c r="C384" s="11" t="n">
        <x:v>0.4408164183</x:v>
      </x:c>
      <x:c r="D384" s="11" t="n">
        <x:v>0.48979602033333336</x:v>
      </x:c>
      <x:c r="E384" s="9" t="str">
        <x:v>Heterotrophic Benthos (100.0000%)</x:v>
      </x:c>
      <x:c r="F384" s="9" t="str">
        <x:v>High</x:v>
      </x:c>
      <x:c r="G384"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5" ht="80" customHeight="1">
      <x:c r="A385" s="2" t="str">
        <x:v>Holothuria leucospilota</x:v>
      </x:c>
      <x:c r="B385" s="10" t="n">
        <x:v>2</x:v>
      </x:c>
      <x:c r="C385" s="11" t="n">
        <x:v>0.4407911146</x:v>
      </x:c>
      <x:c r="D385" s="11" t="n">
        <x:v>0.4897679051111111</x:v>
      </x:c>
      <x:c r="E385" s="9" t="str">
        <x:v>Heterotrophic Benthos (100.0000%)</x:v>
      </x:c>
      <x:c r="F385" s="9" t="str">
        <x:v>High</x:v>
      </x:c>
      <x:c r="G38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6" ht="80" customHeight="1">
      <x:c r="A386" s="2" t="str">
        <x:v>Penaeus latisulcatus</x:v>
      </x:c>
      <x:c r="B386" s="10" t="n">
        <x:v>2.7</x:v>
      </x:c>
      <x:c r="C386" s="11" t="n">
        <x:v>0.0519617329</x:v>
      </x:c>
      <x:c r="D386" s="11" t="n">
        <x:v>0.2893617462958915</x:v>
      </x:c>
      <x:c r="E386" s="9" t="str">
        <x:v>Shrimps (100.0000%)</x:v>
      </x:c>
      <x:c r="F386" s="9" t="str">
        <x:v>High</x:v>
      </x:c>
      <x:c r="G386"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7" ht="80" customHeight="1">
      <x:c r="A387" s="2" t="str">
        <x:v>Pristipomoides multidens</x:v>
      </x:c>
      <x:c r="B387" s="10" t="n">
        <x:v>3.84</x:v>
      </x:c>
      <x:c r="C387" s="11" t="n">
        <x:v>0.0020736764</x:v>
      </x:c>
      <x:c r="D387" s="11" t="n">
        <x:v>0.15940372857596496</x:v>
      </x:c>
      <x:c r="E387" s="9" t="str">
        <x:v>Large Benthic Carnivores (100.0000%)</x:v>
      </x:c>
      <x:c r="F387" s="9" t="str">
        <x:v>Medium</x:v>
      </x:c>
      <x:c r="G387" s="9" t="str">
        <x:v>Taxonomy/catch ecology links Pristipomoides multidens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388" ht="64" customHeight="1">
      <x:c r="A388" s="2" t="str">
        <x:v>Scarus ghobban</x:v>
      </x:c>
      <x:c r="B388" s="10" t="n">
        <x:v>2</x:v>
      </x:c>
      <x:c r="C388" s="11" t="n">
        <x:v>0.095978643</x:v>
      </x:c>
      <x:c r="D388" s="11" t="n">
        <x:v>0.10664293666666667</x:v>
      </x:c>
      <x:c r="E388" s="9" t="str">
        <x:v>Benthic Omnivores (100.0000%)</x:v>
      </x:c>
      <x:c r="F388" s="9" t="str">
        <x:v>Very low</x:v>
      </x:c>
      <x:c r="G38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89" ht="64" customHeight="1">
      <x:c r="A389" s="2" t="str">
        <x:v>Octopoda</x:v>
      </x:c>
      <x:c r="B389" s="10" t="n">
        <x:v>3.58</x:v>
      </x:c>
      <x:c r="C389" s="11" t="n">
        <x:v>0.0018448583</x:v>
      </x:c>
      <x:c r="D389" s="11" t="n">
        <x:v>0.07793284037488633</x:v>
      </x:c>
      <x:c r="E389" s="9" t="str">
        <x:v>Cephalopods (100.0000%)</x:v>
      </x:c>
      <x:c r="F389" s="9" t="str">
        <x:v>Medium</x:v>
      </x:c>
      <x:c r="G389"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90" ht="80" customHeight="1">
      <x:c r="A390" s="2" t="str">
        <x:v>Portunus</x:v>
      </x:c>
      <x:c r="B390" s="10" t="n">
        <x:v>3.26</x:v>
      </x:c>
      <x:c r="C390" s="11" t="n">
        <x:v>0.000894631</x:v>
      </x:c>
      <x:c r="D390" s="11" t="n">
        <x:v>0.01808845332043453</x:v>
      </x:c>
      <x:c r="E390" s="9" t="str">
        <x:v>Crabs &amp; Lobster (100.0000%)</x:v>
      </x:c>
      <x:c r="F390" s="9" t="str">
        <x:v>High</x:v>
      </x:c>
      <x:c r="G390"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1" ht="80" customHeight="1">
      <x:c r="A391" s="2" t="str">
        <x:v>Veneridae</x:v>
      </x:c>
      <x:c r="B391" s="10" t="n">
        <x:v>2</x:v>
      </x:c>
      <x:c r="C391" s="11" t="n">
        <x:v>0.0026467163</x:v>
      </x:c>
      <x:c r="D391" s="11" t="n">
        <x:v>0.002940795888888889</x:v>
      </x:c>
      <x:c r="E391" s="9" t="str">
        <x:v>Heterotrophic Benthos (100.0000%)</x:v>
      </x:c>
      <x:c r="F391" s="9" t="str">
        <x:v>High</x:v>
      </x:c>
      <x:c r="G39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2" ht="64" customHeight="1">
      <x:c r="A392" s="2" t="str">
        <x:v>Pomacanthidae</x:v>
      </x:c>
      <x:c r="B392" s="10" t="n">
        <x:v>2.86</x:v>
      </x:c>
      <x:c r="C392" s="11" t="n">
        <x:v>0.000241323</x:v>
      </x:c>
      <x:c r="D392" s="11" t="n">
        <x:v>0.001942478435479742</x:v>
      </x:c>
      <x:c r="E392" s="9" t="str">
        <x:v>Benthic Omnivores (100.0000%)</x:v>
      </x:c>
      <x:c r="F392" s="9" t="str">
        <x:v>Very low</x:v>
      </x:c>
      <x:c r="G392"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93" ht="96" customHeight="1">
      <x:c r="A393" s="2" t="str">
        <x:v>Labridae</x:v>
      </x:c>
      <x:c r="B393" s="10" t="n">
        <x:v>3.46</x:v>
      </x:c>
      <x:c r="C393" s="11" t="n">
        <x:v>0.0000077187</x:v>
      </x:c>
      <x:c r="D393" s="11" t="n">
        <x:v>0.00024734415514648147</x:v>
      </x:c>
      <x:c r="E393" s="9" t="str">
        <x:v>Med Benthic Carnivores (21.6252%); Small Benthic Carnivores (53.4731%); Small Benthopelagics (24.9017%)</x:v>
      </x:c>
      <x:c r="F393" s="9" t="str">
        <x:v>Very low</x:v>
      </x:c>
      <x:c r="G393" s="9" t="str">
        <x:v>Wrasses vary in size and include benthic invertebrate feeders and planktivores (FishBase family account). Approximate medium/small benthic feeders plus the small water-column pool; specialised cleaning and reef habitats remain unmatched. Allocation uses published model catch proportions, assumed constant across regions, years and catch bases; whole-group quantities are a composition proxy. See Sources and Allocation evidence.</x:v>
      </x:c>
    </x:row>
    <x:row r="394" ht="64" customHeight="1">
      <x:c r="A394" s="2" t="str">
        <x:v>Acanthuridae</x:v>
      </x:c>
      <x:c r="B394" s="10" t="n">
        <x:v>2.28</x:v>
      </x:c>
      <x:c r="C394" s="11" t="n">
        <x:v>0.0000135332</x:v>
      </x:c>
      <x:c r="D394" s="11" t="n">
        <x:v>0.000028652201098155773</x:v>
      </x:c>
      <x:c r="E394" s="9" t="str">
        <x:v>Benthic Omnivores (100.0000%)</x:v>
      </x:c>
      <x:c r="F394" s="9" t="str">
        <x:v>Very low</x:v>
      </x:c>
      <x:c r="G394"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95" ht="80" customHeight="1">
      <x:c r="A395" s="2" t="str">
        <x:v>Alopias</x:v>
      </x:c>
      <x:c r="B395" s="10" t="str">
        <x:v>?</x:v>
      </x:c>
      <x:c r="C395" s="11" t="n">
        <x:v>0</x:v>
      </x:c>
      <x:c r="D395" s="11" t="n">
        <x:v>0</x:v>
      </x:c>
      <x:c r="E395" s="9" t="str">
        <x:v>Sharks (100.0000%)</x:v>
      </x:c>
      <x:c r="F395" s="9" t="str">
        <x:v>High</x:v>
      </x:c>
      <x:c r="G39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6" ht="80" customHeight="1">
      <x:c r="A396" s="2" t="str">
        <x:v>Berycidae</x:v>
      </x:c>
      <x:c r="B396" s="10" t="str">
        <x:v>?</x:v>
      </x:c>
      <x:c r="C396" s="11" t="n">
        <x:v>0</x:v>
      </x:c>
      <x:c r="D396" s="11" t="n">
        <x:v>0</x:v>
      </x:c>
      <x:c r="E396" s="9" t="str">
        <x:v>Large Benthopelagics (100.0000%)</x:v>
      </x:c>
      <x:c r="F396" s="9" t="str">
        <x:v>Very low</x:v>
      </x:c>
      <x:c r="G396"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7" ht="80" customHeight="1">
      <x:c r="A397" s="2" t="str">
        <x:v>Beryx</x:v>
      </x:c>
      <x:c r="B397" s="10" t="str">
        <x:v>?</x:v>
      </x:c>
      <x:c r="C397" s="11" t="n">
        <x:v>0</x:v>
      </x:c>
      <x:c r="D397" s="11" t="n">
        <x:v>0</x:v>
      </x:c>
      <x:c r="E397" s="9" t="str">
        <x:v>Large Benthopelagics (100.0000%)</x:v>
      </x:c>
      <x:c r="F397" s="9" t="str">
        <x:v>Very low</x:v>
      </x:c>
      <x:c r="G397"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8" ht="80" customHeight="1">
      <x:c r="A398" s="2" t="str">
        <x:v>Brama brama</x:v>
      </x:c>
      <x:c r="B398" s="10" t="n">
        <x:v>4.08</x:v>
      </x:c>
      <x:c r="C398" s="11" t="n">
        <x:v>0</x:v>
      </x:c>
      <x:c r="D398" s="11" t="n">
        <x:v>0</x:v>
      </x:c>
      <x:c r="E398" s="9" t="str">
        <x:v>Large Benthopelagics (100.0000%)</x:v>
      </x:c>
      <x:c r="F398" s="9" t="str">
        <x:v>Very low</x:v>
      </x:c>
      <x:c r="G39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9" ht="96" customHeight="1">
      <x:c r="A399" s="2" t="str">
        <x:v>Caesio lunaris</x:v>
      </x:c>
      <x:c r="B399" s="10" t="str">
        <x:v>?</x:v>
      </x:c>
      <x:c r="C399" s="11" t="n">
        <x:v>0</x:v>
      </x:c>
      <x:c r="D399" s="11" t="n">
        <x:v>0</x:v>
      </x:c>
      <x:c r="E399" s="9" t="str">
        <x:v>Small Benthopelagics (100.0000%)</x:v>
      </x:c>
      <x:c r="F399" s="9" t="str">
        <x:v>Low</x:v>
      </x:c>
      <x:c r="G399" s="9" t="str">
        <x:v>Analyst ecological analogue: Caesio lunaris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00" ht="80" customHeight="1">
      <x:c r="A400" s="2" t="str">
        <x:v>Carcharhinus macloti</x:v>
      </x:c>
      <x:c r="B400" s="10" t="str">
        <x:v>?</x:v>
      </x:c>
      <x:c r="C400" s="11" t="n">
        <x:v>0</x:v>
      </x:c>
      <x:c r="D400" s="11" t="n">
        <x:v>0</x:v>
      </x:c>
      <x:c r="E400" s="9" t="str">
        <x:v>Sharks (100.0000%)</x:v>
      </x:c>
      <x:c r="F400" s="9" t="str">
        <x:v>High</x:v>
      </x:c>
      <x:c r="G40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1" ht="80" customHeight="1">
      <x:c r="A401" s="2" t="str">
        <x:v>Carcharhinus obscurus</x:v>
      </x:c>
      <x:c r="B401" s="10" t="str">
        <x:v>?</x:v>
      </x:c>
      <x:c r="C401" s="11" t="n">
        <x:v>0</x:v>
      </x:c>
      <x:c r="D401" s="11" t="n">
        <x:v>0</x:v>
      </x:c>
      <x:c r="E401" s="9" t="str">
        <x:v>Sharks (100.0000%)</x:v>
      </x:c>
      <x:c r="F401" s="9" t="str">
        <x:v>High</x:v>
      </x:c>
      <x:c r="G4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2" ht="96" customHeight="1">
      <x:c r="A402" s="2" t="str">
        <x:v>Centrolophidae</x:v>
      </x:c>
      <x:c r="B402" s="10" t="str">
        <x:v>?</x:v>
      </x:c>
      <x:c r="C402" s="11" t="n">
        <x:v>0</x:v>
      </x:c>
      <x:c r="D402" s="11" t="n">
        <x:v>0</x:v>
      </x:c>
      <x:c r="E402" s="9" t="str">
        <x:v>Small Benthopelagics (100.0000%)</x:v>
      </x:c>
      <x:c r="F402" s="9" t="str">
        <x:v>Low</x:v>
      </x:c>
      <x:c r="G402" s="9" t="str">
        <x:v>Analyst ecological analogue: Centrolophidae is a small or medium water-column feeder, compared with source scads;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403" ht="96" customHeight="1">
      <x:c r="A403" s="2" t="str">
        <x:v>Congridae</x:v>
      </x:c>
      <x:c r="B403" s="10" t="str">
        <x:v>?</x:v>
      </x:c>
      <x:c r="C403" s="11" t="n">
        <x:v>0</x:v>
      </x:c>
      <x:c r="D403" s="11" t="n">
        <x:v>0</x:v>
      </x:c>
      <x:c r="E403" s="9" t="str">
        <x:v>Large Benthic Carnivores (100.0000%)</x:v>
      </x:c>
      <x:c r="F403" s="9" t="str">
        <x:v>Medium</x:v>
      </x:c>
      <x:c r="G403" s="9" t="str">
        <x:v>Analyst inference: demersal predatory lineage Congridae,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04" ht="80" customHeight="1">
      <x:c r="A404" s="2" t="str">
        <x:v>Gadiformes</x:v>
      </x:c>
      <x:c r="B404" s="10" t="str">
        <x:v>?</x:v>
      </x:c>
      <x:c r="C404" s="11" t="n">
        <x:v>0</x:v>
      </x:c>
      <x:c r="D404" s="11" t="n">
        <x:v>0</x:v>
      </x:c>
      <x:c r="E404" s="9" t="str">
        <x:v>Large Benthopelagics (100.0000%)</x:v>
      </x:c>
      <x:c r="F404" s="9" t="str">
        <x:v>Very low</x:v>
      </x:c>
      <x:c r="G40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5" ht="80" customHeight="1">
      <x:c r="A405" s="2" t="str">
        <x:v>Gempylidae</x:v>
      </x:c>
      <x:c r="B405" s="10" t="str">
        <x:v>?</x:v>
      </x:c>
      <x:c r="C405" s="11" t="n">
        <x:v>0</x:v>
      </x:c>
      <x:c r="D405" s="11" t="n">
        <x:v>0</x:v>
      </x:c>
      <x:c r="E405" s="9" t="str">
        <x:v>Large Benthopelagics (100.0000%)</x:v>
      </x:c>
      <x:c r="F405" s="9" t="str">
        <x:v>Very low</x:v>
      </x:c>
      <x:c r="G405"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6" ht="80" customHeight="1">
      <x:c r="A406" s="2" t="str">
        <x:v>Hexanchus griseus</x:v>
      </x:c>
      <x:c r="B406" s="10" t="str">
        <x:v>?</x:v>
      </x:c>
      <x:c r="C406" s="11" t="n">
        <x:v>0</x:v>
      </x:c>
      <x:c r="D406" s="11" t="n">
        <x:v>0</x:v>
      </x:c>
      <x:c r="E406" s="9" t="str">
        <x:v>Sharks (100.0000%)</x:v>
      </x:c>
      <x:c r="F406" s="9" t="str">
        <x:v>High</x:v>
      </x:c>
      <x:c r="G406"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7" ht="80" customHeight="1">
      <x:c r="A407" s="2" t="str">
        <x:v>Hilsa kelee</x:v>
      </x:c>
      <x:c r="B407" s="10" t="n">
        <x:v>3.25</x:v>
      </x:c>
      <x:c r="C407" s="11" t="n">
        <x:v>0</x:v>
      </x:c>
      <x:c r="D407" s="11" t="n">
        <x:v>0</x:v>
      </x:c>
      <x:c r="E407" s="9" t="str">
        <x:v>Clupeids (100.0000%)</x:v>
      </x:c>
      <x:c r="F407" s="9" t="str">
        <x:v>Medium</x:v>
      </x:c>
      <x:c r="G407" s="9" t="str">
        <x:v>Taxonomy/catch ecology links Hilsa kelee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08" ht="96" customHeight="1">
      <x:c r="A408" s="2" t="str">
        <x:v>Inermiidae</x:v>
      </x:c>
      <x:c r="B408" s="10" t="str">
        <x:v>?</x:v>
      </x:c>
      <x:c r="C408" s="11" t="n">
        <x:v>0</x:v>
      </x:c>
      <x:c r="D408" s="11" t="n">
        <x:v>0</x:v>
      </x:c>
      <x:c r="E408" s="9" t="str">
        <x:v>Small Benthopelagics (100.0000%)</x:v>
      </x:c>
      <x:c r="F408" s="9" t="str">
        <x:v>Low</x:v>
      </x:c>
      <x:c r="G408" s="9" t="str">
        <x:v>Analyst ecological analogue: Inermiidae is a small or medium water-column feeder, compared with source scads;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09" ht="80" customHeight="1">
      <x:c r="A409" s="2" t="str">
        <x:v>Lamniformes</x:v>
      </x:c>
      <x:c r="B409" s="10" t="str">
        <x:v>?</x:v>
      </x:c>
      <x:c r="C409" s="11" t="n">
        <x:v>0</x:v>
      </x:c>
      <x:c r="D409" s="11" t="n">
        <x:v>0</x:v>
      </x:c>
      <x:c r="E409" s="9" t="str">
        <x:v>Sharks (100.0000%)</x:v>
      </x:c>
      <x:c r="F409" s="9" t="str">
        <x:v>High</x:v>
      </x:c>
      <x:c r="G40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0" ht="80" customHeight="1">
      <x:c r="A410" s="2" t="str">
        <x:v>Lampris guttatus</x:v>
      </x:c>
      <x:c r="B410" s="10" t="str">
        <x:v>?</x:v>
      </x:c>
      <x:c r="C410" s="11" t="n">
        <x:v>0</x:v>
      </x:c>
      <x:c r="D410" s="11" t="n">
        <x:v>0</x:v>
      </x:c>
      <x:c r="E410" s="9" t="str">
        <x:v>Large Benthopelagics (100.0000%)</x:v>
      </x:c>
      <x:c r="F410" s="9" t="str">
        <x:v>Very low</x:v>
      </x:c>
      <x:c r="G410"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1" ht="80" customHeight="1">
      <x:c r="A411" s="2" t="str">
        <x:v>Lepidocybium flavobrunneum</x:v>
      </x:c>
      <x:c r="B411" s="10" t="str">
        <x:v>?</x:v>
      </x:c>
      <x:c r="C411" s="11" t="n">
        <x:v>0</x:v>
      </x:c>
      <x:c r="D411" s="11" t="n">
        <x:v>0</x:v>
      </x:c>
      <x:c r="E411" s="9" t="str">
        <x:v>Large Benthopelagics (100.0000%)</x:v>
      </x:c>
      <x:c r="F411" s="9" t="str">
        <x:v>Very low</x:v>
      </x:c>
      <x:c r="G411"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2" ht="80" customHeight="1">
      <x:c r="A412" s="2" t="str">
        <x:v>Lepturacanthus savala</x:v>
      </x:c>
      <x:c r="B412" s="10" t="n">
        <x:v>4.31</x:v>
      </x:c>
      <x:c r="C412" s="11" t="n">
        <x:v>0</x:v>
      </x:c>
      <x:c r="D412" s="11" t="n">
        <x:v>0</x:v>
      </x:c>
      <x:c r="E412" s="9" t="str">
        <x:v>Large Benthopelagics (100.0000%)</x:v>
      </x:c>
      <x:c r="F412" s="9" t="str">
        <x:v>Medium</x:v>
      </x:c>
      <x:c r="G412" s="9" t="str">
        <x:v>Taxonomy/catch ecology links Lepturacanthus savala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3" ht="80" customHeight="1">
      <x:c r="A413" s="2" t="str">
        <x:v>Loligo</x:v>
      </x:c>
      <x:c r="B413" s="10" t="str">
        <x:v>?</x:v>
      </x:c>
      <x:c r="C413" s="11" t="n">
        <x:v>0</x:v>
      </x:c>
      <x:c r="D413" s="11" t="n">
        <x:v>0</x:v>
      </x:c>
      <x:c r="E413" s="9" t="str">
        <x:v>Cephalopods (100.0000%)</x:v>
      </x:c>
      <x:c r="F413" s="9" t="str">
        <x:v>Medium</x:v>
      </x:c>
      <x:c r="G413" s="9" t="str">
        <x:v>Taxonomy/catch ecology links Loligo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14" ht="96" customHeight="1">
      <x:c r="A414" s="2" t="str">
        <x:v>Lophiidae</x:v>
      </x:c>
      <x:c r="B414" s="10" t="str">
        <x:v>?</x:v>
      </x:c>
      <x:c r="C414" s="11" t="n">
        <x:v>0</x:v>
      </x:c>
      <x:c r="D414" s="11" t="n">
        <x:v>0</x:v>
      </x:c>
      <x:c r="E414" s="9" t="str">
        <x:v>Large Benthic Carnivores (100.0000%)</x:v>
      </x:c>
      <x:c r="F414" s="9" t="str">
        <x:v>Medium</x:v>
      </x:c>
      <x:c r="G414" s="9" t="str">
        <x:v>Analyst inference: demersal predatory lineage Lophiidae,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15" ht="80" customHeight="1">
      <x:c r="A415" s="2" t="str">
        <x:v>Macolor macularis</x:v>
      </x:c>
      <x:c r="B415" s="10" t="str">
        <x:v>?</x:v>
      </x:c>
      <x:c r="C415" s="11" t="n">
        <x:v>0</x:v>
      </x:c>
      <x:c r="D415" s="11" t="n">
        <x:v>0</x:v>
      </x:c>
      <x:c r="E415" s="9" t="str">
        <x:v>Large Benthic Carnivores (100.0000%)</x:v>
      </x:c>
      <x:c r="F415" s="9" t="str">
        <x:v>Medium</x:v>
      </x:c>
      <x:c r="G415" s="9" t="str">
        <x:v>Taxonomy/catch ecology links Macolor macularis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16" ht="80" customHeight="1">
      <x:c r="A416" s="2" t="str">
        <x:v>Malacostraca</x:v>
      </x:c>
      <x:c r="B416" s="10" t="str">
        <x:v>?</x:v>
      </x:c>
      <x:c r="C416" s="11" t="n">
        <x:v>0</x:v>
      </x:c>
      <x:c r="D416" s="11" t="n">
        <x:v>0</x:v>
      </x:c>
      <x:c r="E416" s="9" t="str">
        <x:v>Crabs &amp; Lobster (5.0372%); Shrimps (25.2684%); Benthic Omnivores (69.6945%); Heterotrophic Benthos (0.0000%); Large zooplankton (0.0000%)</x:v>
      </x:c>
      <x:c r="F416" s="9" t="str">
        <x:v>Very low</x:v>
      </x:c>
      <x:c r="G416" s="9" t="str">
        <x:v>Common metadata includes lobsters, crabs, shrimps and krill. Include harvested decapods, squilla, epifaunal crustaceans and large zooplankton; exclude micro-zooplankton eggs/larvae under an adult-catch assumption. Allocation uses published model catch proportions, assumed constant across regions, years and catch bases; whole-group quantities are a composition proxy. See Sources and Allocation evidence.</x:v>
      </x:c>
    </x:row>
    <x:row r="417" ht="80" customHeight="1">
      <x:c r="A417" s="2" t="str">
        <x:v>Modiolus</x:v>
      </x:c>
      <x:c r="B417" s="10" t="str">
        <x:v>?</x:v>
      </x:c>
      <x:c r="C417" s="11" t="n">
        <x:v>0</x:v>
      </x:c>
      <x:c r="D417" s="11" t="n">
        <x:v>0</x:v>
      </x:c>
      <x:c r="E417" s="9" t="str">
        <x:v>Heterotrophic Benthos (100.0000%)</x:v>
      </x:c>
      <x:c r="F417" s="9" t="str">
        <x:v>High</x:v>
      </x:c>
      <x:c r="G41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8" ht="64" customHeight="1">
      <x:c r="A418" s="2" t="str">
        <x:v>Myctophidae</x:v>
      </x:c>
      <x:c r="B418" s="10" t="str">
        <x:v>?</x:v>
      </x:c>
      <x:c r="C418" s="11" t="n">
        <x:v>0</x:v>
      </x:c>
      <x:c r="D418" s="11" t="n">
        <x:v>0</x:v>
      </x:c>
      <x:c r="E418" s="9" t="str">
        <x:v>Small Benthopelagics (100.0000%)</x:v>
      </x:c>
      <x:c r="F418" s="9" t="str">
        <x:v>High</x:v>
      </x:c>
      <x:c r="G418" s="9" t="str">
        <x:v>The source explicitly lists the generic Myctophids in Small Benthopelagics. The catch family matches that source-defined generic membership; fishery-caught fish are intended, not the separately modelled larvae. Single-group allocation adds no internal composition assumption. See Sources and Allocation evidence.</x:v>
      </x:c>
    </x:row>
    <x:row r="419" ht="80" customHeight="1">
      <x:c r="A419" s="2" t="str">
        <x:v>Nemipterus randalli</x:v>
      </x:c>
      <x:c r="B419" s="10" t="str">
        <x:v>?</x:v>
      </x:c>
      <x:c r="C419" s="11" t="n">
        <x:v>0</x:v>
      </x:c>
      <x:c r="D419" s="11" t="n">
        <x:v>0</x:v>
      </x:c>
      <x:c r="E419" s="9" t="str">
        <x:v>Small Benthic Carnivores (100.0000%)</x:v>
      </x:c>
      <x:c r="F419" s="9" t="str">
        <x:v>Medium</x:v>
      </x:c>
      <x:c r="G419" s="9" t="str">
        <x:v>Taxonomy/catch ecology links Nemipterus randalli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420" ht="80" customHeight="1">
      <x:c r="A420" s="2" t="str">
        <x:v>Parupeneus indicus</x:v>
      </x:c>
      <x:c r="B420" s="10" t="str">
        <x:v>?</x:v>
      </x:c>
      <x:c r="C420" s="11" t="n">
        <x:v>0</x:v>
      </x:c>
      <x:c r="D420" s="11" t="n">
        <x:v>0</x:v>
      </x:c>
      <x:c r="E420" s="9" t="str">
        <x:v>Small Benthic Carnivores (100.0000%)</x:v>
      </x:c>
      <x:c r="F420" s="9" t="str">
        <x:v>Medium</x:v>
      </x:c>
      <x:c r="G420" s="9" t="str">
        <x:v>Taxonomy/catch ecology links Parupeneus indicus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421" ht="80" customHeight="1">
      <x:c r="A421" s="2" t="str">
        <x:v>Penaeus indicus</x:v>
      </x:c>
      <x:c r="B421" s="10" t="str">
        <x:v>?</x:v>
      </x:c>
      <x:c r="C421" s="11" t="n">
        <x:v>0</x:v>
      </x:c>
      <x:c r="D421" s="11" t="n">
        <x:v>0</x:v>
      </x:c>
      <x:c r="E421" s="9" t="str">
        <x:v>Shrimps (100.0000%)</x:v>
      </x:c>
      <x:c r="F421" s="9" t="str">
        <x:v>High</x:v>
      </x:c>
      <x:c r="G421"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22" ht="96" customHeight="1">
      <x:c r="A422" s="2" t="str">
        <x:v>Plectropomus laevis</x:v>
      </x:c>
      <x:c r="B422" s="10" t="str">
        <x:v>?</x:v>
      </x:c>
      <x:c r="C422" s="11" t="n">
        <x:v>0</x:v>
      </x:c>
      <x:c r="D422" s="11" t="n">
        <x:v>0</x:v>
      </x:c>
      <x:c r="E422" s="9" t="str">
        <x:v>Large Benthic Carnivores (100.0000%)</x:v>
      </x:c>
      <x:c r="F422" s="9" t="str">
        <x:v>Medium</x:v>
      </x:c>
      <x:c r="G422" s="9" t="str">
        <x:v>Taxonomy/catch ecology links Plectropomus laevis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23" ht="64" customHeight="1">
      <x:c r="A423" s="2" t="str">
        <x:v>Plotosus lineatus</x:v>
      </x:c>
      <x:c r="B423" s="10" t="str">
        <x:v>?</x:v>
      </x:c>
      <x:c r="C423" s="11" t="n">
        <x:v>0</x:v>
      </x:c>
      <x:c r="D423" s="11" t="n">
        <x:v>0</x:v>
      </x:c>
      <x:c r="E423" s="9" t="str">
        <x:v>Benthic Omnivores (100.0000%)</x:v>
      </x:c>
      <x:c r="F423" s="9" t="str">
        <x:v>High</x:v>
      </x:c>
      <x:c r="G423" s="9" t="str">
        <x:v>Source explicitly lists the genus Plotosus sp. in Benthic Omnivores; the catch label lies within that genus. No numerical source-size cutoff is stated. Single-group allocation adds no internal composition assumption. See Sources and Allocation evidence.</x:v>
      </x:c>
    </x:row>
    <x:row r="424" ht="96" customHeight="1">
      <x:c r="A424" s="2" t="str">
        <x:v>Pomadasys argyreus</x:v>
      </x:c>
      <x:c r="B424" s="10" t="str">
        <x:v>?</x:v>
      </x:c>
      <x:c r="C424" s="11" t="n">
        <x:v>0</x:v>
      </x:c>
      <x:c r="D424" s="11" t="n">
        <x:v>0</x:v>
      </x:c>
      <x:c r="E424" s="9" t="str">
        <x:v>Med Benthic Carnivores (100.0000%)</x:v>
      </x:c>
      <x:c r="F424" s="9" t="str">
        <x:v>Medium</x:v>
      </x:c>
      <x:c r="G424" s="9" t="str">
        <x:v>Analyst ecological analogue: Pomadasys argyreus is a benthic invertebrate-feeding demersal/reef lineage, compared with source sciaenids and flatheads;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25" ht="96" customHeight="1">
      <x:c r="A425" s="2" t="str">
        <x:v>Pomadasys olivaceus</x:v>
      </x:c>
      <x:c r="B425" s="10" t="str">
        <x:v>?</x:v>
      </x:c>
      <x:c r="C425" s="11" t="n">
        <x:v>0</x:v>
      </x:c>
      <x:c r="D425" s="11" t="n">
        <x:v>0</x:v>
      </x:c>
      <x:c r="E425" s="9" t="str">
        <x:v>Med Benthic Carnivores (100.0000%)</x:v>
      </x:c>
      <x:c r="F425" s="9" t="str">
        <x:v>Medium</x:v>
      </x:c>
      <x:c r="G425" s="9" t="str">
        <x:v>Analyst ecological analogue: Pomadasys olivaceus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26" ht="96" customHeight="1">
      <x:c r="A426" s="2" t="str">
        <x:v>Pomatomus saltatrix</x:v>
      </x:c>
      <x:c r="B426" s="10" t="str">
        <x:v>?</x:v>
      </x:c>
      <x:c r="C426" s="11" t="n">
        <x:v>0</x:v>
      </x:c>
      <x:c r="D426" s="11" t="n">
        <x:v>0</x:v>
      </x:c>
      <x:c r="E426" s="9" t="str">
        <x:v>Large Pelagics (100.0000%)</x:v>
      </x:c>
      <x:c r="F426" s="9" t="str">
        <x:v>Medium</x:v>
      </x:c>
      <x:c r="G426" s="9" t="str">
        <x:v>Analyst ecological analogue: Pomatomus saltatrix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427" ht="80" customHeight="1">
      <x:c r="A427" s="2" t="str">
        <x:v>Priacanthidae</x:v>
      </x:c>
      <x:c r="B427" s="10" t="str">
        <x:v>?</x:v>
      </x:c>
      <x:c r="C427" s="11" t="n">
        <x:v>0</x:v>
      </x:c>
      <x:c r="D427" s="11" t="n">
        <x:v>0</x:v>
      </x:c>
      <x:c r="E427" s="9" t="str">
        <x:v>Med Benthic Carnivores (100.0000%)</x:v>
      </x:c>
      <x:c r="F427" s="9" t="str">
        <x:v>Medium</x:v>
      </x:c>
      <x:c r="G427" s="9" t="str">
        <x:v>Taxonomy/catch ecology links Priacanthidae (Priacanthidae)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28" ht="80" customHeight="1">
      <x:c r="A428" s="2" t="str">
        <x:v>Ruvettus pretiosus</x:v>
      </x:c>
      <x:c r="B428" s="10" t="str">
        <x:v>?</x:v>
      </x:c>
      <x:c r="C428" s="11" t="n">
        <x:v>0</x:v>
      </x:c>
      <x:c r="D428" s="11" t="n">
        <x:v>0</x:v>
      </x:c>
      <x:c r="E428" s="9" t="str">
        <x:v>Large Benthopelagics (100.0000%)</x:v>
      </x:c>
      <x:c r="F428" s="9" t="str">
        <x:v>Very low</x:v>
      </x:c>
      <x:c r="G42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29" ht="64" customHeight="1">
      <x:c r="A429" s="2" t="str">
        <x:v>Scomber</x:v>
      </x:c>
      <x:c r="B429" s="10" t="str">
        <x:v>?</x:v>
      </x:c>
      <x:c r="C429" s="11" t="n">
        <x:v>0</x:v>
      </x:c>
      <x:c r="D429" s="11" t="n">
        <x:v>0</x:v>
      </x:c>
      <x:c r="E429" s="9" t="str">
        <x:v>Mackerel (100.0000%)</x:v>
      </x:c>
      <x:c r="F429" s="9" t="str">
        <x:v>Very low</x:v>
      </x:c>
      <x:c r="G429" s="9" t="str">
        <x:v>Closest available mackerel analogue is the dedicated Rastrelliger kanagurta pool. Scomber is not listed and can differ materially in feeding and habitat. Single-group allocation adds no internal composition assumption. See Sources and Allocation evidence.</x:v>
      </x:c>
    </x:row>
    <x:row r="430" ht="80" customHeight="1">
      <x:c r="A430" s="2" t="str">
        <x:v>Spratelloides delicatulus</x:v>
      </x:c>
      <x:c r="B430" s="10" t="str">
        <x:v>?</x:v>
      </x:c>
      <x:c r="C430" s="11" t="n">
        <x:v>0</x:v>
      </x:c>
      <x:c r="D430" s="11" t="n">
        <x:v>0</x:v>
      </x:c>
      <x:c r="E430" s="9" t="str">
        <x:v>Clupeids (100.0000%)</x:v>
      </x:c>
      <x:c r="F430" s="9" t="str">
        <x:v>Medium</x:v>
      </x:c>
      <x:c r="G430" s="9" t="str">
        <x:v>Taxonomy/catch ecology links Spratelloides delicatulus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31" ht="80" customHeight="1">
      <x:c r="A431" s="2" t="str">
        <x:v>Thunnus</x:v>
      </x:c>
      <x:c r="B431" s="10" t="str">
        <x:v>?</x:v>
      </x:c>
      <x:c r="C431" s="11" t="n">
        <x:v>0</x:v>
      </x:c>
      <x:c r="D431" s="11" t="n">
        <x:v>0</x:v>
      </x:c>
      <x:c r="E431" s="9" t="str">
        <x:v>Tunas (100.0000%)</x:v>
      </x:c>
      <x:c r="F431" s="9" t="str">
        <x:v>Medium</x:v>
      </x:c>
      <x:c r="G431" s="9" t="str">
        <x:v>Taxonomy/catch ecology links Thunnus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432" ht="80" customHeight="1">
      <x:c r="A432" s="2" t="str">
        <x:v>Triaenodon obesus</x:v>
      </x:c>
      <x:c r="B432" s="10" t="str">
        <x:v>?</x:v>
      </x:c>
      <x:c r="C432" s="11" t="n">
        <x:v>0</x:v>
      </x:c>
      <x:c r="D432" s="11" t="n">
        <x:v>0</x:v>
      </x:c>
      <x:c r="E432" s="9" t="str">
        <x:v>Sharks (100.0000%)</x:v>
      </x:c>
      <x:c r="F432" s="9" t="str">
        <x:v>High</x:v>
      </x:c>
      <x:c r="G43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33" ht="80" customHeight="1">
      <x:c r="A433" s="2" t="str">
        <x:v>Trichiurus</x:v>
      </x:c>
      <x:c r="B433" s="10" t="n">
        <x:v>4.42</x:v>
      </x:c>
      <x:c r="C433" s="11" t="n">
        <x:v>0</x:v>
      </x:c>
      <x:c r="D433" s="11" t="n">
        <x:v>0</x:v>
      </x:c>
      <x:c r="E433" s="9" t="str">
        <x:v>Large Benthopelagics (100.0000%)</x:v>
      </x:c>
      <x:c r="F433" s="9" t="str">
        <x:v>Medium</x:v>
      </x:c>
      <x:c r="G433" s="9" t="str">
        <x:v>Taxonomy/catch ecology links Trichiurus (Trichiuridae) to source representatives Trichiurus lepturus in Large Benthopelagics. Extend those representatives to this label; the source does not establish complete containment or the provider’s numerical size bins. Single-group allocation adds no internal composition assumption. See Sources and Allocation evidence.</x:v>
      </x:c>
    </x:row>
    <x:row r="434" ht="96" customHeight="1">
      <x:c r="A434" s="2" t="str">
        <x:v>Zeidae</x:v>
      </x:c>
      <x:c r="B434" s="10" t="str">
        <x:v>?</x:v>
      </x:c>
      <x:c r="C434" s="11" t="n">
        <x:v>0</x:v>
      </x:c>
      <x:c r="D434" s="11" t="n">
        <x:v>0</x:v>
      </x:c>
      <x:c r="E434" s="9" t="str">
        <x:v>Med Benthic Carnivores (100.0000%)</x:v>
      </x:c>
      <x:c r="F434" s="9" t="str">
        <x:v>Medium</x:v>
      </x:c>
      <x:c r="G434" s="9" t="str">
        <x:v>Analyst inference: demersal predatory lineage Zeidae,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35" ht="96" customHeight="1">
      <x:c r="A435" s="2" t="str">
        <x:v>Zeus faber</x:v>
      </x:c>
      <x:c r="B435" s="10" t="str">
        <x:v>?</x:v>
      </x:c>
      <x:c r="C435" s="11" t="n">
        <x:v>0</x:v>
      </x:c>
      <x:c r="D435" s="11" t="n">
        <x:v>0</x:v>
      </x:c>
      <x:c r="E435" s="9" t="str">
        <x:v>Med Benthic Carnivores (100.0000%)</x:v>
      </x:c>
      <x:c r="F435" s="9" t="str">
        <x:v>Medium</x:v>
      </x:c>
      <x:c r="G435" s="9" t="str">
        <x:v>Analyst inference: demersal predatory lineage Zeus, SAU Medium benthopelagics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sheetData>
  <x:mergeCells>
    <x:mergeCell ref="A1:G1"/>
    <x:mergeCell ref="A2:G2"/>
    <x:mergeCell ref="A3:G3"/>
    <x:mergeCell ref="A4:G4"/>
  </x:mergeCells>
  <x:conditionalFormatting sqref="F6:F435">
    <x:cfRule type="containsText" dxfId="0" priority="1" operator="containsText" text="Very low"/>
  </x:conditionalFormatting>
  <x:pageMargins left="0.7" right="0.7" top="0.75" bottom="0.75" header="0.3" footer="0.3"/>
  <x:tableParts count="1">
    <x:tablePart xmlns:r="http://schemas.openxmlformats.org/officeDocument/2006/relationships" r:id="Rd6958a59360c4e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2" hidden="0" customWidth="1"/>
    <x:col min="2" max="2" width="22" hidden="0" customWidth="1"/>
    <x:col min="3" max="3" width="28" hidden="0" customWidth="1"/>
    <x:col min="4" max="4" width="20" hidden="0" customWidth="1"/>
    <x:col min="5" max="5" width="20" hidden="0" customWidth="1"/>
  </x:cols>
  <x:sheetData>
    <x:row r="1" ht="27" customHeight="1">
      <x:c r="A1" s="3" t="str">
        <x:v>Mapping confidence and PPR coverage</x:v>
      </x:c>
      <x:c r="B1" s="3"/>
      <x:c r="C1" s="3"/>
      <x:c r="D1" s="3"/>
      <x:c r="E1" s="3"/>
    </x:row>
    <x:row r="2">
      <x:c r="A2" s="2" t="str">
        <x:v>2019 landings; complete independent all-taxon simple-chain PPR universe.</x:v>
      </x:c>
      <x:c r="B2" s="2"/>
      <x:c r="C2" s="2"/>
      <x:c r="D2" s="2"/>
      <x:c r="E2" s="2"/>
    </x:row>
    <x:row r="3">
      <x:c r="A3" s="2" t="str">
        <x:v>Overall confidence is the weaker membership or allocation component.</x:v>
      </x:c>
      <x:c r="B3" s="2"/>
      <x:c r="C3" s="2"/>
      <x:c r="D3" s="2"/>
      <x:c r="E3" s="2"/>
    </x:row>
    <x:row r="4">
      <x:c r="A4" s="2"/>
      <x:c r="B4" s="2"/>
      <x:c r="C4" s="2"/>
      <x:c r="D4" s="2"/>
      <x:c r="E4" s="2"/>
    </x:row>
    <x:row r="5" ht="34" customHeight="1">
      <x:c r="A5" s="6" t="str">
        <x:v>Confidence</x:v>
      </x:c>
      <x:c r="B5" s="6" t="str">
        <x:v>Taxa (n)</x:v>
      </x:c>
      <x:c r="C5" s="6" t="str">
        <x:v>Catch (t)</x:v>
      </x:c>
      <x:c r="D5" s="6" t="str">
        <x:v>Catch (%)</x:v>
      </x:c>
      <x:c r="E5" s="6" t="str">
        <x:v>PPR (%)</x:v>
      </x:c>
    </x:row>
    <x:row r="6">
      <x:c r="A6" s="2" t="str">
        <x:v>High</x:v>
      </x:c>
      <x:c r="B6" s="2" t="n">
        <x:f>COUNTIF('Taxon appendix'!$F$6:$F$435,A6)</x:f>
        <x:v>145</x:v>
      </x:c>
      <x:c r="C6" s="8" t="n">
        <x:f>SUMIF('Taxon appendix'!$F$6:$F$435,A6,'Taxon appendix'!$C$6:$C$435)</x:f>
        <x:v>1789145.6320638505</x:v>
      </x:c>
      <x:c r="D6" s="12" t="n">
        <x:f>100*C6/SUM('Taxon appendix'!$C$6:$C$435)</x:f>
        <x:v>34.250568777587546</x:v>
      </x:c>
      <x:c r="E6" s="12" t="n">
        <x:f>100*SUMIF('Taxon appendix'!$F$6:$F$435,A6,'Taxon appendix'!$D$6:$D$435)/SUM('Taxon appendix'!$D$6:$D$435)</x:f>
        <x:v>27.879050467566913</x:v>
      </x:c>
    </x:row>
    <x:row r="7">
      <x:c r="A7" s="2" t="str">
        <x:v>Medium</x:v>
      </x:c>
      <x:c r="B7" s="2" t="n">
        <x:f>COUNTIF('Taxon appendix'!$F$6:$F$435,A7)</x:f>
        <x:v>207</x:v>
      </x:c>
      <x:c r="C7" s="8" t="n">
        <x:f>SUMIF('Taxon appendix'!$F$6:$F$435,A7,'Taxon appendix'!$C$6:$C$435)</x:f>
        <x:v>2580243.723961291</x:v>
      </x:c>
      <x:c r="D7" s="12" t="n">
        <x:f>100*C7/SUM('Taxon appendix'!$C$6:$C$435)</x:f>
        <x:v>49.39498135125588</x:v>
      </x:c>
      <x:c r="E7" s="12" t="n">
        <x:f>100*SUMIF('Taxon appendix'!$F$6:$F$435,A7,'Taxon appendix'!$D$6:$D$435)/SUM('Taxon appendix'!$D$6:$D$435)</x:f>
        <x:v>64.52104397268963</x:v>
      </x:c>
    </x:row>
    <x:row r="8">
      <x:c r="A8" s="2" t="str">
        <x:v>Low</x:v>
      </x:c>
      <x:c r="B8" s="2" t="n">
        <x:f>COUNTIF('Taxon appendix'!$F$6:$F$435,A8)</x:f>
        <x:v>38</x:v>
      </x:c>
      <x:c r="C8" s="8" t="n">
        <x:f>SUMIF('Taxon appendix'!$F$6:$F$435,A8,'Taxon appendix'!$C$6:$C$435)</x:f>
        <x:v>167328.87029954733</x:v>
      </x:c>
      <x:c r="D8" s="12" t="n">
        <x:f>100*C8/SUM('Taxon appendix'!$C$6:$C$435)</x:f>
        <x:v>3.203265781142483</x:v>
      </x:c>
      <x:c r="E8" s="12" t="n">
        <x:f>100*SUMIF('Taxon appendix'!$F$6:$F$435,A8,'Taxon appendix'!$D$6:$D$435)/SUM('Taxon appendix'!$D$6:$D$435)</x:f>
        <x:v>4.273403098680445</x:v>
      </x:c>
    </x:row>
    <x:row r="9">
      <x:c r="A9" s="2" t="str">
        <x:v>Very low</x:v>
      </x:c>
      <x:c r="B9" s="2" t="n">
        <x:f>COUNTIF('Taxon appendix'!$F$6:$F$435,A9)</x:f>
        <x:v>40</x:v>
      </x:c>
      <x:c r="C9" s="8" t="n">
        <x:f>SUMIF('Taxon appendix'!$F$6:$F$435,A9,'Taxon appendix'!$C$6:$C$435)</x:f>
        <x:v>686977.8929485441</x:v>
      </x:c>
      <x:c r="D9" s="12" t="n">
        <x:f>100*C9/SUM('Taxon appendix'!$C$6:$C$435)</x:f>
        <x:v>13.151184090014073</x:v>
      </x:c>
      <x:c r="E9" s="12" t="n">
        <x:f>100*SUMIF('Taxon appendix'!$F$6:$F$435,A9,'Taxon appendix'!$D$6:$D$435)/SUM('Taxon appendix'!$D$6:$D$435)</x:f>
        <x:v>3.3265024610630345</x:v>
      </x:c>
    </x:row>
    <x:row r="10">
      <x:c r="A10" s="2" t="str">
        <x:v>Unresolved</x:v>
      </x:c>
      <x:c r="B10" s="2" t="n">
        <x:f>COUNTIF('Taxon appendix'!$F$6:$F$435,A10)</x:f>
        <x:v>0</x:v>
      </x:c>
      <x:c r="C10" s="8" t="n">
        <x:f>SUMIF('Taxon appendix'!$F$6:$F$435,A10,'Taxon appendix'!$C$6:$C$435)</x:f>
        <x:v>0</x:v>
      </x:c>
      <x:c r="D10" s="12" t="n">
        <x:f>100*C10/SUM('Taxon appendix'!$C$6:$C$435)</x:f>
        <x:v>0</x:v>
      </x:c>
      <x:c r="E10" s="12" t="n">
        <x:f>100*SUMIF('Taxon appendix'!$F$6:$F$435,A10,'Taxon appendix'!$D$6:$D$435)/SUM('Taxon appendix'!$D$6:$D$435)</x:f>
        <x:v>0</x:v>
      </x:c>
    </x:row>
    <x:row r="11">
      <x:c r="A11" s="2"/>
      <x:c r="B11" s="2"/>
      <x:c r="C11" s="2"/>
      <x:c r="D11" s="2"/>
      <x:c r="E11" s="2"/>
    </x:row>
    <x:row r="12">
      <x:c r="A12" s="2" t="str">
        <x:v>Total landings (t)</x:v>
      </x:c>
      <x:c r="B12" s="8" t="n">
        <x:f>SUM('Taxon appendix'!C6:C435)</x:f>
        <x:v>5223696.119273234</x:v>
      </x:c>
      <x:c r="C12" s="2"/>
      <x:c r="D12" s="2"/>
      <x:c r="E12" s="2"/>
    </x:row>
    <x:row r="13">
      <x:c r="A13" s="2" t="str">
        <x:v>Simple-chain PPR (t C)</x:v>
      </x:c>
      <x:c r="B13" s="8" t="n">
        <x:f>SUM('Taxon appendix'!D6:D435)</x:f>
        <x:v>514724666.4611439</x:v>
      </x:c>
      <x:c r="C13" s="2"/>
      <x:c r="D13" s="2"/>
      <x:c r="E13" s="2"/>
    </x:row>
    <x:row r="14">
      <x:c r="A14" s="2" t="str">
        <x:v>Missing coefficients with zero 2019 catch</x:v>
      </x:c>
      <x:c r="B14" s="2" t="n">
        <x:v>37</x:v>
      </x:c>
      <x:c r="C14" s="2"/>
      <x:c r="D14" s="2"/>
      <x:c r="E14" s="2"/>
    </x:row>
    <x:row r="15">
      <x:c r="A15" s="2"/>
      <x:c r="B15" s="2"/>
      <x:c r="C15" s="2"/>
      <x:c r="D15" s="2"/>
      <x:c r="E15" s="2"/>
    </x:row>
    <x:row r="16">
      <x:c r="A16" s="2" t="str">
        <x:v>Group assignment rules</x:v>
      </x:c>
      <x:c r="B16" s="2"/>
      <x:c r="C16" s="2"/>
      <x:c r="D16" s="2"/>
      <x:c r="E16" s="2"/>
    </x:row>
    <x:row r="17" ht="34" customHeight="1">
      <x:c r="A17" s="6" t="str">
        <x:v>Plain-language rule</x:v>
      </x:c>
      <x:c r="B17" s="6" t="str">
        <x:v>Confidence</x:v>
      </x:c>
      <x:c r="C17" s="6" t="str">
        <x:v>PPR percentage</x:v>
      </x:c>
      <x:c r="D17" s="2"/>
      <x:c r="E17" s="2"/>
    </x:row>
    <x:row r="18" ht="38" customHeight="1">
      <x:c r="A18" s="9" t="str">
        <x:v>Taxonomic extension from named source representatives</x:v>
      </x:c>
      <x:c r="B18" s="9" t="str">
        <x:v>Medium</x:v>
      </x:c>
      <x:c r="C18" s="14" t="n">
        <x:v>51.23856052809781</x:v>
      </x:c>
      <x:c r="D18" s="2"/>
      <x:c r="E18" s="2"/>
    </x:row>
    <x:row r="19" ht="38" customHeight="1">
      <x:c r="A19" s="9" t="str">
        <x:v>Explicit source member or member of a source-listed genus</x:v>
      </x:c>
      <x:c r="B19" s="9" t="str">
        <x:v>High</x:v>
      </x:c>
      <x:c r="C19" s="14" t="n">
        <x:v>20.783708370529236</x:v>
      </x:c>
      <x:c r="D19" s="2"/>
      <x:c r="E19" s="2"/>
    </x:row>
    <x:row r="20" ht="38" customHeight="1">
      <x:c r="A20" s="9" t="str">
        <x:v>Broad label interpreted through its recorded fishery classification</x:v>
      </x:c>
      <x:c r="B20" s="9" t="str">
        <x:v>Medium</x:v>
      </x:c>
      <x:c r="C20" s="14" t="n">
        <x:v>7.469909948563115</x:v>
      </x:c>
      <x:c r="D20" s="2"/>
      <x:c r="E20" s="2"/>
    </x:row>
    <x:row r="21" ht="38" customHeight="1">
      <x:c r="A21" s="9" t="str">
        <x:v>Complete fit to an explicitly defined generic compartment</x:v>
      </x:c>
      <x:c r="B21" s="9" t="str">
        <x:v>High</x:v>
      </x:c>
      <x:c r="C21" s="14" t="n">
        <x:v>7.019078873728986</x:v>
      </x:c>
      <x:c r="D21" s="2"/>
      <x:c r="E21" s="2"/>
    </x:row>
    <x:row r="22" ht="38" customHeight="1">
      <x:c r="A22" s="9" t="str">
        <x:v>Supported habitat and feeding-guild extension</x:v>
      </x:c>
      <x:c r="B22" s="9" t="str">
        <x:v>Medium</x:v>
      </x:c>
      <x:c r="C22" s="14" t="n">
        <x:v>5.812573496028704</x:v>
      </x:c>
      <x:c r="D22" s="2"/>
      <x:c r="E22" s="2"/>
    </x:row>
    <x:row r="23" ht="38" customHeight="1">
      <x:c r="A23" s="9" t="str">
        <x:v>Partial or conflicting habitat and feeding-guild fit</x:v>
      </x:c>
      <x:c r="B23" s="9" t="str">
        <x:v>Low</x:v>
      </x:c>
      <x:c r="C23" s="14" t="n">
        <x:v>4.273403098680444</x:v>
      </x:c>
      <x:c r="D23" s="2"/>
      <x:c r="E23" s="2"/>
    </x:row>
    <x:row r="24" ht="38" customHeight="1">
      <x:c r="A24" s="9" t="str">
        <x:v>Explicit coarse-category approximation to compatible compartments</x:v>
      </x:c>
      <x:c r="B24" s="9" t="str">
        <x:v>Very low</x:v>
      </x:c>
      <x:c r="C24" s="14" t="n">
        <x:v>3.195948746657408</x:v>
      </x:c>
      <x:c r="D24" s="2"/>
      <x:c r="E24" s="2"/>
    </x:row>
    <x:row r="25" ht="38" customHeight="1">
      <x:c r="A25" s="9" t="str">
        <x:v>Closest available ecological analogue with a material mismatch</x:v>
      </x:c>
      <x:c r="B25" s="9" t="str">
        <x:v>Very low</x:v>
      </x:c>
      <x:c r="C25" s="14" t="n">
        <x:v>0.130553714405627</x:v>
      </x:c>
      <x:c r="D25" s="2"/>
      <x:c r="E25" s="2"/>
    </x:row>
    <x:row r="26" ht="38" customHeight="1">
      <x:c r="A26" s="9" t="str">
        <x:v>Accepted-name synonym of an explicit source member</x:v>
      </x:c>
      <x:c r="B26" s="9" t="str">
        <x:v>High</x:v>
      </x:c>
      <x:c r="C26" s="14" t="n">
        <x:v>0.07626322330866722</x:v>
      </x:c>
      <x:c r="D26" s="2"/>
      <x:c r="E26" s="2"/>
    </x:row>
    <x:row r="27">
      <x:c r="A27" s="2"/>
      <x:c r="B27" s="2"/>
      <x:c r="C27" s="12"/>
      <x:c r="D27" s="2"/>
      <x:c r="E27" s="2"/>
    </x:row>
    <x:row r="28">
      <x:c r="A28" s="2"/>
      <x:c r="B28" s="2"/>
      <x:c r="C28" s="12"/>
      <x:c r="D28" s="2"/>
      <x:c r="E28" s="2"/>
    </x:row>
    <x:row r="29">
      <x:c r="A29" s="2" t="str">
        <x:v>Allocation weight rules</x:v>
      </x:c>
      <x:c r="B29" s="2"/>
      <x:c r="C29" s="12"/>
      <x:c r="D29" s="2"/>
      <x:c r="E29" s="2"/>
    </x:row>
    <x:row r="30" ht="34" customHeight="1">
      <x:c r="A30" s="6" t="str">
        <x:v>Plain-language rule</x:v>
      </x:c>
      <x:c r="B30" s="6" t="str">
        <x:v>Confidence</x:v>
      </x:c>
      <x:c r="C30" s="13" t="str">
        <x:v>PPR percentage</x:v>
      </x:c>
      <x:c r="D30" s="2"/>
      <x:c r="E30" s="2"/>
    </x:row>
    <x:row r="31" ht="38" customHeight="1">
      <x:c r="A31" s="9" t="str">
        <x:v>One supported compartment receives the entire taxon</x:v>
      </x:c>
      <x:c r="B31" s="9" t="str">
        <x:v>High</x:v>
      </x:c>
      <x:c r="C31" s="14" t="n">
        <x:v>89.33583318738097</x:v>
      </x:c>
      <x:c r="D31" s="2"/>
      <x:c r="E31" s="2"/>
    </x:row>
    <x:row r="32" ht="38" customHeight="1">
      <x:c r="A32" s="9" t="str">
        <x:v>Identified regional catch composition assumed for the coarse taxon</x:v>
      </x:c>
      <x:c r="B32" s="9" t="str">
        <x:v>Medium</x:v>
      </x:c>
      <x:c r="C32" s="14" t="n">
        <x:v>6.424645933528023</x:v>
      </x:c>
      <x:c r="D32" s="2"/>
      <x:c r="E32" s="2"/>
    </x:row>
    <x:row r="33" ht="38" customHeight="1">
      <x:c r="A33" s="9" t="str">
        <x:v>Source-model landings proportions assumed for the catch category</x:v>
      </x:c>
      <x:c r="B33" s="9" t="str">
        <x:v>Medium</x:v>
      </x:c>
      <x:c r="C33" s="14" t="n">
        <x:v>4.239520879091007</x:v>
      </x:c>
      <x:c r="D33" s="2"/>
      <x:c r="E33" s="2"/>
    </x:row>
    <x:row r="34">
      <x:c r="A34" s="2"/>
      <x:c r="B34" s="2"/>
      <x:c r="C34" s="2"/>
      <x:c r="D34" s="2"/>
      <x:c r="E34" s="2"/>
    </x:row>
    <x:row r="35">
      <x:c r="A35" s="2"/>
      <x:c r="B35" s="2"/>
      <x:c r="C35" s="2"/>
      <x:c r="D35" s="2"/>
      <x:c r="E35" s="2"/>
    </x:row>
    <x:row r="36">
      <x:c r="A36" s="2" t="str">
        <x:v>No unresolved mappings. 40 Very low assumptions cover 13.1512% of landings and 3.3265% of PPR.</x:v>
      </x:c>
      <x:c r="B36" s="2"/>
      <x:c r="C36" s="2"/>
      <x:c r="D36" s="2"/>
      <x:c r="E36" s="2"/>
    </x:row>
    <x:row r="37">
      <x:c r="A37" s="9" t="str">
        <x:v>Classic SPPR is the saved taxon coefficient (TE 0.1); PPR = landings × coefficient ÷9, once. All 37 missing coefficients have zero catch in 2019 and contribute zero PPR. Unknown coefficients were not filled.</x:v>
      </x:c>
      <x:c r="B37" s="9"/>
      <x:c r="C37" s="9"/>
      <x:c r="D37" s="9"/>
      <x:c r="E37" s="9"/>
    </x:row>
    <x:row r="38">
      <x:c r="A38" s="9"/>
      <x:c r="B38" s="9"/>
      <x:c r="C38" s="9"/>
      <x:c r="D38" s="9"/>
      <x:c r="E38" s="9"/>
    </x:row>
    <x:row r="39">
      <x:c r="A39" s="2"/>
      <x:c r="B39" s="2"/>
      <x:c r="C39" s="2"/>
      <x:c r="D39" s="2"/>
      <x:c r="E39" s="2"/>
    </x:row>
    <x:row r="40">
      <x:c r="A40" s="2"/>
      <x:c r="B40" s="2"/>
      <x:c r="C40" s="2"/>
      <x:c r="D40" s="2"/>
      <x:c r="E40" s="2"/>
    </x:row>
    <x:row r="41">
      <x:c r="A41" s="2"/>
      <x:c r="B41" s="2"/>
      <x:c r="C41" s="2"/>
      <x:c r="D41" s="2"/>
      <x:c r="E41" s="2"/>
    </x:row>
    <x:row r="42">
      <x:c r="A42" s="2"/>
      <x:c r="B42" s="2"/>
      <x:c r="C42" s="2"/>
      <x:c r="D42" s="2"/>
      <x:c r="E42" s="2"/>
    </x:row>
    <x:row r="43">
      <x:c r="A43" s="2"/>
      <x:c r="B43" s="2"/>
      <x:c r="C43" s="2"/>
      <x:c r="D43" s="2"/>
      <x:c r="E43" s="2"/>
    </x:row>
    <x:row r="44">
      <x:c r="A44" s="2"/>
      <x:c r="B44" s="2"/>
      <x:c r="C44" s="2"/>
      <x:c r="D44" s="2"/>
      <x:c r="E44" s="2"/>
    </x:row>
  </x:sheetData>
  <x:mergeCells>
    <x:mergeCell ref="A1:E1"/>
    <x:mergeCell ref="A2:E2"/>
    <x:mergeCell ref="A3:E3"/>
    <x:mergeCell ref="A36:E36"/>
    <x:mergeCell ref="A37:E3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2" hidden="0" customWidth="1"/>
    <x:col min="3" max="3" width="32" hidden="0" customWidth="1"/>
    <x:col min="4" max="4" width="23" hidden="0" customWidth="1"/>
    <x:col min="5" max="5" width="32" hidden="0" customWidth="1"/>
    <x:col min="6" max="6" width="18" hidden="0" customWidth="1"/>
    <x:col min="7" max="7" width="23" hidden="0" customWidth="1"/>
    <x:col min="8" max="8" width="17" hidden="0" customWidth="1"/>
    <x:col min="9" max="9" width="17" hidden="0" customWidth="1"/>
    <x:col min="10" max="10" width="110" hidden="0" customWidth="1"/>
  </x:cols>
  <x:sheetData>
    <x:row r="1" ht="27" customHeight="1">
      <x:c r="A1" s="3" t="str">
        <x:v>Allocation evidence</x:v>
      </x:c>
      <x:c r="B1" s="3"/>
      <x:c r="C1" s="3"/>
      <x:c r="D1" s="3"/>
      <x:c r="E1" s="3"/>
      <x:c r="F1" s="3"/>
      <x:c r="G1" s="3"/>
      <x:c r="H1" s="3"/>
      <x:c r="I1" s="3"/>
      <x:c r="J1" s="3"/>
    </x:row>
    <x:row r="2">
      <x:c r="A2" s="2" t="str">
        <x:v>Source-model landings 1999–2001 or identified Arabian Sea total catch 1950–2019; candidate zeros retained.</x:v>
      </x:c>
      <x:c r="B2" s="2"/>
      <x:c r="C2" s="2"/>
      <x:c r="D2" s="2"/>
      <x:c r="E2" s="2"/>
      <x:c r="F2" s="2"/>
      <x:c r="G2" s="2"/>
      <x:c r="H2" s="2"/>
      <x:c r="I2" s="2"/>
      <x:c r="J2" s="2"/>
    </x:row>
    <x:row r="3">
      <x:c r="A3" s="2" t="str">
        <x:v>Medium allocation confidence: source composition is assumed for the taxon and transferred across years/bases.</x:v>
      </x:c>
      <x:c r="B3" s="2"/>
      <x:c r="C3" s="2"/>
      <x:c r="D3" s="2"/>
      <x:c r="E3" s="2"/>
      <x:c r="F3" s="2"/>
      <x:c r="G3" s="2"/>
      <x:c r="H3" s="2"/>
      <x:c r="I3" s="2"/>
      <x:c r="J3" s="2"/>
    </x:row>
    <x:row r="4" ht="34" customHeight="1">
      <x:c r="A4" s="6" t="str">
        <x:v>Taxon</x:v>
      </x:c>
      <x:c r="B4" s="6" t="str">
        <x:v>Group ID</x:v>
      </x:c>
      <x:c r="C4" s="6" t="str">
        <x:v>Group name</x:v>
      </x:c>
      <x:c r="D4" s="6" t="str">
        <x:v>Source quantity</x:v>
      </x:c>
      <x:c r="E4" s="6" t="str">
        <x:v>Field and period</x:v>
      </x:c>
      <x:c r="F4" s="6" t="str">
        <x:v>Units</x:v>
      </x:c>
      <x:c r="G4" s="6" t="str">
        <x:v>Candidate total</x:v>
      </x:c>
      <x:c r="H4" s="6" t="str">
        <x:v>Weight</x:v>
      </x:c>
      <x:c r="I4" s="6" t="str">
        <x:v>Confidence</x:v>
      </x:c>
      <x:c r="J4" s="6" t="str">
        <x:v>Eligibility and assumption</x:v>
      </x:c>
    </x:row>
    <x:row r="5" ht="80" customHeight="1">
      <x:c r="A5" s="9" t="str">
        <x:v>Marine fishes not identified</x:v>
      </x:c>
      <x:c r="B5" s="9" t="n">
        <x:v>4</x:v>
      </x:c>
      <x:c r="C5" s="9" t="str">
        <x:v>Large Pelagics</x:v>
      </x:c>
      <x:c r="D5" s="15" t="n">
        <x:v>0.185</x:v>
      </x:c>
      <x:c r="E5" s="9" t="str">
        <x:v>catch</x:v>
      </x:c>
      <x:c r="F5" s="9" t="str">
        <x:v>t km−2 yr−1</x:v>
      </x:c>
      <x:c r="G5" s="15" t="n">
        <x:v>5.885</x:v>
      </x:c>
      <x:c r="H5" s="16" t="n">
        <x:f>D5/SUMIF($A$5:$A$84,A5,$D$5:$D$84)</x:f>
        <x:v>0.03143585386576041</x:v>
      </x:c>
      <x:c r="I5" s="9" t="str">
        <x:v>Medium</x:v>
      </x:c>
      <x:c r="J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6" ht="80" customHeight="1">
      <x:c r="A6" s="9" t="str">
        <x:v>Marine fishes not identified</x:v>
      </x:c>
      <x:c r="B6" s="9" t="n">
        <x:v>5</x:v>
      </x:c>
      <x:c r="C6" s="9" t="str">
        <x:v>Tunas</x:v>
      </x:c>
      <x:c r="D6" s="15" t="n">
        <x:v>0.113</x:v>
      </x:c>
      <x:c r="E6" s="9" t="str">
        <x:v>catch</x:v>
      </x:c>
      <x:c r="F6" s="9" t="str">
        <x:v>t km−2 yr−1</x:v>
      </x:c>
      <x:c r="G6" s="15" t="n">
        <x:v>5.885</x:v>
      </x:c>
      <x:c r="H6" s="16" t="n">
        <x:f>D6/SUMIF($A$5:$A$84,A6,$D$5:$D$84)</x:f>
        <x:v>0.019201359388275278</x:v>
      </x:c>
      <x:c r="I6" s="9" t="str">
        <x:v>Medium</x:v>
      </x:c>
      <x:c r="J6"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7" ht="80" customHeight="1">
      <x:c r="A7" s="9" t="str">
        <x:v>Marine fishes not identified</x:v>
      </x:c>
      <x:c r="B7" s="9" t="n">
        <x:v>7</x:v>
      </x:c>
      <x:c r="C7" s="9" t="str">
        <x:v>Large Benthopelagics</x:v>
      </x:c>
      <x:c r="D7" s="15" t="n">
        <x:v>0.351</x:v>
      </x:c>
      <x:c r="E7" s="9" t="str">
        <x:v>catch</x:v>
      </x:c>
      <x:c r="F7" s="9" t="str">
        <x:v>t km−2 yr−1</x:v>
      </x:c>
      <x:c r="G7" s="15" t="n">
        <x:v>5.885</x:v>
      </x:c>
      <x:c r="H7" s="16" t="n">
        <x:f>D7/SUMIF($A$5:$A$84,A7,$D$5:$D$84)</x:f>
        <x:v>0.059643160577740016</x:v>
      </x:c>
      <x:c r="I7" s="9" t="str">
        <x:v>Medium</x:v>
      </x:c>
      <x:c r="J7"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8" ht="80" customHeight="1">
      <x:c r="A8" s="9" t="str">
        <x:v>Marine fishes not identified</x:v>
      </x:c>
      <x:c r="B8" s="9" t="n">
        <x:v>8</x:v>
      </x:c>
      <x:c r="C8" s="9" t="str">
        <x:v>Large Benthic Carnivores</x:v>
      </x:c>
      <x:c r="D8" s="15" t="n">
        <x:v>0.281</x:v>
      </x:c>
      <x:c r="E8" s="9" t="str">
        <x:v>catch</x:v>
      </x:c>
      <x:c r="F8" s="9" t="str">
        <x:v>t km−2 yr−1</x:v>
      </x:c>
      <x:c r="G8" s="15" t="n">
        <x:v>5.885</x:v>
      </x:c>
      <x:c r="H8" s="16" t="n">
        <x:f>D8/SUMIF($A$5:$A$84,A8,$D$5:$D$84)</x:f>
        <x:v>0.04774851316907392</x:v>
      </x:c>
      <x:c r="I8" s="9" t="str">
        <x:v>Medium</x:v>
      </x:c>
      <x:c r="J8"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9" ht="80" customHeight="1">
      <x:c r="A9" s="9" t="str">
        <x:v>Marine fishes not identified</x:v>
      </x:c>
      <x:c r="B9" s="9" t="n">
        <x:v>9</x:v>
      </x:c>
      <x:c r="C9" s="9" t="str">
        <x:v>Med Benthic Carnivores</x:v>
      </x:c>
      <x:c r="D9" s="15" t="n">
        <x:v>0.33</x:v>
      </x:c>
      <x:c r="E9" s="9" t="str">
        <x:v>catch</x:v>
      </x:c>
      <x:c r="F9" s="9" t="str">
        <x:v>t km−2 yr−1</x:v>
      </x:c>
      <x:c r="G9" s="15" t="n">
        <x:v>5.885</x:v>
      </x:c>
      <x:c r="H9" s="16" t="n">
        <x:f>D9/SUMIF($A$5:$A$84,A9,$D$5:$D$84)</x:f>
        <x:v>0.05607476635514019</x:v>
      </x:c>
      <x:c r="I9" s="9" t="str">
        <x:v>Medium</x:v>
      </x:c>
      <x:c r="J9"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0" ht="80" customHeight="1">
      <x:c r="A10" s="9" t="str">
        <x:v>Marine fishes not identified</x:v>
      </x:c>
      <x:c r="B10" s="9" t="n">
        <x:v>10</x:v>
      </x:c>
      <x:c r="C10" s="9" t="str">
        <x:v>Small Benthic Carnivores</x:v>
      </x:c>
      <x:c r="D10" s="15" t="n">
        <x:v>0.816</x:v>
      </x:c>
      <x:c r="E10" s="9" t="str">
        <x:v>catch</x:v>
      </x:c>
      <x:c r="F10" s="9" t="str">
        <x:v>t km−2 yr−1</x:v>
      </x:c>
      <x:c r="G10" s="15" t="n">
        <x:v>5.885</x:v>
      </x:c>
      <x:c r="H10" s="16" t="n">
        <x:f>D10/SUMIF($A$5:$A$84,A10,$D$5:$D$84)</x:f>
        <x:v>0.13865760407816483</x:v>
      </x:c>
      <x:c r="I10" s="9" t="str">
        <x:v>Medium</x:v>
      </x:c>
      <x:c r="J10"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1" ht="80" customHeight="1">
      <x:c r="A11" s="9" t="str">
        <x:v>Marine fishes not identified</x:v>
      </x:c>
      <x:c r="B11" s="9" t="n">
        <x:v>11</x:v>
      </x:c>
      <x:c r="C11" s="9" t="str">
        <x:v>Small Benthopelagics</x:v>
      </x:c>
      <x:c r="D11" s="15" t="n">
        <x:v>0.38</x:v>
      </x:c>
      <x:c r="E11" s="9" t="str">
        <x:v>catch</x:v>
      </x:c>
      <x:c r="F11" s="9" t="str">
        <x:v>t km−2 yr−1</x:v>
      </x:c>
      <x:c r="G11" s="15" t="n">
        <x:v>5.885</x:v>
      </x:c>
      <x:c r="H11" s="16" t="n">
        <x:f>D11/SUMIF($A$5:$A$84,A11,$D$5:$D$84)</x:f>
        <x:v>0.06457094307561598</x:v>
      </x:c>
      <x:c r="I11" s="9" t="str">
        <x:v>Medium</x:v>
      </x:c>
      <x:c r="J11"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2" ht="80" customHeight="1">
      <x:c r="A12" s="9" t="str">
        <x:v>Marine fishes not identified</x:v>
      </x:c>
      <x:c r="B12" s="9" t="n">
        <x:v>12</x:v>
      </x:c>
      <x:c r="C12" s="9" t="str">
        <x:v>Mackerel</x:v>
      </x:c>
      <x:c r="D12" s="15" t="n">
        <x:v>0.945</x:v>
      </x:c>
      <x:c r="E12" s="9" t="str">
        <x:v>catch</x:v>
      </x:c>
      <x:c r="F12" s="9" t="str">
        <x:v>t km−2 yr−1</x:v>
      </x:c>
      <x:c r="G12" s="15" t="n">
        <x:v>5.885</x:v>
      </x:c>
      <x:c r="H12" s="16" t="n">
        <x:f>D12/SUMIF($A$5:$A$84,A12,$D$5:$D$84)</x:f>
        <x:v>0.16057774001699235</x:v>
      </x:c>
      <x:c r="I12" s="9" t="str">
        <x:v>Medium</x:v>
      </x:c>
      <x:c r="J12"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3" ht="80" customHeight="1">
      <x:c r="A13" s="9" t="str">
        <x:v>Marine fishes not identified</x:v>
      </x:c>
      <x:c r="B13" s="9" t="n">
        <x:v>13</x:v>
      </x:c>
      <x:c r="C13" s="9" t="str">
        <x:v>Clupeids</x:v>
      </x:c>
      <x:c r="D13" s="15" t="n">
        <x:v>1.439</x:v>
      </x:c>
      <x:c r="E13" s="9" t="str">
        <x:v>catch</x:v>
      </x:c>
      <x:c r="F13" s="9" t="str">
        <x:v>t km−2 yr−1</x:v>
      </x:c>
      <x:c r="G13" s="15" t="n">
        <x:v>5.885</x:v>
      </x:c>
      <x:c r="H13" s="16" t="n">
        <x:f>D13/SUMIF($A$5:$A$84,A13,$D$5:$D$84)</x:f>
        <x:v>0.24451996601529313</x:v>
      </x:c>
      <x:c r="I13" s="9" t="str">
        <x:v>Medium</x:v>
      </x:c>
      <x:c r="J13"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4" ht="80" customHeight="1">
      <x:c r="A14" s="9" t="str">
        <x:v>Marine fishes not identified</x:v>
      </x:c>
      <x:c r="B14" s="9" t="n">
        <x:v>14</x:v>
      </x:c>
      <x:c r="C14" s="9" t="str">
        <x:v>Anchovies</x:v>
      </x:c>
      <x:c r="D14" s="15" t="n">
        <x:v>0.201</x:v>
      </x:c>
      <x:c r="E14" s="9" t="str">
        <x:v>catch</x:v>
      </x:c>
      <x:c r="F14" s="9" t="str">
        <x:v>t km−2 yr−1</x:v>
      </x:c>
      <x:c r="G14" s="15" t="n">
        <x:v>5.885</x:v>
      </x:c>
      <x:c r="H14" s="16" t="n">
        <x:f>D14/SUMIF($A$5:$A$84,A14,$D$5:$D$84)</x:f>
        <x:v>0.03415463041631266</x:v>
      </x:c>
      <x:c r="I14" s="9" t="str">
        <x:v>Medium</x:v>
      </x:c>
      <x:c r="J14"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5" ht="80" customHeight="1">
      <x:c r="A15" s="9" t="str">
        <x:v>Marine fishes not identified</x:v>
      </x:c>
      <x:c r="B15" s="9" t="n">
        <x:v>17</x:v>
      </x:c>
      <x:c r="C15" s="9" t="str">
        <x:v>Benthic Omnivores</x:v>
      </x:c>
      <x:c r="D15" s="15" t="n">
        <x:v>0.844</x:v>
      </x:c>
      <x:c r="E15" s="9" t="str">
        <x:v>catch</x:v>
      </x:c>
      <x:c r="F15" s="9" t="str">
        <x:v>t km−2 yr−1</x:v>
      </x:c>
      <x:c r="G15" s="15" t="n">
        <x:v>5.885</x:v>
      </x:c>
      <x:c r="H15" s="16" t="n">
        <x:f>D15/SUMIF($A$5:$A$84,A15,$D$5:$D$84)</x:f>
        <x:v>0.14341546304163127</x:v>
      </x:c>
      <x:c r="I15" s="9" t="str">
        <x:v>Medium</x:v>
      </x:c>
      <x:c r="J1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6" ht="80" customHeight="1">
      <x:c r="A16" s="9" t="str">
        <x:v>Decapoda</x:v>
      </x:c>
      <x:c r="B16" s="9" t="n">
        <x:v>15</x:v>
      </x:c>
      <x:c r="C16" s="9" t="str">
        <x:v>Crabs &amp; Lobster</x:v>
      </x:c>
      <x:c r="D16" s="15" t="n">
        <x:v>0.061</x:v>
      </x:c>
      <x:c r="E16" s="9" t="str">
        <x:v>catch</x:v>
      </x:c>
      <x:c r="F16" s="9" t="str">
        <x:v>t km−2 yr−1</x:v>
      </x:c>
      <x:c r="G16" s="15" t="n">
        <x:v>0.367</x:v>
      </x:c>
      <x:c r="H16" s="16" t="n">
        <x:f>D16/SUMIF($A$5:$A$84,A16,$D$5:$D$84)</x:f>
        <x:v>0.16621253405994552</x:v>
      </x:c>
      <x:c r="I16" s="9" t="str">
        <x:v>Medium</x:v>
      </x:c>
      <x:c r="J16"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7" ht="80" customHeight="1">
      <x:c r="A17" s="9" t="str">
        <x:v>Decapoda</x:v>
      </x:c>
      <x:c r="B17" s="9" t="n">
        <x:v>16</x:v>
      </x:c>
      <x:c r="C17" s="9" t="str">
        <x:v>Shrimps</x:v>
      </x:c>
      <x:c r="D17" s="15" t="n">
        <x:v>0.306</x:v>
      </x:c>
      <x:c r="E17" s="9" t="str">
        <x:v>catch</x:v>
      </x:c>
      <x:c r="F17" s="9" t="str">
        <x:v>t km−2 yr−1</x:v>
      </x:c>
      <x:c r="G17" s="15" t="n">
        <x:v>0.367</x:v>
      </x:c>
      <x:c r="H17" s="16" t="n">
        <x:f>D17/SUMIF($A$5:$A$84,A17,$D$5:$D$84)</x:f>
        <x:v>0.8337874659400545</x:v>
      </x:c>
      <x:c r="I17" s="9" t="str">
        <x:v>Medium</x:v>
      </x:c>
      <x:c r="J1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8" ht="80" customHeight="1">
      <x:c r="A18" s="9" t="str">
        <x:v>Decapoda</x:v>
      </x:c>
      <x:c r="B18" s="9" t="n">
        <x:v>18</x:v>
      </x:c>
      <x:c r="C18" s="9" t="str">
        <x:v>Heterotrophic Benthos</x:v>
      </x:c>
      <x:c r="D18" s="15" t="n">
        <x:v>0</x:v>
      </x:c>
      <x:c r="E18" s="9" t="str">
        <x:v>catch</x:v>
      </x:c>
      <x:c r="F18" s="9" t="str">
        <x:v>t km−2 yr−1</x:v>
      </x:c>
      <x:c r="G18" s="15" t="n">
        <x:v>0.367</x:v>
      </x:c>
      <x:c r="H18" s="16" t="n">
        <x:f>D18/SUMIF($A$5:$A$84,A18,$D$5:$D$84)</x:f>
        <x:v>0</x:v>
      </x:c>
      <x:c r="I18" s="9" t="str">
        <x:v>Medium</x:v>
      </x:c>
      <x:c r="J1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9" ht="80" customHeight="1">
      <x:c r="A19" s="9" t="str">
        <x:v>Clupeiformes</x:v>
      </x:c>
      <x:c r="B19" s="9" t="n">
        <x:v>7</x:v>
      </x:c>
      <x:c r="C19" s="9" t="str">
        <x:v>Large Benthopelagics</x:v>
      </x:c>
      <x:c r="D19" s="15" t="n">
        <x:v>1040001.3919123132</x:v>
      </x:c>
      <x:c r="E19" s="9" t="str">
        <x:v>identified lineage total catch 1950–2019</x:v>
      </x:c>
      <x:c r="F19" s="9" t="str">
        <x:v>t</x:v>
      </x:c>
      <x:c r="G19" s="15" t="n">
        <x:v>33854685.445260175</x:v>
      </x:c>
      <x:c r="H19" s="16" t="n">
        <x:f>D19/SUMIF($A$5:$A$84,A19,$D$5:$D$84)</x:f>
        <x:v>0.030719570370662492</x:v>
      </x:c>
      <x:c r="I19" s="9" t="str">
        <x:v>Medium</x:v>
      </x:c>
      <x:c r="J1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0" ht="80" customHeight="1">
      <x:c r="A20" s="9" t="str">
        <x:v>Clupeiformes</x:v>
      </x:c>
      <x:c r="B20" s="9" t="n">
        <x:v>13</x:v>
      </x:c>
      <x:c r="C20" s="9" t="str">
        <x:v>Clupeids</x:v>
      </x:c>
      <x:c r="D20" s="15" t="n">
        <x:v>31158287.65452809</x:v>
      </x:c>
      <x:c r="E20" s="9" t="str">
        <x:v>identified lineage total catch 1950–2019</x:v>
      </x:c>
      <x:c r="F20" s="9" t="str">
        <x:v>t</x:v>
      </x:c>
      <x:c r="G20" s="15" t="n">
        <x:v>33854685.445260175</x:v>
      </x:c>
      <x:c r="H20" s="16" t="n">
        <x:f>D20/SUMIF($A$5:$A$84,A20,$D$5:$D$84)</x:f>
        <x:v>0.9203537780585229</x:v>
      </x:c>
      <x:c r="I20" s="9" t="str">
        <x:v>Medium</x:v>
      </x:c>
      <x:c r="J2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1" ht="80" customHeight="1">
      <x:c r="A21" s="9" t="str">
        <x:v>Clupeiformes</x:v>
      </x:c>
      <x:c r="B21" s="9" t="n">
        <x:v>14</x:v>
      </x:c>
      <x:c r="C21" s="9" t="str">
        <x:v>Anchovies</x:v>
      </x:c>
      <x:c r="D21" s="15" t="n">
        <x:v>1656396.3988197723</x:v>
      </x:c>
      <x:c r="E21" s="9" t="str">
        <x:v>identified lineage total catch 1950–2019</x:v>
      </x:c>
      <x:c r="F21" s="9" t="str">
        <x:v>t</x:v>
      </x:c>
      <x:c r="G21" s="15" t="n">
        <x:v>33854685.445260175</x:v>
      </x:c>
      <x:c r="H21" s="16" t="n">
        <x:f>D21/SUMIF($A$5:$A$84,A21,$D$5:$D$84)</x:f>
        <x:v>0.048926651570814585</x:v>
      </x:c>
      <x:c r="I21" s="9" t="str">
        <x:v>Medium</x:v>
      </x:c>
      <x:c r="J2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2" ht="80" customHeight="1">
      <x:c r="A22" s="9" t="str">
        <x:v>Carangidae</x:v>
      </x:c>
      <x:c r="B22" s="9" t="n">
        <x:v>7</x:v>
      </x:c>
      <x:c r="C22" s="9" t="str">
        <x:v>Large Benthopelagics</x:v>
      </x:c>
      <x:c r="D22" s="15" t="n">
        <x:v>3553372.109521492</x:v>
      </x:c>
      <x:c r="E22" s="9" t="str">
        <x:v>identified lineage total catch 1950–2019</x:v>
      </x:c>
      <x:c r="F22" s="9" t="str">
        <x:v>t</x:v>
      </x:c>
      <x:c r="G22" s="15" t="n">
        <x:v>6956329.950594361</x:v>
      </x:c>
      <x:c r="H22" s="16" t="n">
        <x:f>D22/SUMIF($A$5:$A$84,A22,$D$5:$D$84)</x:f>
        <x:v>0.5108113236086345</x:v>
      </x:c>
      <x:c r="I22" s="9" t="str">
        <x:v>Medium</x:v>
      </x:c>
      <x:c r="J2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3" ht="80" customHeight="1">
      <x:c r="A23" s="9" t="str">
        <x:v>Carangidae</x:v>
      </x:c>
      <x:c r="B23" s="9" t="n">
        <x:v>9</x:v>
      </x:c>
      <x:c r="C23" s="9" t="str">
        <x:v>Med Benthic Carnivores</x:v>
      </x:c>
      <x:c r="D23" s="15" t="n">
        <x:v>882694.110980749</x:v>
      </x:c>
      <x:c r="E23" s="9" t="str">
        <x:v>identified lineage total catch 1950–2019</x:v>
      </x:c>
      <x:c r="F23" s="9" t="str">
        <x:v>t</x:v>
      </x:c>
      <x:c r="G23" s="15" t="n">
        <x:v>6956329.950594361</x:v>
      </x:c>
      <x:c r="H23" s="16" t="n">
        <x:f>D23/SUMIF($A$5:$A$84,A23,$D$5:$D$84)</x:f>
        <x:v>0.1268907767817037</x:v>
      </x:c>
      <x:c r="I23" s="9" t="str">
        <x:v>Medium</x:v>
      </x:c>
      <x:c r="J23"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4" ht="80" customHeight="1">
      <x:c r="A24" s="9" t="str">
        <x:v>Carangidae</x:v>
      </x:c>
      <x:c r="B24" s="9" t="n">
        <x:v>11</x:v>
      </x:c>
      <x:c r="C24" s="9" t="str">
        <x:v>Small Benthopelagics</x:v>
      </x:c>
      <x:c r="D24" s="15" t="n">
        <x:v>2520263.73009212</x:v>
      </x:c>
      <x:c r="E24" s="9" t="str">
        <x:v>identified lineage total catch 1950–2019</x:v>
      </x:c>
      <x:c r="F24" s="9" t="str">
        <x:v>t</x:v>
      </x:c>
      <x:c r="G24" s="15" t="n">
        <x:v>6956329.950594361</x:v>
      </x:c>
      <x:c r="H24" s="16" t="n">
        <x:f>D24/SUMIF($A$5:$A$84,A24,$D$5:$D$84)</x:f>
        <x:v>0.3622978996096619</x:v>
      </x:c>
      <x:c r="I24" s="9" t="str">
        <x:v>Medium</x:v>
      </x:c>
      <x:c r="J24"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5" ht="80" customHeight="1">
      <x:c r="A25" s="9" t="str">
        <x:v>Elasmobranchii</x:v>
      </x:c>
      <x:c r="B25" s="9" t="n">
        <x:v>2</x:v>
      </x:c>
      <x:c r="C25" s="9" t="str">
        <x:v>Sharks</x:v>
      </x:c>
      <x:c r="D25" s="15" t="n">
        <x:v>5683736.443976029</x:v>
      </x:c>
      <x:c r="E25" s="9" t="str">
        <x:v>identified lineage total catch 1950–2019</x:v>
      </x:c>
      <x:c r="F25" s="9" t="str">
        <x:v>t</x:v>
      </x:c>
      <x:c r="G25" s="15" t="n">
        <x:v>7940213.061068587</x:v>
      </x:c>
      <x:c r="H25" s="16" t="n">
        <x:f>D25/SUMIF($A$5:$A$84,A25,$D$5:$D$84)</x:f>
        <x:v>0.7158166160356302</x:v>
      </x:c>
      <x:c r="I25" s="9" t="str">
        <x:v>Medium</x:v>
      </x:c>
      <x:c r="J25"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6" ht="80" customHeight="1">
      <x:c r="A26" s="9" t="str">
        <x:v>Elasmobranchii</x:v>
      </x:c>
      <x:c r="B26" s="9" t="n">
        <x:v>3</x:v>
      </x:c>
      <x:c r="C26" s="9" t="str">
        <x:v>Skates &amp; Rays</x:v>
      </x:c>
      <x:c r="D26" s="15" t="n">
        <x:v>2256476.6170925586</x:v>
      </x:c>
      <x:c r="E26" s="9" t="str">
        <x:v>identified lineage total catch 1950–2019</x:v>
      </x:c>
      <x:c r="F26" s="9" t="str">
        <x:v>t</x:v>
      </x:c>
      <x:c r="G26" s="15" t="n">
        <x:v>7940213.061068587</x:v>
      </x:c>
      <x:c r="H26" s="16" t="n">
        <x:f>D26/SUMIF($A$5:$A$84,A26,$D$5:$D$84)</x:f>
        <x:v>0.2841833839643698</x:v>
      </x:c>
      <x:c r="I26" s="9" t="str">
        <x:v>Medium</x:v>
      </x:c>
      <x:c r="J26"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7" ht="80" customHeight="1">
      <x:c r="A27" s="9" t="str">
        <x:v>Siluriformes</x:v>
      </x:c>
      <x:c r="B27" s="9" t="n">
        <x:v>7</x:v>
      </x:c>
      <x:c r="C27" s="9" t="str">
        <x:v>Large Benthopelagics</x:v>
      </x:c>
      <x:c r="D27" s="15" t="n">
        <x:v>5051920.688762083</x:v>
      </x:c>
      <x:c r="E27" s="9" t="str">
        <x:v>identified lineage total catch 1950–2019</x:v>
      </x:c>
      <x:c r="F27" s="9" t="str">
        <x:v>t</x:v>
      </x:c>
      <x:c r="G27" s="15" t="n">
        <x:v>5052427.660911109</x:v>
      </x:c>
      <x:c r="H27" s="16" t="n">
        <x:f>D27/SUMIF($A$5:$A$84,A27,$D$5:$D$84)</x:f>
        <x:v>0.9998996577124797</x:v>
      </x:c>
      <x:c r="I27" s="9" t="str">
        <x:v>Medium</x:v>
      </x:c>
      <x:c r="J27"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8" ht="80" customHeight="1">
      <x:c r="A28" s="9" t="str">
        <x:v>Siluriformes</x:v>
      </x:c>
      <x:c r="B28" s="9" t="n">
        <x:v>17</x:v>
      </x:c>
      <x:c r="C28" s="9" t="str">
        <x:v>Benthic Omnivores</x:v>
      </x:c>
      <x:c r="D28" s="15" t="n">
        <x:v>506.9721490262</x:v>
      </x:c>
      <x:c r="E28" s="9" t="str">
        <x:v>identified lineage total catch 1950–2019</x:v>
      </x:c>
      <x:c r="F28" s="9" t="str">
        <x:v>t</x:v>
      </x:c>
      <x:c r="G28" s="15" t="n">
        <x:v>5052427.660911109</x:v>
      </x:c>
      <x:c r="H28" s="16" t="n">
        <x:f>D28/SUMIF($A$5:$A$84,A28,$D$5:$D$84)</x:f>
        <x:v>0.00010034228752020908</x:v>
      </x:c>
      <x:c r="I28" s="9" t="str">
        <x:v>Medium</x:v>
      </x:c>
      <x:c r="J28"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9" ht="80" customHeight="1">
      <x:c r="A29" s="9" t="str">
        <x:v>Engraulidae</x:v>
      </x:c>
      <x:c r="B29" s="9" t="n">
        <x:v>13</x:v>
      </x:c>
      <x:c r="C29" s="9" t="str">
        <x:v>Clupeids</x:v>
      </x:c>
      <x:c r="D29" s="15" t="n">
        <x:v>1904629.8702297446</x:v>
      </x:c>
      <x:c r="E29" s="9" t="str">
        <x:v>identified lineage total catch 1950–2019</x:v>
      </x:c>
      <x:c r="F29" s="9" t="str">
        <x:v>t</x:v>
      </x:c>
      <x:c r="G29" s="15" t="n">
        <x:v>3561026.269049517</x:v>
      </x:c>
      <x:c r="H29" s="16" t="n">
        <x:f>D29/SUMIF($A$5:$A$84,A29,$D$5:$D$84)</x:f>
        <x:v>0.5348542039085026</x:v>
      </x:c>
      <x:c r="I29" s="9" t="str">
        <x:v>Medium</x:v>
      </x:c>
      <x:c r="J2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0" ht="80" customHeight="1">
      <x:c r="A30" s="9" t="str">
        <x:v>Engraulidae</x:v>
      </x:c>
      <x:c r="B30" s="9" t="n">
        <x:v>14</x:v>
      </x:c>
      <x:c r="C30" s="9" t="str">
        <x:v>Anchovies</x:v>
      </x:c>
      <x:c r="D30" s="15" t="n">
        <x:v>1656396.3988197723</x:v>
      </x:c>
      <x:c r="E30" s="9" t="str">
        <x:v>identified lineage total catch 1950–2019</x:v>
      </x:c>
      <x:c r="F30" s="9" t="str">
        <x:v>t</x:v>
      </x:c>
      <x:c r="G30" s="15" t="n">
        <x:v>3561026.269049517</x:v>
      </x:c>
      <x:c r="H30" s="16" t="n">
        <x:f>D30/SUMIF($A$5:$A$84,A30,$D$5:$D$84)</x:f>
        <x:v>0.46514579609149737</x:v>
      </x:c>
      <x:c r="I30" s="9" t="str">
        <x:v>Medium</x:v>
      </x:c>
      <x:c r="J3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1" ht="80" customHeight="1">
      <x:c r="A31" s="9" t="str">
        <x:v>Perciformes</x:v>
      </x:c>
      <x:c r="B31" s="9" t="n">
        <x:v>4</x:v>
      </x:c>
      <x:c r="C31" s="9" t="str">
        <x:v>Large Pelagics</x:v>
      </x:c>
      <x:c r="D31" s="15" t="n">
        <x:v>0.185</x:v>
      </x:c>
      <x:c r="E31" s="9" t="str">
        <x:v>catch</x:v>
      </x:c>
      <x:c r="F31" s="9" t="str">
        <x:v>t km−2 yr−1</x:v>
      </x:c>
      <x:c r="G31" s="15" t="n">
        <x:v>5.885</x:v>
      </x:c>
      <x:c r="H31" s="16" t="n">
        <x:f>D31/SUMIF($A$5:$A$84,A31,$D$5:$D$84)</x:f>
        <x:v>0.03143585386576041</x:v>
      </x:c>
      <x:c r="I31" s="9" t="str">
        <x:v>Medium</x:v>
      </x:c>
      <x:c r="J3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2" ht="80" customHeight="1">
      <x:c r="A32" s="9" t="str">
        <x:v>Perciformes</x:v>
      </x:c>
      <x:c r="B32" s="9" t="n">
        <x:v>5</x:v>
      </x:c>
      <x:c r="C32" s="9" t="str">
        <x:v>Tunas</x:v>
      </x:c>
      <x:c r="D32" s="15" t="n">
        <x:v>0.113</x:v>
      </x:c>
      <x:c r="E32" s="9" t="str">
        <x:v>catch</x:v>
      </x:c>
      <x:c r="F32" s="9" t="str">
        <x:v>t km−2 yr−1</x:v>
      </x:c>
      <x:c r="G32" s="15" t="n">
        <x:v>5.885</x:v>
      </x:c>
      <x:c r="H32" s="16" t="n">
        <x:f>D32/SUMIF($A$5:$A$84,A32,$D$5:$D$84)</x:f>
        <x:v>0.019201359388275278</x:v>
      </x:c>
      <x:c r="I32" s="9" t="str">
        <x:v>Medium</x:v>
      </x:c>
      <x:c r="J32"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3" ht="80" customHeight="1">
      <x:c r="A33" s="9" t="str">
        <x:v>Perciformes</x:v>
      </x:c>
      <x:c r="B33" s="9" t="n">
        <x:v>7</x:v>
      </x:c>
      <x:c r="C33" s="9" t="str">
        <x:v>Large Benthopelagics</x:v>
      </x:c>
      <x:c r="D33" s="15" t="n">
        <x:v>0.351</x:v>
      </x:c>
      <x:c r="E33" s="9" t="str">
        <x:v>catch</x:v>
      </x:c>
      <x:c r="F33" s="9" t="str">
        <x:v>t km−2 yr−1</x:v>
      </x:c>
      <x:c r="G33" s="15" t="n">
        <x:v>5.885</x:v>
      </x:c>
      <x:c r="H33" s="16" t="n">
        <x:f>D33/SUMIF($A$5:$A$84,A33,$D$5:$D$84)</x:f>
        <x:v>0.059643160577740016</x:v>
      </x:c>
      <x:c r="I33" s="9" t="str">
        <x:v>Medium</x:v>
      </x:c>
      <x:c r="J33"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4" ht="80" customHeight="1">
      <x:c r="A34" s="9" t="str">
        <x:v>Perciformes</x:v>
      </x:c>
      <x:c r="B34" s="9" t="n">
        <x:v>8</x:v>
      </x:c>
      <x:c r="C34" s="9" t="str">
        <x:v>Large Benthic Carnivores</x:v>
      </x:c>
      <x:c r="D34" s="15" t="n">
        <x:v>0.281</x:v>
      </x:c>
      <x:c r="E34" s="9" t="str">
        <x:v>catch</x:v>
      </x:c>
      <x:c r="F34" s="9" t="str">
        <x:v>t km−2 yr−1</x:v>
      </x:c>
      <x:c r="G34" s="15" t="n">
        <x:v>5.885</x:v>
      </x:c>
      <x:c r="H34" s="16" t="n">
        <x:f>D34/SUMIF($A$5:$A$84,A34,$D$5:$D$84)</x:f>
        <x:v>0.04774851316907392</x:v>
      </x:c>
      <x:c r="I34" s="9" t="str">
        <x:v>Medium</x:v>
      </x:c>
      <x:c r="J34"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5" ht="80" customHeight="1">
      <x:c r="A35" s="9" t="str">
        <x:v>Perciformes</x:v>
      </x:c>
      <x:c r="B35" s="9" t="n">
        <x:v>9</x:v>
      </x:c>
      <x:c r="C35" s="9" t="str">
        <x:v>Med Benthic Carnivores</x:v>
      </x:c>
      <x:c r="D35" s="15" t="n">
        <x:v>0.33</x:v>
      </x:c>
      <x:c r="E35" s="9" t="str">
        <x:v>catch</x:v>
      </x:c>
      <x:c r="F35" s="9" t="str">
        <x:v>t km−2 yr−1</x:v>
      </x:c>
      <x:c r="G35" s="15" t="n">
        <x:v>5.885</x:v>
      </x:c>
      <x:c r="H35" s="16" t="n">
        <x:f>D35/SUMIF($A$5:$A$84,A35,$D$5:$D$84)</x:f>
        <x:v>0.05607476635514019</x:v>
      </x:c>
      <x:c r="I35" s="9" t="str">
        <x:v>Medium</x:v>
      </x:c>
      <x:c r="J35"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6" ht="80" customHeight="1">
      <x:c r="A36" s="9" t="str">
        <x:v>Perciformes</x:v>
      </x:c>
      <x:c r="B36" s="9" t="n">
        <x:v>10</x:v>
      </x:c>
      <x:c r="C36" s="9" t="str">
        <x:v>Small Benthic Carnivores</x:v>
      </x:c>
      <x:c r="D36" s="15" t="n">
        <x:v>0.816</x:v>
      </x:c>
      <x:c r="E36" s="9" t="str">
        <x:v>catch</x:v>
      </x:c>
      <x:c r="F36" s="9" t="str">
        <x:v>t km−2 yr−1</x:v>
      </x:c>
      <x:c r="G36" s="15" t="n">
        <x:v>5.885</x:v>
      </x:c>
      <x:c r="H36" s="16" t="n">
        <x:f>D36/SUMIF($A$5:$A$84,A36,$D$5:$D$84)</x:f>
        <x:v>0.13865760407816483</x:v>
      </x:c>
      <x:c r="I36" s="9" t="str">
        <x:v>Medium</x:v>
      </x:c>
      <x:c r="J36"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7" ht="80" customHeight="1">
      <x:c r="A37" s="9" t="str">
        <x:v>Perciformes</x:v>
      </x:c>
      <x:c r="B37" s="9" t="n">
        <x:v>11</x:v>
      </x:c>
      <x:c r="C37" s="9" t="str">
        <x:v>Small Benthopelagics</x:v>
      </x:c>
      <x:c r="D37" s="15" t="n">
        <x:v>0.38</x:v>
      </x:c>
      <x:c r="E37" s="9" t="str">
        <x:v>catch</x:v>
      </x:c>
      <x:c r="F37" s="9" t="str">
        <x:v>t km−2 yr−1</x:v>
      </x:c>
      <x:c r="G37" s="15" t="n">
        <x:v>5.885</x:v>
      </x:c>
      <x:c r="H37" s="16" t="n">
        <x:f>D37/SUMIF($A$5:$A$84,A37,$D$5:$D$84)</x:f>
        <x:v>0.06457094307561598</x:v>
      </x:c>
      <x:c r="I37" s="9" t="str">
        <x:v>Medium</x:v>
      </x:c>
      <x:c r="J37"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8" ht="80" customHeight="1">
      <x:c r="A38" s="9" t="str">
        <x:v>Perciformes</x:v>
      </x:c>
      <x:c r="B38" s="9" t="n">
        <x:v>12</x:v>
      </x:c>
      <x:c r="C38" s="9" t="str">
        <x:v>Mackerel</x:v>
      </x:c>
      <x:c r="D38" s="15" t="n">
        <x:v>0.945</x:v>
      </x:c>
      <x:c r="E38" s="9" t="str">
        <x:v>catch</x:v>
      </x:c>
      <x:c r="F38" s="9" t="str">
        <x:v>t km−2 yr−1</x:v>
      </x:c>
      <x:c r="G38" s="15" t="n">
        <x:v>5.885</x:v>
      </x:c>
      <x:c r="H38" s="16" t="n">
        <x:f>D38/SUMIF($A$5:$A$84,A38,$D$5:$D$84)</x:f>
        <x:v>0.16057774001699235</x:v>
      </x:c>
      <x:c r="I38" s="9" t="str">
        <x:v>Medium</x:v>
      </x:c>
      <x:c r="J38"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9" ht="80" customHeight="1">
      <x:c r="A39" s="9" t="str">
        <x:v>Perciformes</x:v>
      </x:c>
      <x:c r="B39" s="9" t="n">
        <x:v>13</x:v>
      </x:c>
      <x:c r="C39" s="9" t="str">
        <x:v>Clupeids</x:v>
      </x:c>
      <x:c r="D39" s="15" t="n">
        <x:v>1.439</x:v>
      </x:c>
      <x:c r="E39" s="9" t="str">
        <x:v>catch</x:v>
      </x:c>
      <x:c r="F39" s="9" t="str">
        <x:v>t km−2 yr−1</x:v>
      </x:c>
      <x:c r="G39" s="15" t="n">
        <x:v>5.885</x:v>
      </x:c>
      <x:c r="H39" s="16" t="n">
        <x:f>D39/SUMIF($A$5:$A$84,A39,$D$5:$D$84)</x:f>
        <x:v>0.24451996601529313</x:v>
      </x:c>
      <x:c r="I39" s="9" t="str">
        <x:v>Medium</x:v>
      </x:c>
      <x:c r="J39"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0" ht="80" customHeight="1">
      <x:c r="A40" s="9" t="str">
        <x:v>Perciformes</x:v>
      </x:c>
      <x:c r="B40" s="9" t="n">
        <x:v>14</x:v>
      </x:c>
      <x:c r="C40" s="9" t="str">
        <x:v>Anchovies</x:v>
      </x:c>
      <x:c r="D40" s="15" t="n">
        <x:v>0.201</x:v>
      </x:c>
      <x:c r="E40" s="9" t="str">
        <x:v>catch</x:v>
      </x:c>
      <x:c r="F40" s="9" t="str">
        <x:v>t km−2 yr−1</x:v>
      </x:c>
      <x:c r="G40" s="15" t="n">
        <x:v>5.885</x:v>
      </x:c>
      <x:c r="H40" s="16" t="n">
        <x:f>D40/SUMIF($A$5:$A$84,A40,$D$5:$D$84)</x:f>
        <x:v>0.03415463041631266</x:v>
      </x:c>
      <x:c r="I40" s="9" t="str">
        <x:v>Medium</x:v>
      </x:c>
      <x:c r="J40"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1" ht="80" customHeight="1">
      <x:c r="A41" s="9" t="str">
        <x:v>Perciformes</x:v>
      </x:c>
      <x:c r="B41" s="9" t="n">
        <x:v>17</x:v>
      </x:c>
      <x:c r="C41" s="9" t="str">
        <x:v>Benthic Omnivores</x:v>
      </x:c>
      <x:c r="D41" s="15" t="n">
        <x:v>0.844</x:v>
      </x:c>
      <x:c r="E41" s="9" t="str">
        <x:v>catch</x:v>
      </x:c>
      <x:c r="F41" s="9" t="str">
        <x:v>t km−2 yr−1</x:v>
      </x:c>
      <x:c r="G41" s="15" t="n">
        <x:v>5.885</x:v>
      </x:c>
      <x:c r="H41" s="16" t="n">
        <x:f>D41/SUMIF($A$5:$A$84,A41,$D$5:$D$84)</x:f>
        <x:v>0.14341546304163127</x:v>
      </x:c>
      <x:c r="I41" s="9" t="str">
        <x:v>Medium</x:v>
      </x:c>
      <x:c r="J4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2" ht="80" customHeight="1">
      <x:c r="A42" s="9" t="str">
        <x:v>Scombridae</x:v>
      </x:c>
      <x:c r="B42" s="9" t="n">
        <x:v>4</x:v>
      </x:c>
      <x:c r="C42" s="9" t="str">
        <x:v>Large Pelagics</x:v>
      </x:c>
      <x:c r="D42" s="15" t="n">
        <x:v>4202804.099465701</x:v>
      </x:c>
      <x:c r="E42" s="9" t="str">
        <x:v>identified lineage total catch 1950–2019</x:v>
      </x:c>
      <x:c r="F42" s="9" t="str">
        <x:v>t</x:v>
      </x:c>
      <x:c r="G42" s="15" t="n">
        <x:v>20523931.9475704</x:v>
      </x:c>
      <x:c r="H42" s="16" t="n">
        <x:f>D42/SUMIF($A$5:$A$84,A42,$D$5:$D$84)</x:f>
        <x:v>0.20477577640590572</x:v>
      </x:c>
      <x:c r="I42" s="9" t="str">
        <x:v>Medium</x:v>
      </x:c>
      <x:c r="J42"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3" ht="80" customHeight="1">
      <x:c r="A43" s="9" t="str">
        <x:v>Scombridae</x:v>
      </x:c>
      <x:c r="B43" s="9" t="n">
        <x:v>5</x:v>
      </x:c>
      <x:c r="C43" s="9" t="str">
        <x:v>Tunas</x:v>
      </x:c>
      <x:c r="D43" s="15" t="n">
        <x:v>6858155.9582717065</x:v>
      </x:c>
      <x:c r="E43" s="9" t="str">
        <x:v>identified lineage total catch 1950–2019</x:v>
      </x:c>
      <x:c r="F43" s="9" t="str">
        <x:v>t</x:v>
      </x:c>
      <x:c r="G43" s="15" t="n">
        <x:v>20523931.9475704</x:v>
      </x:c>
      <x:c r="H43" s="16" t="n">
        <x:f>D43/SUMIF($A$5:$A$84,A43,$D$5:$D$84)</x:f>
        <x:v>0.3341540975574891</x:v>
      </x:c>
      <x:c r="I43" s="9" t="str">
        <x:v>Medium</x:v>
      </x:c>
      <x:c r="J43"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4" ht="80" customHeight="1">
      <x:c r="A44" s="9" t="str">
        <x:v>Scombridae</x:v>
      </x:c>
      <x:c r="B44" s="9" t="n">
        <x:v>12</x:v>
      </x:c>
      <x:c r="C44" s="9" t="str">
        <x:v>Mackerel</x:v>
      </x:c>
      <x:c r="D44" s="15" t="n">
        <x:v>9462971.88983299</x:v>
      </x:c>
      <x:c r="E44" s="9" t="str">
        <x:v>identified lineage total catch 1950–2019</x:v>
      </x:c>
      <x:c r="F44" s="9" t="str">
        <x:v>t</x:v>
      </x:c>
      <x:c r="G44" s="15" t="n">
        <x:v>20523931.9475704</x:v>
      </x:c>
      <x:c r="H44" s="16" t="n">
        <x:f>D44/SUMIF($A$5:$A$84,A44,$D$5:$D$84)</x:f>
        <x:v>0.46107012603660513</x:v>
      </x:c>
      <x:c r="I44" s="9" t="str">
        <x:v>Medium</x:v>
      </x:c>
      <x:c r="J44"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5" ht="64" customHeight="1">
      <x:c r="A45" s="9" t="str">
        <x:v>Marine pelagic fishes not identified</x:v>
      </x:c>
      <x:c r="B45" s="9" t="n">
        <x:v>4</x:v>
      </x:c>
      <x:c r="C45" s="9" t="str">
        <x:v>Large Pelagics</x:v>
      </x:c>
      <x:c r="D45" s="15" t="n">
        <x:v>0.185</x:v>
      </x:c>
      <x:c r="E45" s="9" t="str">
        <x:v>catch</x:v>
      </x:c>
      <x:c r="F45" s="9" t="str">
        <x:v>t km−2 yr−1</x:v>
      </x:c>
      <x:c r="G45" s="15" t="n">
        <x:v>3.614</x:v>
      </x:c>
      <x:c r="H45" s="16" t="n">
        <x:f>D45/SUMIF($A$5:$A$84,A45,$D$5:$D$84)</x:f>
        <x:v>0.05118981737686774</x:v>
      </x:c>
      <x:c r="I45" s="9" t="str">
        <x:v>Medium</x:v>
      </x:c>
      <x:c r="J45"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6" ht="64" customHeight="1">
      <x:c r="A46" s="9" t="str">
        <x:v>Marine pelagic fishes not identified</x:v>
      </x:c>
      <x:c r="B46" s="9" t="n">
        <x:v>5</x:v>
      </x:c>
      <x:c r="C46" s="9" t="str">
        <x:v>Tunas</x:v>
      </x:c>
      <x:c r="D46" s="15" t="n">
        <x:v>0.113</x:v>
      </x:c>
      <x:c r="E46" s="9" t="str">
        <x:v>catch</x:v>
      </x:c>
      <x:c r="F46" s="9" t="str">
        <x:v>t km−2 yr−1</x:v>
      </x:c>
      <x:c r="G46" s="15" t="n">
        <x:v>3.614</x:v>
      </x:c>
      <x:c r="H46" s="16" t="n">
        <x:f>D46/SUMIF($A$5:$A$84,A46,$D$5:$D$84)</x:f>
        <x:v>0.03126729385722192</x:v>
      </x:c>
      <x:c r="I46" s="9" t="str">
        <x:v>Medium</x:v>
      </x:c>
      <x:c r="J46"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7" ht="64" customHeight="1">
      <x:c r="A47" s="9" t="str">
        <x:v>Marine pelagic fishes not identified</x:v>
      </x:c>
      <x:c r="B47" s="9" t="n">
        <x:v>7</x:v>
      </x:c>
      <x:c r="C47" s="9" t="str">
        <x:v>Large Benthopelagics</x:v>
      </x:c>
      <x:c r="D47" s="15" t="n">
        <x:v>0.351</x:v>
      </x:c>
      <x:c r="E47" s="9" t="str">
        <x:v>catch</x:v>
      </x:c>
      <x:c r="F47" s="9" t="str">
        <x:v>t km−2 yr−1</x:v>
      </x:c>
      <x:c r="G47" s="15" t="n">
        <x:v>3.614</x:v>
      </x:c>
      <x:c r="H47" s="16" t="n">
        <x:f>D47/SUMIF($A$5:$A$84,A47,$D$5:$D$84)</x:f>
        <x:v>0.09712230215827337</x:v>
      </x:c>
      <x:c r="I47" s="9" t="str">
        <x:v>Medium</x:v>
      </x:c>
      <x:c r="J47"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8" ht="64" customHeight="1">
      <x:c r="A48" s="9" t="str">
        <x:v>Marine pelagic fishes not identified</x:v>
      </x:c>
      <x:c r="B48" s="9" t="n">
        <x:v>11</x:v>
      </x:c>
      <x:c r="C48" s="9" t="str">
        <x:v>Small Benthopelagics</x:v>
      </x:c>
      <x:c r="D48" s="15" t="n">
        <x:v>0.38</x:v>
      </x:c>
      <x:c r="E48" s="9" t="str">
        <x:v>catch</x:v>
      </x:c>
      <x:c r="F48" s="9" t="str">
        <x:v>t km−2 yr−1</x:v>
      </x:c>
      <x:c r="G48" s="15" t="n">
        <x:v>3.614</x:v>
      </x:c>
      <x:c r="H48" s="16" t="n">
        <x:f>D48/SUMIF($A$5:$A$84,A48,$D$5:$D$84)</x:f>
        <x:v>0.10514665190924184</x:v>
      </x:c>
      <x:c r="I48" s="9" t="str">
        <x:v>Medium</x:v>
      </x:c>
      <x:c r="J48"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9" ht="64" customHeight="1">
      <x:c r="A49" s="9" t="str">
        <x:v>Marine pelagic fishes not identified</x:v>
      </x:c>
      <x:c r="B49" s="9" t="n">
        <x:v>12</x:v>
      </x:c>
      <x:c r="C49" s="9" t="str">
        <x:v>Mackerel</x:v>
      </x:c>
      <x:c r="D49" s="15" t="n">
        <x:v>0.945</x:v>
      </x:c>
      <x:c r="E49" s="9" t="str">
        <x:v>catch</x:v>
      </x:c>
      <x:c r="F49" s="9" t="str">
        <x:v>t km−2 yr−1</x:v>
      </x:c>
      <x:c r="G49" s="15" t="n">
        <x:v>3.614</x:v>
      </x:c>
      <x:c r="H49" s="16" t="n">
        <x:f>D49/SUMIF($A$5:$A$84,A49,$D$5:$D$84)</x:f>
        <x:v>0.2614831211953514</x:v>
      </x:c>
      <x:c r="I49" s="9" t="str">
        <x:v>Medium</x:v>
      </x:c>
      <x:c r="J49"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0" ht="64" customHeight="1">
      <x:c r="A50" s="9" t="str">
        <x:v>Marine pelagic fishes not identified</x:v>
      </x:c>
      <x:c r="B50" s="9" t="n">
        <x:v>13</x:v>
      </x:c>
      <x:c r="C50" s="9" t="str">
        <x:v>Clupeids</x:v>
      </x:c>
      <x:c r="D50" s="15" t="n">
        <x:v>1.439</x:v>
      </x:c>
      <x:c r="E50" s="9" t="str">
        <x:v>catch</x:v>
      </x:c>
      <x:c r="F50" s="9" t="str">
        <x:v>t km−2 yr−1</x:v>
      </x:c>
      <x:c r="G50" s="15" t="n">
        <x:v>3.614</x:v>
      </x:c>
      <x:c r="H50" s="16" t="n">
        <x:f>D50/SUMIF($A$5:$A$84,A50,$D$5:$D$84)</x:f>
        <x:v>0.3981737686773658</x:v>
      </x:c>
      <x:c r="I50" s="9" t="str">
        <x:v>Medium</x:v>
      </x:c>
      <x:c r="J50"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1" ht="64" customHeight="1">
      <x:c r="A51" s="9" t="str">
        <x:v>Marine pelagic fishes not identified</x:v>
      </x:c>
      <x:c r="B51" s="9" t="n">
        <x:v>14</x:v>
      </x:c>
      <x:c r="C51" s="9" t="str">
        <x:v>Anchovies</x:v>
      </x:c>
      <x:c r="D51" s="15" t="n">
        <x:v>0.201</x:v>
      </x:c>
      <x:c r="E51" s="9" t="str">
        <x:v>catch</x:v>
      </x:c>
      <x:c r="F51" s="9" t="str">
        <x:v>t km−2 yr−1</x:v>
      </x:c>
      <x:c r="G51" s="15" t="n">
        <x:v>3.614</x:v>
      </x:c>
      <x:c r="H51" s="16" t="n">
        <x:f>D51/SUMIF($A$5:$A$84,A51,$D$5:$D$84)</x:f>
        <x:v>0.055617044825677926</x:v>
      </x:c>
      <x:c r="I51" s="9" t="str">
        <x:v>Medium</x:v>
      </x:c>
      <x:c r="J51"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2" ht="64" customHeight="1">
      <x:c r="A52" s="9" t="str">
        <x:v>Anguilliformes</x:v>
      </x:c>
      <x:c r="B52" s="9" t="n">
        <x:v>8</x:v>
      </x:c>
      <x:c r="C52" s="9" t="str">
        <x:v>Large Benthic Carnivores</x:v>
      </x:c>
      <x:c r="D52" s="15" t="n">
        <x:v>0.281</x:v>
      </x:c>
      <x:c r="E52" s="9" t="str">
        <x:v>catch</x:v>
      </x:c>
      <x:c r="F52" s="9" t="str">
        <x:v>t km−2 yr−1</x:v>
      </x:c>
      <x:c r="G52" s="15" t="n">
        <x:v>0.611</x:v>
      </x:c>
      <x:c r="H52" s="16" t="n">
        <x:f>D52/SUMIF($A$5:$A$84,A52,$D$5:$D$84)</x:f>
        <x:v>0.4599018003273323</x:v>
      </x:c>
      <x:c r="I52" s="9" t="str">
        <x:v>Medium</x:v>
      </x:c>
      <x:c r="J52"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3" ht="64" customHeight="1">
      <x:c r="A53" s="9" t="str">
        <x:v>Anguilliformes</x:v>
      </x:c>
      <x:c r="B53" s="9" t="n">
        <x:v>9</x:v>
      </x:c>
      <x:c r="C53" s="9" t="str">
        <x:v>Med Benthic Carnivores</x:v>
      </x:c>
      <x:c r="D53" s="15" t="n">
        <x:v>0.33</x:v>
      </x:c>
      <x:c r="E53" s="9" t="str">
        <x:v>catch</x:v>
      </x:c>
      <x:c r="F53" s="9" t="str">
        <x:v>t km−2 yr−1</x:v>
      </x:c>
      <x:c r="G53" s="15" t="n">
        <x:v>0.611</x:v>
      </x:c>
      <x:c r="H53" s="16" t="n">
        <x:f>D53/SUMIF($A$5:$A$84,A53,$D$5:$D$84)</x:f>
        <x:v>0.5400981996726678</x:v>
      </x:c>
      <x:c r="I53" s="9" t="str">
        <x:v>Medium</x:v>
      </x:c>
      <x:c r="J53"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4" ht="80" customHeight="1">
      <x:c r="A54" s="9" t="str">
        <x:v>Pleuronectiformes</x:v>
      </x:c>
      <x:c r="B54" s="9" t="n">
        <x:v>9</x:v>
      </x:c>
      <x:c r="C54" s="9" t="str">
        <x:v>Med Benthic Carnivores</x:v>
      </x:c>
      <x:c r="D54" s="15" t="n">
        <x:v>370194.3842445846</x:v>
      </x:c>
      <x:c r="E54" s="9" t="str">
        <x:v>identified lineage total catch 1950–2019</x:v>
      </x:c>
      <x:c r="F54" s="9" t="str">
        <x:v>t</x:v>
      </x:c>
      <x:c r="G54" s="15" t="n">
        <x:v>2134280.6393893166</x:v>
      </x:c>
      <x:c r="H54" s="16" t="n">
        <x:f>D54/SUMIF($A$5:$A$84,A54,$D$5:$D$84)</x:f>
        <x:v>0.1734515964828827</x:v>
      </x:c>
      <x:c r="I54" s="9" t="str">
        <x:v>Medium</x:v>
      </x:c>
      <x:c r="J54"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55" ht="80" customHeight="1">
      <x:c r="A55" s="9" t="str">
        <x:v>Pleuronectiformes</x:v>
      </x:c>
      <x:c r="B55" s="9" t="n">
        <x:v>17</x:v>
      </x:c>
      <x:c r="C55" s="9" t="str">
        <x:v>Benthic Omnivores</x:v>
      </x:c>
      <x:c r="D55" s="15" t="n">
        <x:v>1764086.255144732</x:v>
      </x:c>
      <x:c r="E55" s="9" t="str">
        <x:v>identified lineage total catch 1950–2019</x:v>
      </x:c>
      <x:c r="F55" s="9" t="str">
        <x:v>t</x:v>
      </x:c>
      <x:c r="G55" s="15" t="n">
        <x:v>2134280.6393893166</x:v>
      </x:c>
      <x:c r="H55" s="16" t="n">
        <x:f>D55/SUMIF($A$5:$A$84,A55,$D$5:$D$84)</x:f>
        <x:v>0.8265484035171173</x:v>
      </x:c>
      <x:c r="I55" s="9" t="str">
        <x:v>Medium</x:v>
      </x:c>
      <x:c r="J55"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56" ht="64" customHeight="1">
      <x:c r="A56" s="9" t="str">
        <x:v>Chondrichthyes</x:v>
      </x:c>
      <x:c r="B56" s="9" t="n">
        <x:v>2</x:v>
      </x:c>
      <x:c r="C56" s="9" t="str">
        <x:v>Sharks</x:v>
      </x:c>
      <x:c r="D56" s="15" t="n">
        <x:v>0.03</x:v>
      </x:c>
      <x:c r="E56" s="9" t="str">
        <x:v>catch</x:v>
      </x:c>
      <x:c r="F56" s="9" t="str">
        <x:v>t km−2 yr−1</x:v>
      </x:c>
      <x:c r="G56" s="15" t="n">
        <x:v>0.039</x:v>
      </x:c>
      <x:c r="H56" s="16" t="n">
        <x:f>D56/SUMIF($A$5:$A$84,A56,$D$5:$D$84)</x:f>
        <x:v>0.7692307692307692</x:v>
      </x:c>
      <x:c r="I56" s="9" t="str">
        <x:v>Medium</x:v>
      </x:c>
      <x:c r="J56"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7" ht="64" customHeight="1">
      <x:c r="A57" s="9" t="str">
        <x:v>Chondrichthyes</x:v>
      </x:c>
      <x:c r="B57" s="9" t="n">
        <x:v>3</x:v>
      </x:c>
      <x:c r="C57" s="9" t="str">
        <x:v>Skates &amp; Rays</x:v>
      </x:c>
      <x:c r="D57" s="15" t="n">
        <x:v>0.009</x:v>
      </x:c>
      <x:c r="E57" s="9" t="str">
        <x:v>catch</x:v>
      </x:c>
      <x:c r="F57" s="9" t="str">
        <x:v>t km−2 yr−1</x:v>
      </x:c>
      <x:c r="G57" s="15" t="n">
        <x:v>0.039</x:v>
      </x:c>
      <x:c r="H57" s="16" t="n">
        <x:f>D57/SUMIF($A$5:$A$84,A57,$D$5:$D$84)</x:f>
        <x:v>0.23076923076923075</x:v>
      </x:c>
      <x:c r="I57" s="9" t="str">
        <x:v>Medium</x:v>
      </x:c>
      <x:c r="J57"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8" ht="64" customHeight="1">
      <x:c r="A58" s="9" t="str">
        <x:v>Marine groundfishes not identified</x:v>
      </x:c>
      <x:c r="B58" s="9" t="n">
        <x:v>8</x:v>
      </x:c>
      <x:c r="C58" s="9" t="str">
        <x:v>Large Benthic Carnivores</x:v>
      </x:c>
      <x:c r="D58" s="15" t="n">
        <x:v>0.281</x:v>
      </x:c>
      <x:c r="E58" s="9" t="str">
        <x:v>catch</x:v>
      </x:c>
      <x:c r="F58" s="9" t="str">
        <x:v>t km−2 yr−1</x:v>
      </x:c>
      <x:c r="G58" s="15" t="n">
        <x:v>2.271</x:v>
      </x:c>
      <x:c r="H58" s="16" t="n">
        <x:f>D58/SUMIF($A$5:$A$84,A58,$D$5:$D$84)</x:f>
        <x:v>0.12373403786878029</x:v>
      </x:c>
      <x:c r="I58" s="9" t="str">
        <x:v>Medium</x:v>
      </x:c>
      <x:c r="J58" s="9" t="str">
        <x:v>Groundfish reporting is approximated by the model’s benthic fish pools; diet/size composition is unknown. Whole-compartment composition is a proxy for this taxon; fixed across Arabian Sea catch years and fishery bases. Zero eligible candidates retained.</x:v>
      </x:c>
    </x:row>
    <x:row r="59" ht="64" customHeight="1">
      <x:c r="A59" s="9" t="str">
        <x:v>Marine groundfishes not identified</x:v>
      </x:c>
      <x:c r="B59" s="9" t="n">
        <x:v>9</x:v>
      </x:c>
      <x:c r="C59" s="9" t="str">
        <x:v>Med Benthic Carnivores</x:v>
      </x:c>
      <x:c r="D59" s="15" t="n">
        <x:v>0.33</x:v>
      </x:c>
      <x:c r="E59" s="9" t="str">
        <x:v>catch</x:v>
      </x:c>
      <x:c r="F59" s="9" t="str">
        <x:v>t km−2 yr−1</x:v>
      </x:c>
      <x:c r="G59" s="15" t="n">
        <x:v>2.271</x:v>
      </x:c>
      <x:c r="H59" s="16" t="n">
        <x:f>D59/SUMIF($A$5:$A$84,A59,$D$5:$D$84)</x:f>
        <x:v>0.1453104359313078</x:v>
      </x:c>
      <x:c r="I59" s="9" t="str">
        <x:v>Medium</x:v>
      </x:c>
      <x:c r="J59" s="9" t="str">
        <x:v>Groundfish reporting is approximated by the model’s benthic fish pools; diet/size composition is unknown. Whole-compartment composition is a proxy for this taxon; fixed across Arabian Sea catch years and fishery bases. Zero eligible candidates retained.</x:v>
      </x:c>
    </x:row>
    <x:row r="60" ht="64" customHeight="1">
      <x:c r="A60" s="9" t="str">
        <x:v>Marine groundfishes not identified</x:v>
      </x:c>
      <x:c r="B60" s="9" t="n">
        <x:v>10</x:v>
      </x:c>
      <x:c r="C60" s="9" t="str">
        <x:v>Small Benthic Carnivores</x:v>
      </x:c>
      <x:c r="D60" s="15" t="n">
        <x:v>0.816</x:v>
      </x:c>
      <x:c r="E60" s="9" t="str">
        <x:v>catch</x:v>
      </x:c>
      <x:c r="F60" s="9" t="str">
        <x:v>t km−2 yr−1</x:v>
      </x:c>
      <x:c r="G60" s="15" t="n">
        <x:v>2.271</x:v>
      </x:c>
      <x:c r="H60" s="16" t="n">
        <x:f>D60/SUMIF($A$5:$A$84,A60,$D$5:$D$84)</x:f>
        <x:v>0.3593130779392338</x:v>
      </x:c>
      <x:c r="I60" s="9" t="str">
        <x:v>Medium</x:v>
      </x:c>
      <x:c r="J60" s="9" t="str">
        <x:v>Groundfish reporting is approximated by the model’s benthic fish pools; diet/size composition is unknown. Whole-compartment composition is a proxy for this taxon; fixed across Arabian Sea catch years and fishery bases. Zero eligible candidates retained.</x:v>
      </x:c>
    </x:row>
    <x:row r="61" ht="64" customHeight="1">
      <x:c r="A61" s="9" t="str">
        <x:v>Marine groundfishes not identified</x:v>
      </x:c>
      <x:c r="B61" s="9" t="n">
        <x:v>17</x:v>
      </x:c>
      <x:c r="C61" s="9" t="str">
        <x:v>Benthic Omnivores</x:v>
      </x:c>
      <x:c r="D61" s="15" t="n">
        <x:v>0.844</x:v>
      </x:c>
      <x:c r="E61" s="9" t="str">
        <x:v>catch</x:v>
      </x:c>
      <x:c r="F61" s="9" t="str">
        <x:v>t km−2 yr−1</x:v>
      </x:c>
      <x:c r="G61" s="15" t="n">
        <x:v>2.271</x:v>
      </x:c>
      <x:c r="H61" s="16" t="n">
        <x:f>D61/SUMIF($A$5:$A$84,A61,$D$5:$D$84)</x:f>
        <x:v>0.3716424482606781</x:v>
      </x:c>
      <x:c r="I61" s="9" t="str">
        <x:v>Medium</x:v>
      </x:c>
      <x:c r="J61" s="9" t="str">
        <x:v>Groundfish reporting is approximated by the model’s benthic fish pools; diet/size composition is unknown. Whole-compartment composition is a proxy for this taxon; fixed across Arabian Sea catch years and fishery bases. Zero eligible candidates retained.</x:v>
      </x:c>
    </x:row>
    <x:row r="62" ht="80" customHeight="1">
      <x:c r="A62" s="9" t="str">
        <x:v>Gobiidae</x:v>
      </x:c>
      <x:c r="B62" s="9" t="n">
        <x:v>10</x:v>
      </x:c>
      <x:c r="C62" s="9" t="str">
        <x:v>Small Benthic Carnivores</x:v>
      </x:c>
      <x:c r="D62" s="15" t="n">
        <x:v>0.816</x:v>
      </x:c>
      <x:c r="E62" s="9" t="str">
        <x:v>catch</x:v>
      </x:c>
      <x:c r="F62" s="9" t="str">
        <x:v>t km−2 yr−1</x:v>
      </x:c>
      <x:c r="G62" s="15" t="n">
        <x:v>2.04</x:v>
      </x:c>
      <x:c r="H62" s="16" t="n">
        <x:f>D62/SUMIF($A$5:$A$84,A62,$D$5:$D$84)</x:f>
        <x:v>0.39999999999999997</x:v>
      </x:c>
      <x:c r="I62" s="9" t="str">
        <x:v>Medium</x:v>
      </x:c>
      <x:c r="J62"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3" ht="80" customHeight="1">
      <x:c r="A63" s="9" t="str">
        <x:v>Gobiidae</x:v>
      </x:c>
      <x:c r="B63" s="9" t="n">
        <x:v>11</x:v>
      </x:c>
      <x:c r="C63" s="9" t="str">
        <x:v>Small Benthopelagics</x:v>
      </x:c>
      <x:c r="D63" s="15" t="n">
        <x:v>0.38</x:v>
      </x:c>
      <x:c r="E63" s="9" t="str">
        <x:v>catch</x:v>
      </x:c>
      <x:c r="F63" s="9" t="str">
        <x:v>t km−2 yr−1</x:v>
      </x:c>
      <x:c r="G63" s="15" t="n">
        <x:v>2.04</x:v>
      </x:c>
      <x:c r="H63" s="16" t="n">
        <x:f>D63/SUMIF($A$5:$A$84,A63,$D$5:$D$84)</x:f>
        <x:v>0.18627450980392157</x:v>
      </x:c>
      <x:c r="I63" s="9" t="str">
        <x:v>Medium</x:v>
      </x:c>
      <x:c r="J63"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4" ht="80" customHeight="1">
      <x:c r="A64" s="9" t="str">
        <x:v>Gobiidae</x:v>
      </x:c>
      <x:c r="B64" s="9" t="n">
        <x:v>17</x:v>
      </x:c>
      <x:c r="C64" s="9" t="str">
        <x:v>Benthic Omnivores</x:v>
      </x:c>
      <x:c r="D64" s="15" t="n">
        <x:v>0.844</x:v>
      </x:c>
      <x:c r="E64" s="9" t="str">
        <x:v>catch</x:v>
      </x:c>
      <x:c r="F64" s="9" t="str">
        <x:v>t km−2 yr−1</x:v>
      </x:c>
      <x:c r="G64" s="15" t="n">
        <x:v>2.04</x:v>
      </x:c>
      <x:c r="H64" s="16" t="n">
        <x:f>D64/SUMIF($A$5:$A$84,A64,$D$5:$D$84)</x:f>
        <x:v>0.4137254901960784</x:v>
      </x:c>
      <x:c r="I64" s="9" t="str">
        <x:v>Medium</x:v>
      </x:c>
      <x:c r="J64"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5" ht="80" customHeight="1">
      <x:c r="A65" s="9" t="str">
        <x:v>Mollusca</x:v>
      </x:c>
      <x:c r="B65" s="9" t="n">
        <x:v>6</x:v>
      </x:c>
      <x:c r="C65" s="9" t="str">
        <x:v>Cephalopods</x:v>
      </x:c>
      <x:c r="D65" s="15" t="n">
        <x:v>0.278</x:v>
      </x:c>
      <x:c r="E65" s="9" t="str">
        <x:v>catch</x:v>
      </x:c>
      <x:c r="F65" s="9" t="str">
        <x:v>t km−2 yr−1</x:v>
      </x:c>
      <x:c r="G65" s="15" t="n">
        <x:v>0.278</x:v>
      </x:c>
      <x:c r="H65" s="16" t="n">
        <x:f>D65/SUMIF($A$5:$A$84,A65,$D$5:$D$84)</x:f>
        <x:v>1</x:v>
      </x:c>
      <x:c r="I65" s="9" t="str">
        <x:v>Medium</x:v>
      </x:c>
      <x:c r="J65"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6" ht="80" customHeight="1">
      <x:c r="A66" s="9" t="str">
        <x:v>Mollusca</x:v>
      </x:c>
      <x:c r="B66" s="9" t="n">
        <x:v>18</x:v>
      </x:c>
      <x:c r="C66" s="9" t="str">
        <x:v>Heterotrophic Benthos</x:v>
      </x:c>
      <x:c r="D66" s="15" t="n">
        <x:v>0</x:v>
      </x:c>
      <x:c r="E66" s="9" t="str">
        <x:v>catch</x:v>
      </x:c>
      <x:c r="F66" s="9" t="str">
        <x:v>t km−2 yr−1</x:v>
      </x:c>
      <x:c r="G66" s="15" t="n">
        <x:v>0.278</x:v>
      </x:c>
      <x:c r="H66" s="16" t="n">
        <x:f>D66/SUMIF($A$5:$A$84,A66,$D$5:$D$84)</x:f>
        <x:v>0</x:v>
      </x:c>
      <x:c r="I66" s="9" t="str">
        <x:v>Medium</x:v>
      </x:c>
      <x:c r="J66"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7" ht="80" customHeight="1">
      <x:c r="A67" s="9" t="str">
        <x:v>Miscellaneous marine crustaceans</x:v>
      </x:c>
      <x:c r="B67" s="9" t="n">
        <x:v>15</x:v>
      </x:c>
      <x:c r="C67" s="9" t="str">
        <x:v>Crabs &amp; Lobster</x:v>
      </x:c>
      <x:c r="D67" s="15" t="n">
        <x:v>0.061</x:v>
      </x:c>
      <x:c r="E67" s="9" t="str">
        <x:v>catch</x:v>
      </x:c>
      <x:c r="F67" s="9" t="str">
        <x:v>t km−2 yr−1</x:v>
      </x:c>
      <x:c r="G67" s="15" t="n">
        <x:v>0.367</x:v>
      </x:c>
      <x:c r="H67" s="16" t="n">
        <x:f>D67/SUMIF($A$5:$A$84,A67,$D$5:$D$84)</x:f>
        <x:v>0.16621253405994552</x:v>
      </x:c>
      <x:c r="I67" s="9" t="str">
        <x:v>Medium</x:v>
      </x:c>
      <x:c r="J6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8" ht="80" customHeight="1">
      <x:c r="A68" s="9" t="str">
        <x:v>Miscellaneous marine crustaceans</x:v>
      </x:c>
      <x:c r="B68" s="9" t="n">
        <x:v>16</x:v>
      </x:c>
      <x:c r="C68" s="9" t="str">
        <x:v>Shrimps</x:v>
      </x:c>
      <x:c r="D68" s="15" t="n">
        <x:v>0.306</x:v>
      </x:c>
      <x:c r="E68" s="9" t="str">
        <x:v>catch</x:v>
      </x:c>
      <x:c r="F68" s="9" t="str">
        <x:v>t km−2 yr−1</x:v>
      </x:c>
      <x:c r="G68" s="15" t="n">
        <x:v>0.367</x:v>
      </x:c>
      <x:c r="H68" s="16" t="n">
        <x:f>D68/SUMIF($A$5:$A$84,A68,$D$5:$D$84)</x:f>
        <x:v>0.8337874659400545</x:v>
      </x:c>
      <x:c r="I68" s="9" t="str">
        <x:v>Medium</x:v>
      </x:c>
      <x:c r="J6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9" ht="80" customHeight="1">
      <x:c r="A69" s="9" t="str">
        <x:v>Miscellaneous marine crustaceans</x:v>
      </x:c>
      <x:c r="B69" s="9" t="n">
        <x:v>18</x:v>
      </x:c>
      <x:c r="C69" s="9" t="str">
        <x:v>Heterotrophic Benthos</x:v>
      </x:c>
      <x:c r="D69" s="15" t="n">
        <x:v>0</x:v>
      </x:c>
      <x:c r="E69" s="9" t="str">
        <x:v>catch</x:v>
      </x:c>
      <x:c r="F69" s="9" t="str">
        <x:v>t km−2 yr−1</x:v>
      </x:c>
      <x:c r="G69" s="15" t="n">
        <x:v>0.367</x:v>
      </x:c>
      <x:c r="H69" s="16" t="n">
        <x:f>D69/SUMIF($A$5:$A$84,A69,$D$5:$D$84)</x:f>
        <x:v>0</x:v>
      </x:c>
      <x:c r="I69" s="9" t="str">
        <x:v>Medium</x:v>
      </x:c>
      <x:c r="J69"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70" ht="64" customHeight="1">
      <x:c r="A70" s="9" t="str">
        <x:v>Scombroidei</x:v>
      </x:c>
      <x:c r="B70" s="9" t="n">
        <x:v>4</x:v>
      </x:c>
      <x:c r="C70" s="9" t="str">
        <x:v>Large Pelagics</x:v>
      </x:c>
      <x:c r="D70" s="15" t="n">
        <x:v>0.185</x:v>
      </x:c>
      <x:c r="E70" s="9" t="str">
        <x:v>catch</x:v>
      </x:c>
      <x:c r="F70" s="9" t="str">
        <x:v>t km−2 yr−1</x:v>
      </x:c>
      <x:c r="G70" s="15" t="n">
        <x:v>0.298</x:v>
      </x:c>
      <x:c r="H70" s="16" t="n">
        <x:f>D70/SUMIF($A$5:$A$84,A70,$D$5:$D$84)</x:f>
        <x:v>0.6208053691275168</x:v>
      </x:c>
      <x:c r="I70" s="9" t="str">
        <x:v>Medium</x:v>
      </x:c>
      <x:c r="J70"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1" ht="64" customHeight="1">
      <x:c r="A71" s="9" t="str">
        <x:v>Scombroidei</x:v>
      </x:c>
      <x:c r="B71" s="9" t="n">
        <x:v>5</x:v>
      </x:c>
      <x:c r="C71" s="9" t="str">
        <x:v>Tunas</x:v>
      </x:c>
      <x:c r="D71" s="15" t="n">
        <x:v>0.113</x:v>
      </x:c>
      <x:c r="E71" s="9" t="str">
        <x:v>catch</x:v>
      </x:c>
      <x:c r="F71" s="9" t="str">
        <x:v>t km−2 yr−1</x:v>
      </x:c>
      <x:c r="G71" s="15" t="n">
        <x:v>0.298</x:v>
      </x:c>
      <x:c r="H71" s="16" t="n">
        <x:f>D71/SUMIF($A$5:$A$84,A71,$D$5:$D$84)</x:f>
        <x:v>0.37919463087248323</x:v>
      </x:c>
      <x:c r="I71" s="9" t="str">
        <x:v>Medium</x:v>
      </x:c>
      <x:c r="J71"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2" ht="80" customHeight="1">
      <x:c r="A72" s="9" t="str">
        <x:v>Malacostraca</x:v>
      </x:c>
      <x:c r="B72" s="9" t="n">
        <x:v>15</x:v>
      </x:c>
      <x:c r="C72" s="9" t="str">
        <x:v>Crabs &amp; Lobster</x:v>
      </x:c>
      <x:c r="D72" s="15" t="n">
        <x:v>0.061</x:v>
      </x:c>
      <x:c r="E72" s="9" t="str">
        <x:v>catch</x:v>
      </x:c>
      <x:c r="F72" s="9" t="str">
        <x:v>t km−2 yr−1</x:v>
      </x:c>
      <x:c r="G72" s="15" t="n">
        <x:v>1.2109999999999999</x:v>
      </x:c>
      <x:c r="H72" s="16" t="n">
        <x:f>D72/SUMIF($A$5:$A$84,A72,$D$5:$D$84)</x:f>
        <x:v>0.050371593724194884</x:v>
      </x:c>
      <x:c r="I72" s="9" t="str">
        <x:v>Medium</x:v>
      </x:c>
      <x:c r="J72"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3" ht="80" customHeight="1">
      <x:c r="A73" s="9" t="str">
        <x:v>Malacostraca</x:v>
      </x:c>
      <x:c r="B73" s="9" t="n">
        <x:v>16</x:v>
      </x:c>
      <x:c r="C73" s="9" t="str">
        <x:v>Shrimps</x:v>
      </x:c>
      <x:c r="D73" s="15" t="n">
        <x:v>0.306</x:v>
      </x:c>
      <x:c r="E73" s="9" t="str">
        <x:v>catch</x:v>
      </x:c>
      <x:c r="F73" s="9" t="str">
        <x:v>t km−2 yr−1</x:v>
      </x:c>
      <x:c r="G73" s="15" t="n">
        <x:v>1.2109999999999999</x:v>
      </x:c>
      <x:c r="H73" s="16" t="n">
        <x:f>D73/SUMIF($A$5:$A$84,A73,$D$5:$D$84)</x:f>
        <x:v>0.25268373245251863</x:v>
      </x:c>
      <x:c r="I73" s="9" t="str">
        <x:v>Medium</x:v>
      </x:c>
      <x:c r="J73"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4" ht="80" customHeight="1">
      <x:c r="A74" s="9" t="str">
        <x:v>Malacostraca</x:v>
      </x:c>
      <x:c r="B74" s="9" t="n">
        <x:v>17</x:v>
      </x:c>
      <x:c r="C74" s="9" t="str">
        <x:v>Benthic Omnivores</x:v>
      </x:c>
      <x:c r="D74" s="15" t="n">
        <x:v>0.844</x:v>
      </x:c>
      <x:c r="E74" s="9" t="str">
        <x:v>catch</x:v>
      </x:c>
      <x:c r="F74" s="9" t="str">
        <x:v>t km−2 yr−1</x:v>
      </x:c>
      <x:c r="G74" s="15" t="n">
        <x:v>1.2109999999999999</x:v>
      </x:c>
      <x:c r="H74" s="16" t="n">
        <x:f>D74/SUMIF($A$5:$A$84,A74,$D$5:$D$84)</x:f>
        <x:v>0.6969446738232866</x:v>
      </x:c>
      <x:c r="I74" s="9" t="str">
        <x:v>Medium</x:v>
      </x:c>
      <x:c r="J74"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5" ht="80" customHeight="1">
      <x:c r="A75" s="9" t="str">
        <x:v>Malacostraca</x:v>
      </x:c>
      <x:c r="B75" s="9" t="n">
        <x:v>18</x:v>
      </x:c>
      <x:c r="C75" s="9" t="str">
        <x:v>Heterotrophic Benthos</x:v>
      </x:c>
      <x:c r="D75" s="15" t="n">
        <x:v>0</x:v>
      </x:c>
      <x:c r="E75" s="9" t="str">
        <x:v>catch</x:v>
      </x:c>
      <x:c r="F75" s="9" t="str">
        <x:v>t km−2 yr−1</x:v>
      </x:c>
      <x:c r="G75" s="15" t="n">
        <x:v>1.2109999999999999</x:v>
      </x:c>
      <x:c r="H75" s="16" t="n">
        <x:f>D75/SUMIF($A$5:$A$84,A75,$D$5:$D$84)</x:f>
        <x:v>0</x:v>
      </x:c>
      <x:c r="I75" s="9" t="str">
        <x:v>Medium</x:v>
      </x:c>
      <x:c r="J75"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6" ht="80" customHeight="1">
      <x:c r="A76" s="9" t="str">
        <x:v>Malacostraca</x:v>
      </x:c>
      <x:c r="B76" s="9" t="n">
        <x:v>21</x:v>
      </x:c>
      <x:c r="C76" s="9" t="str">
        <x:v>Large zooplankton</x:v>
      </x:c>
      <x:c r="D76" s="15" t="n">
        <x:v>0</x:v>
      </x:c>
      <x:c r="E76" s="9" t="str">
        <x:v>catch</x:v>
      </x:c>
      <x:c r="F76" s="9" t="str">
        <x:v>t km−2 yr−1</x:v>
      </x:c>
      <x:c r="G76" s="15" t="n">
        <x:v>1.2109999999999999</x:v>
      </x:c>
      <x:c r="H76" s="16" t="n">
        <x:f>D76/SUMIF($A$5:$A$84,A76,$D$5:$D$84)</x:f>
        <x:v>0</x:v>
      </x:c>
      <x:c r="I76" s="9" t="str">
        <x:v>Medium</x:v>
      </x:c>
      <x:c r="J76"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7" ht="80" customHeight="1">
      <x:c r="A77" s="9" t="str">
        <x:v>Miscellaneous aquatic invertebrates</x:v>
      </x:c>
      <x:c r="B77" s="9" t="n">
        <x:v>6</x:v>
      </x:c>
      <x:c r="C77" s="9" t="str">
        <x:v>Cephalopods</x:v>
      </x:c>
      <x:c r="D77" s="15" t="n">
        <x:v>0.278</x:v>
      </x:c>
      <x:c r="E77" s="9" t="str">
        <x:v>catch</x:v>
      </x:c>
      <x:c r="F77" s="9" t="str">
        <x:v>t km−2 yr−1</x:v>
      </x:c>
      <x:c r="G77" s="15" t="n">
        <x:v>0.645</x:v>
      </x:c>
      <x:c r="H77" s="16" t="n">
        <x:f>D77/SUMIF($A$5:$A$84,A77,$D$5:$D$84)</x:f>
        <x:v>0.4310077519379845</x:v>
      </x:c>
      <x:c r="I77" s="9" t="str">
        <x:v>Medium</x:v>
      </x:c>
      <x:c r="J77"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8" ht="80" customHeight="1">
      <x:c r="A78" s="9" t="str">
        <x:v>Miscellaneous aquatic invertebrates</x:v>
      </x:c>
      <x:c r="B78" s="9" t="n">
        <x:v>15</x:v>
      </x:c>
      <x:c r="C78" s="9" t="str">
        <x:v>Crabs &amp; Lobster</x:v>
      </x:c>
      <x:c r="D78" s="15" t="n">
        <x:v>0.061</x:v>
      </x:c>
      <x:c r="E78" s="9" t="str">
        <x:v>catch</x:v>
      </x:c>
      <x:c r="F78" s="9" t="str">
        <x:v>t km−2 yr−1</x:v>
      </x:c>
      <x:c r="G78" s="15" t="n">
        <x:v>0.645</x:v>
      </x:c>
      <x:c r="H78" s="16" t="n">
        <x:f>D78/SUMIF($A$5:$A$84,A78,$D$5:$D$84)</x:f>
        <x:v>0.09457364341085271</x:v>
      </x:c>
      <x:c r="I78" s="9" t="str">
        <x:v>Medium</x:v>
      </x:c>
      <x:c r="J78"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9" ht="80" customHeight="1">
      <x:c r="A79" s="9" t="str">
        <x:v>Miscellaneous aquatic invertebrates</x:v>
      </x:c>
      <x:c r="B79" s="9" t="n">
        <x:v>16</x:v>
      </x:c>
      <x:c r="C79" s="9" t="str">
        <x:v>Shrimps</x:v>
      </x:c>
      <x:c r="D79" s="15" t="n">
        <x:v>0.306</x:v>
      </x:c>
      <x:c r="E79" s="9" t="str">
        <x:v>catch</x:v>
      </x:c>
      <x:c r="F79" s="9" t="str">
        <x:v>t km−2 yr−1</x:v>
      </x:c>
      <x:c r="G79" s="15" t="n">
        <x:v>0.645</x:v>
      </x:c>
      <x:c r="H79" s="16" t="n">
        <x:f>D79/SUMIF($A$5:$A$84,A79,$D$5:$D$84)</x:f>
        <x:v>0.47441860465116276</x:v>
      </x:c>
      <x:c r="I79" s="9" t="str">
        <x:v>Medium</x:v>
      </x:c>
      <x:c r="J79"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0" ht="80" customHeight="1">
      <x:c r="A80" s="9" t="str">
        <x:v>Miscellaneous aquatic invertebrates</x:v>
      </x:c>
      <x:c r="B80" s="9" t="n">
        <x:v>18</x:v>
      </x:c>
      <x:c r="C80" s="9" t="str">
        <x:v>Heterotrophic Benthos</x:v>
      </x:c>
      <x:c r="D80" s="15" t="n">
        <x:v>0</x:v>
      </x:c>
      <x:c r="E80" s="9" t="str">
        <x:v>catch</x:v>
      </x:c>
      <x:c r="F80" s="9" t="str">
        <x:v>t km−2 yr−1</x:v>
      </x:c>
      <x:c r="G80" s="15" t="n">
        <x:v>0.645</x:v>
      </x:c>
      <x:c r="H80" s="16" t="n">
        <x:f>D80/SUMIF($A$5:$A$84,A80,$D$5:$D$84)</x:f>
        <x:v>0</x:v>
      </x:c>
      <x:c r="I80" s="9" t="str">
        <x:v>Medium</x:v>
      </x:c>
      <x:c r="J80"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1" ht="80" customHeight="1">
      <x:c r="A81" s="9" t="str">
        <x:v>Miscellaneous aquatic invertebrates</x:v>
      </x:c>
      <x:c r="B81" s="9" t="n">
        <x:v>19</x:v>
      </x:c>
      <x:c r="C81" s="9" t="str">
        <x:v>Meiobenthos</x:v>
      </x:c>
      <x:c r="D81" s="15" t="n">
        <x:v>0</x:v>
      </x:c>
      <x:c r="E81" s="9" t="str">
        <x:v>catch</x:v>
      </x:c>
      <x:c r="F81" s="9" t="str">
        <x:v>t km−2 yr−1</x:v>
      </x:c>
      <x:c r="G81" s="15" t="n">
        <x:v>0.645</x:v>
      </x:c>
      <x:c r="H81" s="16" t="n">
        <x:f>D81/SUMIF($A$5:$A$84,A81,$D$5:$D$84)</x:f>
        <x:v>0</x:v>
      </x:c>
      <x:c r="I81" s="9" t="str">
        <x:v>Medium</x:v>
      </x:c>
      <x:c r="J81"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2" ht="80" customHeight="1">
      <x:c r="A82" s="9" t="str">
        <x:v>Labridae</x:v>
      </x:c>
      <x:c r="B82" s="9" t="n">
        <x:v>9</x:v>
      </x:c>
      <x:c r="C82" s="9" t="str">
        <x:v>Med Benthic Carnivores</x:v>
      </x:c>
      <x:c r="D82" s="15" t="n">
        <x:v>0.33</x:v>
      </x:c>
      <x:c r="E82" s="9" t="str">
        <x:v>catch</x:v>
      </x:c>
      <x:c r="F82" s="9" t="str">
        <x:v>t km−2 yr−1</x:v>
      </x:c>
      <x:c r="G82" s="15" t="n">
        <x:v>1.526</x:v>
      </x:c>
      <x:c r="H82" s="16" t="n">
        <x:f>D82/SUMIF($A$5:$A$84,A82,$D$5:$D$84)</x:f>
        <x:v>0.21625163826998695</x:v>
      </x:c>
      <x:c r="I82" s="9" t="str">
        <x:v>Medium</x:v>
      </x:c>
      <x:c r="J82"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3" ht="80" customHeight="1">
      <x:c r="A83" s="9" t="str">
        <x:v>Labridae</x:v>
      </x:c>
      <x:c r="B83" s="9" t="n">
        <x:v>10</x:v>
      </x:c>
      <x:c r="C83" s="9" t="str">
        <x:v>Small Benthic Carnivores</x:v>
      </x:c>
      <x:c r="D83" s="15" t="n">
        <x:v>0.816</x:v>
      </x:c>
      <x:c r="E83" s="9" t="str">
        <x:v>catch</x:v>
      </x:c>
      <x:c r="F83" s="9" t="str">
        <x:v>t km−2 yr−1</x:v>
      </x:c>
      <x:c r="G83" s="15" t="n">
        <x:v>1.526</x:v>
      </x:c>
      <x:c r="H83" s="16" t="n">
        <x:f>D83/SUMIF($A$5:$A$84,A83,$D$5:$D$84)</x:f>
        <x:v>0.5347313237221495</x:v>
      </x:c>
      <x:c r="I83" s="9" t="str">
        <x:v>Medium</x:v>
      </x:c>
      <x:c r="J83"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4" ht="80" customHeight="1">
      <x:c r="A84" s="9" t="str">
        <x:v>Labridae</x:v>
      </x:c>
      <x:c r="B84" s="9" t="n">
        <x:v>11</x:v>
      </x:c>
      <x:c r="C84" s="9" t="str">
        <x:v>Small Benthopelagics</x:v>
      </x:c>
      <x:c r="D84" s="15" t="n">
        <x:v>0.38</x:v>
      </x:c>
      <x:c r="E84" s="9" t="str">
        <x:v>catch</x:v>
      </x:c>
      <x:c r="F84" s="9" t="str">
        <x:v>t km−2 yr−1</x:v>
      </x:c>
      <x:c r="G84" s="15" t="n">
        <x:v>1.526</x:v>
      </x:c>
      <x:c r="H84" s="16" t="n">
        <x:f>D84/SUMIF($A$5:$A$84,A84,$D$5:$D$84)</x:f>
        <x:v>0.24901703800786373</x:v>
      </x:c>
      <x:c r="I84" s="9" t="str">
        <x:v>Medium</x:v>
      </x:c>
      <x:c r="J84"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sheetData>
  <x:mergeCells>
    <x:mergeCell ref="A1:J1"/>
    <x:mergeCell ref="A2:J2"/>
    <x:mergeCell ref="A3:J3"/>
  </x:mergeCells>
  <x:pageMargins left="0.7" right="0.7" top="0.75" bottom="0.75" header="0.3" footer="0.3"/>
  <x:tableParts count="1">
    <x:tablePart xmlns:r="http://schemas.openxmlformats.org/officeDocument/2006/relationships" r:id="R46fdc01a4322466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0" hidden="0" customWidth="1"/>
    <x:col min="3" max="3" width="77" hidden="0" customWidth="1"/>
    <x:col min="4" max="4" width="21" hidden="0" customWidth="1"/>
  </x:cols>
  <x:sheetData>
    <x:row r="1" ht="27" customHeight="1">
      <x:c r="A1" s="3" t="str">
        <x:v>Descriptive sources</x:v>
      </x:c>
      <x:c r="B1" s="3"/>
      <x:c r="C1" s="3"/>
      <x:c r="D1" s="3"/>
    </x:row>
    <x:row r="2">
      <x:c r="A2" s="2" t="str">
        <x:v>Repository-local links are relative to this workbook; public source URLs remain unchanged.</x:v>
      </x:c>
      <x:c r="B2" s="2"/>
      <x:c r="C2" s="2"/>
      <x:c r="D2" s="2"/>
    </x:row>
    <x:row r="3">
      <x:c r="A3" s="2"/>
      <x:c r="B3" s="2"/>
      <x:c r="C3" s="2"/>
      <x:c r="D3" s="2"/>
    </x:row>
    <x:row r="4" ht="34" customHeight="1">
      <x:c r="A4" s="6" t="str">
        <x:v>Source</x:v>
      </x:c>
      <x:c r="B4" s="6" t="str">
        <x:v>What it supports</x:v>
      </x:c>
      <x:c r="C4" s="6" t="str">
        <x:v>Locator and scope</x:v>
      </x:c>
      <x:c r="D4" s="6" t="str">
        <x:v>Link</x:v>
      </x:c>
    </x:row>
    <x:row r="5" ht="80" customHeight="1">
      <x:c r="A5" s="9" t="str">
        <x:v>Selected model paper</x:v>
      </x:c>
      <x:c r="B5" s="9" t="str">
        <x:v>Mohamed K. S., Zacharia P. U., Muthiah C., Abdurahiman K. P., Nayak T. H. (2008). Trophic Modelling of the Arabian Sea Ecosystem off Karnataka and Simulation of Fishery Yields. CMFRI Bulletin 51. 24 source groups; membership, numerical inputs and study footprint.</x:v>
      </x:c>
      <x:c r="C5" s="9" t="str">
        <x:v>Membership pp. 11–20/PDF 21–30; landings p. 13/PDF 23; zero BA and basic inputs p. 21/PDF 31; balanced diet p. 53/PDF 63; area p. 8/PDF 18.</x:v>
      </x:c>
      <x:c r="D5" s="18" t="str">
        <x:v>Open source</x:v>
      </x:c>
    </x:row>
    <x:row r="6" ht="80" customHeight="1">
      <x:c r="A6" s="9" t="str">
        <x:v>Official paper record</x:v>
      </x:c>
      <x:c r="B6" s="9" t="str">
        <x:v>Publication year 2008 and bibliographic identity; legacy ARAB-2005 identifier retained.</x:v>
      </x:c>
      <x:c r="C6" s="9" t="str">
        <x:v>CMFRI repository; inspected 30 September 2026</x:v>
      </x:c>
      <x:c r="D6" s="18" t="str">
        <x:v>Open source</x:v>
      </x:c>
    </x:row>
    <x:row r="7" ht="80" customHeight="1">
      <x:c r="A7" s="9" t="str">
        <x:v>Regional catch and classic coefficients</x:v>
      </x:c>
      <x:c r="B7" s="9" t="str">
        <x:v>Frozen Sea Around Us catch, 1950–2019, three bases. 2019 appendix uses landings. Classic PPR/Taxa supplies each saved TL and coefficient, from 2020 supplement MeanTL or exact Sea Around Us exploited-organism match.</x:v>
      </x:c>
      <x:c r="C7" s="9" t="str">
        <x:v>Catch; Classic PPR/Taxa; independent annual method treatment.</x:v>
      </x:c>
      <x:c r="D7" s="18" t="str">
        <x:v>Open source</x:v>
      </x:c>
    </x:row>
    <x:row r="8" ht="80" customHeight="1">
      <x:c r="A8" s="9" t="str">
        <x:v>Frozen catch download</x:v>
      </x:c>
      <x:c r="B8" s="9" t="str">
        <x:v>Original catch observations and basis definitions; no download refreshed during validation.</x:v>
      </x:c>
      <x:c r="C8" s="9" t="str">
        <x:v>Sea Around Us API frozen source, catalogued 3 September 2026.</x:v>
      </x:c>
      <x:c r="D8" s="18" t="str">
        <x:v>Open source</x:v>
      </x:c>
    </x:row>
    <x:row r="9" ht="80" customHeight="1">
      <x:c r="A9" s="9" t="str">
        <x:v>Frozen exploited organisms</x:v>
      </x:c>
      <x:c r="B9" s="9" t="str">
        <x:v>Source taxon/common/functional metadata and exact provider TL where used. Provider size bins are not Ecopath thresholds.</x:v>
      </x:c>
      <x:c r="C9" s="9" t="str">
        <x:v>Sea Around Us regional exploited-organisms snapshot.</x:v>
      </x:c>
      <x:c r="D9" s="18" t="str">
        <x:v>Open source</x:v>
      </x:c>
    </x:row>
    <x:row r="10" ht="80" customHeight="1">
      <x:c r="A10" s="9" t="str">
        <x:v>TL provenance</x:v>
      </x:c>
      <x:c r="B10" s="9" t="str">
        <x:v>2020 supplement MeanTL and frozen Sea Around Us inputs underpin classic coefficients; unknown coefficients remain unknown.</x:v>
      </x:c>
      <x:c r="C10" s="9" t="str">
        <x:v>Common taxonomic reference provenance.</x:v>
      </x:c>
      <x:c r="D10" s="18" t="str">
        <x:v>Open source</x:v>
      </x:c>
    </x:row>
    <x:row r="11" ht="80" customHeight="1">
      <x:c r="A11" s="9" t="str">
        <x:v>WoRMS taxonomy</x:v>
      </x:c>
      <x:c r="B11" s="9" t="str">
        <x:v>Accepted names, synonyms and lineages; each exact online taxon record URL is retained in the keyed audit. Taxonomy establishes relationship, not complete ecological membership.</x:v>
      </x:c>
      <x:c r="C11" s="9" t="str">
        <x:v>475 exact records from 517 queried taxon/source names; retrieved 30 September 2026.</x:v>
      </x:c>
      <x:c r="D11" s="18" t="str">
        <x:v>Open source</x:v>
      </x:c>
    </x:row>
    <x:row r="12" ht="80" customHeight="1">
      <x:c r="A12" s="9" t="str">
        <x:v>Full taxon review</x:v>
      </x:c>
      <x:c r="B12" s="9" t="str">
        <x:v>Every 430 exact catch label: old/new mapping, membership/weight rules, confidence and references. Includes all zero-catch labels.</x:v>
      </x:c>
      <x:c r="C12" s="9" t="str">
        <x:v>Keyed adopted audit; concise appendix derives from these same rows.</x:v>
      </x:c>
      <x:c r="D12" s="18" t="str">
        <x:v>Open source</x:v>
      </x:c>
    </x:row>
    <x:row r="13" ht="80" customHeight="1">
      <x:c r="A13" s="9" t="str">
        <x:v>Allocation reconstruction</x:v>
      </x:c>
      <x:c r="B13" s="9" t="str">
        <x:v>Raw source quantities, eligible candidates, zero values, denominators and assumptions. Seven lineage mixes use identified total catch 1950–2019; Scombridae recalculated with current taxonomy.</x:v>
      </x:c>
      <x:c r="C13" s="9" t="str">
        <x:v>Source/model allocation and retained-weight reconstruction.</x:v>
      </x:c>
      <x:c r="D13" s="18" t="str">
        <x:v>Open source</x:v>
      </x:c>
    </x:row>
    <x:row r="14" ht="80" customHeight="1">
      <x:c r="A14" s="9" t="str">
        <x:v>Sailfish and swordfish</x:v>
      </x:c>
      <x:c r="B14" s="9" t="str">
        <x:v>FishBase/FAO Nakamura(1985) biology supports a mobile pelagic-predator extension for billfish; offshore/depth transfer remains assumed.</x:v>
      </x:c>
      <x:c r="C14" s="9" t="str">
        <x:v>Sailfish 0–200 m and fish/squid predation; swordfish wider depth use. Retrieved 30 September 2026.</x:v>
      </x:c>
      <x:c r="D14" s="18" t="str">
        <x:v>Open source</x:v>
      </x:c>
    </x:row>
    <x:row r="15" ht="80" customHeight="1">
      <x:c r="A15" s="9" t="str">
        <x:v>Swordfish biology</x:v>
      </x:c>
      <x:c r="B15" s="9" t="str">
        <x:v>Fish/squid predation and pelagic migration; supports ecological extension, not source membership.</x:v>
      </x:c>
      <x:c r="C15" s="9" t="str">
        <x:v>FishBase Xiphias gladius; retrieved 30 September 2026.</x:v>
      </x:c>
      <x:c r="D15" s="18" t="str">
        <x:v>Open source</x:v>
      </x:c>
    </x:row>
    <x:row r="16" ht="80" customHeight="1">
      <x:c r="A16" s="9" t="str">
        <x:v>Needlefish biology</x:v>
      </x:c>
      <x:c r="B16" s="9" t="str">
        <x:v>Ablennes hians neritic/oceanic surface piscivory supports Large Pelagics extension.</x:v>
      </x:c>
      <x:c r="C16" s="9" t="str">
        <x:v>FishBase/FAO Collette(1999), retrieved 30 September 2026.</x:v>
      </x:c>
      <x:c r="D16" s="18" t="str">
        <x:v>Open source</x:v>
      </x:c>
    </x:row>
    <x:row r="17" ht="80" customHeight="1">
      <x:c r="A17" s="9" t="str">
        <x:v>Filefish primary study</x:v>
      </x:c>
      <x:c r="B17" s="9" t="str">
        <x:v>Ghosh et al. (2021), western Bay of Bengal Aluterus monoceros landed fish 2017–2019: bottom omnivory with fish feeding supports an ecological medium-benthic analogue. Transfer to Karnataka is explicit.</x:v>
      </x:c>
      <x:c r="C17" s="9" t="str">
        <x:v>1036 fish; 21.5–64.4 cm; not focal-source membership.</x:v>
      </x:c>
      <x:c r="D17" s="18" t="str">
        <x:v>Open source</x:v>
      </x:c>
    </x:row>
    <x:row r="18" ht="80" customHeight="1">
      <x:c r="A18" s="9" t="str">
        <x:v>Rabbitfish biology</x:v>
      </x:c>
      <x:c r="B18" s="9" t="str">
        <x:v>Algal/seagrass feeding differs from source Benthic Omnivores. Very low closest-guild approximation, not verified equivalence.</x:v>
      </x:c>
      <x:c r="C18" s="9" t="str">
        <x:v>FishBase Siganus canaliculatus/FAO Woodland; retrieved 30 September 2026.</x:v>
      </x:c>
      <x:c r="D18" s="18" t="str">
        <x:v>Open source</x:v>
      </x:c>
    </x:row>
    <x:row r="19" ht="80" customHeight="1">
      <x:c r="A19" s="9" t="str">
        <x:v>Reef angelfish primary diet study</x:v>
      </x:c>
      <x:c r="B19" s="9" t="str">
        <x:v>Arabian Gulf Pomacanthus maculosus coral/sponge feeding demonstrates specialised reef diets absent from the Karnataka model. Supports the stated mismatch, not a measured allocation.</x:v>
      </x:c>
      <x:c r="C19" s="9" t="str">
        <x:v>Frontiers in Marine Science(2017)4: 285; retrieved 30 September 2026.</x:v>
      </x:c>
      <x:c r="D19" s="18" t="str">
        <x:v>Open source</x:v>
      </x:c>
    </x:row>
    <x:row r="20" ht="80" customHeight="1">
      <x:c r="A20" s="9" t="str">
        <x:v>Wrasse family biology</x:v>
      </x:c>
      <x:c r="B20" s="9" t="str">
        <x:v>Mixed benthic invertebrate feeding, planktivory and specialised cleaning; broad-family catch composition cannot be established.</x:v>
      </x:c>
      <x:c r="C20" s="9" t="str">
        <x:v>FishBase Labridae family account; retrieved 30 September 2026.</x:v>
      </x:c>
      <x:c r="D20" s="18" t="str">
        <x:v>Open source</x:v>
      </x:c>
    </x:row>
    <x:row r="21" ht="80" customHeight="1">
      <x:c r="A21" s="9" t="str">
        <x:v>Deep-water alfonsino</x:v>
      </x:c>
      <x:c r="B21" s="9" t="str">
        <x:v>FAO describes outer-shelf/slope Beryx,180–1300 m. Shows depth mismatch with a model exploited to 200 m.</x:v>
      </x:c>
      <x:c r="C21" s="9" t="str">
        <x:v>FAO high-seas resource assessment, section 5.3; retrieved 30 September 2026.</x:v>
      </x:c>
      <x:c r="D21" s="18" t="str">
        <x:v>Open source</x:v>
      </x:c>
    </x:row>
    <x:row r="22" ht="80" customHeight="1">
      <x:c r="A22" s="9" t="str">
        <x:v>Escolar biology</x:v>
      </x:c>
      <x:c r="B22" s="9" t="str">
        <x:v>Lepidocybium benthopelagic depth 200–1100 m and predation supports only a weak large-benthopelagic analogue. Regional occurrence uncertainties are not repaired by relabelling catch.</x:v>
      </x:c>
      <x:c r="C22" s="9" t="str">
        <x:v>FishBase Lepidocybium flavobrunneum, retrieved 30 September 2026.</x:v>
      </x:c>
      <x:c r="D22" s="18" t="str">
        <x:v>Open source</x:v>
      </x:c>
    </x:row>
    <x:row r="23" ht="80" customHeight="1">
      <x:c r="A23" s="9" t="str">
        <x:v>Opah authority</x:v>
      </x:c>
      <x:c r="B23" s="9" t="str">
        <x:v>NOAA describes deep open-ocean habitat and squid/deep-water-fish feeding. This supports a weak ecological analogue, not local caught composition; its Pacific observations do not identify Arabian Sea catch species.</x:v>
      </x:c>
      <x:c r="C23" s="9" t="str">
        <x:v>NOAA Fisheries Opah Science; biology and research sections read 30 September 2026. CSIRO page could not be retrieved reliably.</x:v>
      </x:c>
      <x:c r="D23" s="18" t="str">
        <x:v>Open source</x:v>
      </x:c>
    </x:row>
    <x:row r="24" ht="80" customHeight="1">
      <x:c r="A24" s="9" t="str">
        <x:v>Source cell audit</x:v>
      </x:c>
      <x:c r="B24" s="9" t="str">
        <x:v>Published basic inputs, landings and full balanced diet, normalisation factors and zero-BA correction.</x:v>
      </x:c>
      <x:c r="C24" s="9" t="str">
        <x:v>93 basic cells; 24 catch totals; 528 diet cells.</x:v>
      </x:c>
      <x:c r="D24" s="18" t="str">
        <x:v>Open source</x:v>
      </x:c>
    </x:row>
    <x:row r="25" ht="80" customHeight="1">
      <x:c r="A25" s="9" t="str">
        <x:v>Direct diagnostic returns</x:v>
      </x:c>
      <x:c r="B25" s="9" t="str">
        <x:v>Adopted exact-input GE, TE and With Egestion: full 25×3 SPPR, A, L, names, typed axes, nonfinite masks and configuration. All WARN; no negative SPPR.</x:v>
      </x:c>
      <x:c r="C25" s="9" t="str">
        <x:v>See adopted_GE.json, adopted_TE.json, adopted_With_Egestion.json and adopted_provenance.json.</x:v>
      </x:c>
      <x:c r="D25" s="18" t="str">
        <x:v>Open source</x:v>
      </x:c>
    </x:row>
    <x:row r="26" ht="80" customHeight="1">
      <x:c r="A26" s="9" t="str">
        <x:v>Geographic evidence</x:v>
      </x:c>
      <x:c r="B26" s="9" t="str">
        <x:v>WGS 84 target area and source 27,000 km² study footprint. A approximately 0.65–0.69%, B approximately 95–100%; judgement range, not a confidence interval.</x:v>
      </x:c>
      <x:c r="C26" s="9" t="str">
        <x:v>Correct source figure printed p. 8/PDF 18; original LME boundary.</x:v>
      </x:c>
      <x:c r="D26" s="18" t="str">
        <x:v>Open source</x:v>
      </x:c>
    </x:row>
  </x:sheetData>
  <x:mergeCells>
    <x:mergeCell ref="A1:D1"/>
    <x:mergeCell ref="A2:D2"/>
  </x:mergeCells>
  <x:hyperlinks>
    <x:hyperlink xmlns:ns1="http://schemas.openxmlformats.org/officeDocument/2006/relationships" ref="D5" ns1:id="rIdHyperlink1"/>
    <x:hyperlink xmlns:ns2="http://schemas.openxmlformats.org/officeDocument/2006/relationships" ref="D6" ns2:id="rIdHyperlink2"/>
    <x:hyperlink xmlns:ns3="http://schemas.openxmlformats.org/officeDocument/2006/relationships" ref="D7" ns3:id="rIdHyperlink3"/>
    <x:hyperlink xmlns:ns4="http://schemas.openxmlformats.org/officeDocument/2006/relationships" ref="D8" ns4:id="rIdHyperlink4"/>
    <x:hyperlink xmlns:ns5="http://schemas.openxmlformats.org/officeDocument/2006/relationships" ref="D9" ns5:id="rIdHyperlink5"/>
    <x:hyperlink xmlns:ns6="http://schemas.openxmlformats.org/officeDocument/2006/relationships" ref="D10" ns6:id="rIdHyperlink6"/>
    <x:hyperlink xmlns:ns7="http://schemas.openxmlformats.org/officeDocument/2006/relationships" ref="D11" ns7:id="rIdHyperlink7"/>
    <x:hyperlink xmlns:ns8="http://schemas.openxmlformats.org/officeDocument/2006/relationships" ref="D12" ns8:id="rIdHyperlink8"/>
    <x:hyperlink xmlns:ns9="http://schemas.openxmlformats.org/officeDocument/2006/relationships" ref="D13" ns9:id="rIdHyperlink9"/>
    <x:hyperlink xmlns:ns10="http://schemas.openxmlformats.org/officeDocument/2006/relationships" ref="D14" ns10:id="rIdHyperlink10"/>
    <x:hyperlink xmlns:ns11="http://schemas.openxmlformats.org/officeDocument/2006/relationships" ref="D15" ns11:id="rIdHyperlink11"/>
    <x:hyperlink xmlns:ns12="http://schemas.openxmlformats.org/officeDocument/2006/relationships" ref="D16" ns12:id="rIdHyperlink12"/>
    <x:hyperlink xmlns:ns13="http://schemas.openxmlformats.org/officeDocument/2006/relationships" ref="D17" ns13:id="rIdHyperlink13"/>
    <x:hyperlink xmlns:ns14="http://schemas.openxmlformats.org/officeDocument/2006/relationships" ref="D18" ns14:id="rIdHyperlink14"/>
    <x:hyperlink xmlns:ns15="http://schemas.openxmlformats.org/officeDocument/2006/relationships" ref="D19" ns15:id="rIdHyperlink15"/>
    <x:hyperlink xmlns:ns16="http://schemas.openxmlformats.org/officeDocument/2006/relationships" ref="D20" ns16:id="rIdHyperlink16"/>
    <x:hyperlink xmlns:ns17="http://schemas.openxmlformats.org/officeDocument/2006/relationships" ref="D21" ns17:id="rIdHyperlink17"/>
    <x:hyperlink xmlns:ns18="http://schemas.openxmlformats.org/officeDocument/2006/relationships" ref="D22" ns18:id="rIdHyperlink18"/>
    <x:hyperlink xmlns:ns19="http://schemas.openxmlformats.org/officeDocument/2006/relationships" ref="D23" ns19:id="rIdHyperlink19"/>
    <x:hyperlink xmlns:ns20="http://schemas.openxmlformats.org/officeDocument/2006/relationships" ref="D24" ns20:id="rIdHyperlink20"/>
    <x:hyperlink xmlns:ns21="http://schemas.openxmlformats.org/officeDocument/2006/relationships" ref="D25" ns21:id="rIdHyperlink21"/>
    <x:hyperlink xmlns:ns22="http://schemas.openxmlformats.org/officeDocument/2006/relationships" ref="D26" ns22:id="rIdHyperlink22"/>
  </x:hyperlinks>
  <x:pageMargins left="0.7" right="0.7" top="0.75" bottom="0.75" header="0.3" footer="0.3"/>
  <x:tableParts count="1">
    <x:tablePart xmlns:r="http://schemas.openxmlformats.org/officeDocument/2006/relationships" r:id="Rd06ec79b114e4204"/>
  </x:tableParts>
</x:worksheet>
</file>