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GlobalPPREstimation\regions\"/>
    </mc:Choice>
  </mc:AlternateContent>
  <xr:revisionPtr revIDLastSave="0" documentId="13_ncr:1_{450D4BA0-D17A-49DC-87C3-5AB8DC736F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s="1"/>
  <c r="G10" i="1" s="1"/>
  <c r="G11" i="1" s="1"/>
  <c r="G7" i="1"/>
  <c r="G6" i="1"/>
  <c r="G4" i="1"/>
  <c r="G5" i="1" s="1"/>
  <c r="G3" i="1"/>
  <c r="G2" i="1"/>
</calcChain>
</file>

<file path=xl/sharedStrings.xml><?xml version="1.0" encoding="utf-8"?>
<sst xmlns="http://schemas.openxmlformats.org/spreadsheetml/2006/main" count="41" uniqueCount="33">
  <si>
    <t>Name</t>
  </si>
  <si>
    <t>Rank</t>
  </si>
  <si>
    <t>Status</t>
  </si>
  <si>
    <t>LME_036</t>
  </si>
  <si>
    <t>validated</t>
  </si>
  <si>
    <t>LME_032</t>
  </si>
  <si>
    <t>LME_034</t>
  </si>
  <si>
    <t>LME_047</t>
  </si>
  <si>
    <t>Region</t>
  </si>
  <si>
    <t>South China Sea</t>
  </si>
  <si>
    <t>Arabian Sea</t>
  </si>
  <si>
    <t>Bay of Bengal</t>
  </si>
  <si>
    <t>East China Sea</t>
  </si>
  <si>
    <t>Sea of Okhotsk</t>
  </si>
  <si>
    <t>LME_052</t>
  </si>
  <si>
    <t>no good model found</t>
  </si>
  <si>
    <t>LME_013</t>
  </si>
  <si>
    <t>Humboldt Current</t>
  </si>
  <si>
    <t>Canary Current</t>
  </si>
  <si>
    <t>LME_027</t>
  </si>
  <si>
    <t>disqualified</t>
  </si>
  <si>
    <t>3 models checked:
Villanueva - unrepresentative geographic fit
Guénette Banc d’Arguin - unresolved source diet conflicts + unrepresentative geographic fit
ecobase model - too strong rho_living (0.99)</t>
  </si>
  <si>
    <t>Guinea Current</t>
  </si>
  <si>
    <t>LME_028</t>
  </si>
  <si>
    <t>HS_077</t>
  </si>
  <si>
    <t>Pacific, Eastern Central</t>
  </si>
  <si>
    <t>Gulf of Thailand</t>
  </si>
  <si>
    <t>LME_035</t>
  </si>
  <si>
    <t>cumulative ppr</t>
  </si>
  <si>
    <t>massive correction of diet sums (5 entry misplacements)</t>
  </si>
  <si>
    <t>PPR Validated</t>
  </si>
  <si>
    <t>Notes</t>
  </si>
  <si>
    <t>Pooled detritus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</si>
</sst>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C9C64-EDCE-4AD9-94D4-7C16A511CB58}" name="טבלה1" displayName="טבלה1" ref="A1:G16" totalsRowShown="0" headerRowDxfId="4" dataDxfId="3">
  <autoFilter ref="A1:G16" xr:uid="{E4BC9C64-EDCE-4AD9-94D4-7C16A511CB58}"/>
  <tableColumns count="7">
    <tableColumn id="1" xr3:uid="{87B4F530-E561-4353-B223-708DDDD9D668}" name="Region" dataDxfId="8"/>
    <tableColumn id="2" xr3:uid="{43BE7094-CE7C-4D8C-BDC3-91608519E378}" name="Name" dataDxfId="7"/>
    <tableColumn id="3" xr3:uid="{B2CE9C9F-3CF9-4B3D-A1DD-38C5256F83B6}" name="Rank" dataDxfId="6"/>
    <tableColumn id="4" xr3:uid="{B85BB44B-333E-46C9-AB7B-07DA51EDEDEC}" name="Status" dataDxfId="1"/>
    <tableColumn id="5" xr3:uid="{22015E9F-C09F-4D35-B47F-2EC93E6F09A3}" name="Notes" dataDxfId="2"/>
    <tableColumn id="6" xr3:uid="{C628D8F2-4CDF-482D-BBB9-194E056257D8}" name="cumulative ppr" dataDxfId="0"/>
    <tableColumn id="7" xr3:uid="{7D8F0F27-4FA4-4BA8-BBE0-EBB497AD8711}" name="PPR Validated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5" sqref="E5"/>
    </sheetView>
  </sheetViews>
  <sheetFormatPr defaultRowHeight="14" x14ac:dyDescent="0.3"/>
  <cols>
    <col min="1" max="1" width="8.6640625" style="2"/>
    <col min="2" max="2" width="22.1640625" style="2" customWidth="1"/>
    <col min="3" max="3" width="8.6640625" style="2"/>
    <col min="4" max="4" width="13.6640625" style="2" customWidth="1"/>
    <col min="5" max="5" width="57.5" style="2" customWidth="1"/>
    <col min="6" max="6" width="8.9140625" style="2" hidden="1" customWidth="1"/>
    <col min="7" max="7" width="16.1640625" style="2" customWidth="1"/>
    <col min="8" max="16384" width="8.6640625" style="2"/>
  </cols>
  <sheetData>
    <row r="1" spans="1:8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31</v>
      </c>
      <c r="F1" s="1" t="s">
        <v>28</v>
      </c>
      <c r="G1" s="1" t="s">
        <v>30</v>
      </c>
      <c r="H1" s="1"/>
    </row>
    <row r="2" spans="1:8" x14ac:dyDescent="0.3">
      <c r="A2" s="2" t="s">
        <v>3</v>
      </c>
      <c r="B2" s="2" t="s">
        <v>9</v>
      </c>
      <c r="C2" s="2">
        <v>1</v>
      </c>
      <c r="D2" s="2" t="s">
        <v>4</v>
      </c>
      <c r="F2" s="3">
        <v>0.1086</v>
      </c>
      <c r="G2" s="3">
        <f>F2</f>
        <v>0.1086</v>
      </c>
    </row>
    <row r="3" spans="1:8" x14ac:dyDescent="0.3">
      <c r="A3" s="2" t="s">
        <v>5</v>
      </c>
      <c r="B3" s="2" t="s">
        <v>10</v>
      </c>
      <c r="C3" s="2">
        <v>2</v>
      </c>
      <c r="D3" s="2" t="s">
        <v>4</v>
      </c>
      <c r="F3" s="3">
        <v>0.17230000000000001</v>
      </c>
      <c r="G3" s="4">
        <f>IF(D3="validated", G2+F3-F2, G2)</f>
        <v>0.17230000000000004</v>
      </c>
    </row>
    <row r="4" spans="1:8" x14ac:dyDescent="0.3">
      <c r="A4" s="2" t="s">
        <v>6</v>
      </c>
      <c r="B4" s="2" t="s">
        <v>11</v>
      </c>
      <c r="C4" s="2">
        <v>3</v>
      </c>
      <c r="D4" s="2" t="s">
        <v>4</v>
      </c>
      <c r="F4" s="3">
        <v>0.21970000000000001</v>
      </c>
      <c r="G4" s="4">
        <f t="shared" ref="G4:G5" si="0">IF(D4="validated", G3+F4-F3, G3)</f>
        <v>0.21970000000000001</v>
      </c>
    </row>
    <row r="5" spans="1:8" x14ac:dyDescent="0.3">
      <c r="A5" s="2" t="s">
        <v>7</v>
      </c>
      <c r="B5" s="2" t="s">
        <v>12</v>
      </c>
      <c r="C5" s="2">
        <v>4</v>
      </c>
      <c r="D5" s="2" t="s">
        <v>4</v>
      </c>
      <c r="F5" s="3">
        <v>0.26540000000000002</v>
      </c>
      <c r="G5" s="4">
        <f t="shared" si="0"/>
        <v>0.26540000000000002</v>
      </c>
    </row>
    <row r="6" spans="1:8" x14ac:dyDescent="0.3">
      <c r="A6" s="2" t="s">
        <v>14</v>
      </c>
      <c r="B6" s="2" t="s">
        <v>13</v>
      </c>
      <c r="C6" s="2">
        <v>5</v>
      </c>
      <c r="D6" s="2" t="s">
        <v>20</v>
      </c>
      <c r="E6" s="2" t="s">
        <v>15</v>
      </c>
      <c r="F6" s="3">
        <v>0.30299999999999999</v>
      </c>
      <c r="G6" s="4">
        <f>IF(D6="validated", G5+F6-F5, G5)</f>
        <v>0.26540000000000002</v>
      </c>
    </row>
    <row r="7" spans="1:8" x14ac:dyDescent="0.3">
      <c r="A7" s="2" t="s">
        <v>16</v>
      </c>
      <c r="B7" s="2" t="s">
        <v>17</v>
      </c>
      <c r="C7" s="2">
        <v>6</v>
      </c>
      <c r="D7" s="2" t="s">
        <v>4</v>
      </c>
      <c r="E7" s="5" t="s">
        <v>32</v>
      </c>
      <c r="F7" s="3">
        <v>0.3382</v>
      </c>
      <c r="G7" s="4">
        <f>IF(D7="validated", G6+F7-F6, G6)</f>
        <v>0.30060000000000003</v>
      </c>
    </row>
    <row r="8" spans="1:8" ht="70" x14ac:dyDescent="0.3">
      <c r="A8" s="2" t="s">
        <v>19</v>
      </c>
      <c r="B8" s="2" t="s">
        <v>18</v>
      </c>
      <c r="C8" s="2">
        <v>7</v>
      </c>
      <c r="D8" s="2" t="s">
        <v>20</v>
      </c>
      <c r="E8" s="5" t="s">
        <v>21</v>
      </c>
      <c r="F8" s="3">
        <v>0.36990000000000001</v>
      </c>
      <c r="G8" s="4">
        <f>IF(D8="validated", G7+F8-F7, G7)</f>
        <v>0.30060000000000003</v>
      </c>
    </row>
    <row r="9" spans="1:8" x14ac:dyDescent="0.3">
      <c r="A9" s="2" t="s">
        <v>23</v>
      </c>
      <c r="B9" s="2" t="s">
        <v>22</v>
      </c>
      <c r="C9" s="2">
        <v>8</v>
      </c>
      <c r="D9" s="2" t="s">
        <v>4</v>
      </c>
      <c r="F9" s="3">
        <v>0.40029999999999999</v>
      </c>
      <c r="G9" s="4">
        <f>IF(D9="validated", G8+F9-F8, G8)</f>
        <v>0.33100000000000007</v>
      </c>
    </row>
    <row r="10" spans="1:8" x14ac:dyDescent="0.3">
      <c r="A10" s="2" t="s">
        <v>24</v>
      </c>
      <c r="B10" s="2" t="s">
        <v>25</v>
      </c>
      <c r="C10" s="2">
        <v>9</v>
      </c>
      <c r="D10" s="2" t="s">
        <v>4</v>
      </c>
      <c r="E10" s="2" t="s">
        <v>29</v>
      </c>
      <c r="F10" s="3">
        <v>0.42979999999999996</v>
      </c>
      <c r="G10" s="4">
        <f t="shared" ref="G10:G11" si="1">IF(D10="validated", G9+F10-F9, G9)</f>
        <v>0.36050000000000004</v>
      </c>
    </row>
    <row r="11" spans="1:8" x14ac:dyDescent="0.3">
      <c r="A11" s="2" t="s">
        <v>27</v>
      </c>
      <c r="B11" s="2" t="s">
        <v>26</v>
      </c>
      <c r="C11" s="2">
        <v>10</v>
      </c>
      <c r="D11" s="2" t="s">
        <v>4</v>
      </c>
      <c r="F11" s="3">
        <v>0.45490000000000003</v>
      </c>
      <c r="G11" s="4">
        <f t="shared" si="1"/>
        <v>0.38560000000000016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idoca</dc:creator>
  <cp:lastModifiedBy>Ido Carmel</cp:lastModifiedBy>
  <dcterms:created xsi:type="dcterms:W3CDTF">2015-06-05T18:17:20Z</dcterms:created>
  <dcterms:modified xsi:type="dcterms:W3CDTF">2026-10-08T13:54:30Z</dcterms:modified>
</cp:coreProperties>
</file>